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CALL SHEET" sheetId="2" state="visible" r:id="rId2"/>
    <sheet name="FINANCIAL CREDITORS" sheetId="3" state="visible" r:id="rId3"/>
    <sheet name="Assumptions" sheetId="4" state="hidden" r:id="rId4"/>
  </sheets>
  <definedNames>
    <definedName name="_xlnm._FilterDatabase" localSheetId="1" hidden="1">'CALL SHEET'!$A$1:$AW$560</definedName>
    <definedName name="_xlnm._FilterDatabase" localSheetId="2" hidden="1">'FINANCIAL CREDITORS'!$A$1:$AW$451</definedName>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7">
    <font>
      <name val="Calibri"/>
      <family val="2"/>
      <color theme="1"/>
      <sz val="11"/>
      <scheme val="minor"/>
    </font>
    <font>
      <b val="1"/>
      <color rgb="00FFFFFF"/>
    </font>
    <font>
      <b val="1"/>
    </font>
    <font>
      <color rgb="000563C1"/>
      <u val="single"/>
    </font>
    <font>
      <b val="1"/>
      <color rgb="001F3A5F"/>
      <sz val="16"/>
    </font>
    <font>
      <i val="1"/>
      <color rgb="00666666"/>
    </font>
    <font>
      <b val="1"/>
      <sz val="12"/>
    </font>
  </fonts>
  <fills count="14">
    <fill>
      <patternFill/>
    </fill>
    <fill>
      <patternFill patternType="gray125"/>
    </fill>
    <fill>
      <patternFill patternType="solid">
        <fgColor rgb="001F3A5F"/>
      </patternFill>
    </fill>
    <fill>
      <patternFill patternType="solid">
        <fgColor rgb="00FFF4D6"/>
      </patternFill>
    </fill>
    <fill>
      <patternFill patternType="solid">
        <fgColor rgb="00F6F0FA"/>
      </patternFill>
    </fill>
    <fill>
      <patternFill patternType="solid">
        <fgColor rgb="00E6EEF8"/>
      </patternFill>
    </fill>
    <fill>
      <patternFill patternType="solid">
        <fgColor rgb="00E8F1E8"/>
      </patternFill>
    </fill>
    <fill>
      <patternFill patternType="solid">
        <fgColor rgb="00F3F3F3"/>
      </patternFill>
    </fill>
    <fill>
      <patternFill patternType="solid">
        <fgColor rgb="00E2EFDA"/>
      </patternFill>
    </fill>
    <fill>
      <patternFill patternType="solid">
        <fgColor rgb="00EDEDED"/>
      </patternFill>
    </fill>
    <fill>
      <patternFill patternType="solid">
        <fgColor rgb="00FFEB9C"/>
      </patternFill>
    </fill>
    <fill>
      <patternFill patternType="solid">
        <fgColor rgb="00C6EFCE"/>
      </patternFill>
    </fill>
    <fill>
      <patternFill patternType="solid">
        <fgColor rgb="00FFC7CE"/>
      </patternFill>
    </fill>
    <fill>
      <patternFill patternType="solid">
        <fgColor rgb="00FFF2CC"/>
      </patternFill>
    </fill>
  </fills>
  <borders count="2">
    <border>
      <left/>
      <right/>
      <top/>
      <bottom/>
      <diagonal/>
    </border>
    <border>
      <bottom style="thin">
        <color rgb="00D9D9D9"/>
      </bottom>
    </border>
  </borders>
  <cellStyleXfs count="1">
    <xf numFmtId="0" fontId="0" fillId="0" borderId="0"/>
  </cellStyleXfs>
  <cellXfs count="37">
    <xf numFmtId="0" fontId="0" fillId="0" borderId="0" pivotButton="0" quotePrefix="0" xfId="0"/>
    <xf numFmtId="0" fontId="4" fillId="0" borderId="0" pivotButton="0" quotePrefix="0" xfId="0"/>
    <xf numFmtId="0" fontId="5" fillId="0" borderId="0" pivotButton="0" quotePrefix="0" xfId="0"/>
    <xf numFmtId="0" fontId="1" fillId="2" borderId="0" pivotButton="0" quotePrefix="0" xfId="0"/>
    <xf numFmtId="0" fontId="0" fillId="2" borderId="0" pivotButton="0" quotePrefix="0" xfId="0"/>
    <xf numFmtId="1" fontId="6" fillId="0" borderId="0" pivotButton="0" quotePrefix="0" xfId="0"/>
    <xf numFmtId="3" fontId="0" fillId="0" borderId="0" pivotButton="0" quotePrefix="0" xfId="0"/>
    <xf numFmtId="165" fontId="0" fillId="0" borderId="0" pivotButton="0" quotePrefix="0" xfId="0"/>
    <xf numFmtId="3" fontId="6" fillId="0" borderId="0" pivotButton="0" quotePrefix="0" xfId="0"/>
    <xf numFmtId="0" fontId="0" fillId="11" borderId="0" pivotButton="0" quotePrefix="0" xfId="0"/>
    <xf numFmtId="0" fontId="0" fillId="8" borderId="0" pivotButton="0" quotePrefix="0" xfId="0"/>
    <xf numFmtId="0" fontId="0" fillId="10" borderId="0" pivotButton="0" quotePrefix="0" xfId="0"/>
    <xf numFmtId="0" fontId="0" fillId="12" borderId="0" pivotButton="0" quotePrefix="0" xfId="0"/>
    <xf numFmtId="0" fontId="0" fillId="9" borderId="0" pivotButton="0" quotePrefix="0" xfId="0"/>
    <xf numFmtId="0" fontId="1" fillId="2" borderId="0" applyAlignment="1" pivotButton="0" quotePrefix="0" xfId="0">
      <alignment vertical="center" wrapText="1"/>
    </xf>
    <xf numFmtId="0" fontId="2" fillId="0" borderId="1" pivotButton="0" quotePrefix="0" xfId="0"/>
    <xf numFmtId="3" fontId="0" fillId="0" borderId="1" pivotButton="0" quotePrefix="0" xfId="0"/>
    <xf numFmtId="0" fontId="0" fillId="0" borderId="1" pivotButton="0" quotePrefix="0" xfId="0"/>
    <xf numFmtId="0" fontId="0" fillId="3" borderId="1" pivotButton="0" quotePrefix="0" xfId="0"/>
    <xf numFmtId="165" fontId="0" fillId="3" borderId="1" pivotButton="0" quotePrefix="0" xfId="0"/>
    <xf numFmtId="0" fontId="0" fillId="4" borderId="1" pivotButton="0" quotePrefix="0" xfId="0"/>
    <xf numFmtId="3" fontId="0" fillId="5" borderId="1" pivotButton="0" quotePrefix="0" xfId="0"/>
    <xf numFmtId="0" fontId="2" fillId="8" borderId="1" applyAlignment="1" pivotButton="0" quotePrefix="0" xfId="0">
      <alignment horizontal="center"/>
    </xf>
    <xf numFmtId="9" fontId="0" fillId="5" borderId="1" pivotButton="0" quotePrefix="0" xfId="0"/>
    <xf numFmtId="164" fontId="0" fillId="5" borderId="1" pivotButton="0" quotePrefix="0" xfId="0"/>
    <xf numFmtId="0" fontId="0" fillId="5" borderId="1" pivotButton="0" quotePrefix="0" xfId="0"/>
    <xf numFmtId="3" fontId="2" fillId="5" borderId="1" pivotButton="0" quotePrefix="0" xfId="0"/>
    <xf numFmtId="0" fontId="0" fillId="6" borderId="1" pivotButton="0" quotePrefix="0" xfId="0"/>
    <xf numFmtId="0" fontId="3" fillId="6" borderId="1" pivotButton="0" quotePrefix="0" xfId="0"/>
    <xf numFmtId="0" fontId="0" fillId="7" borderId="1" pivotButton="0" quotePrefix="0" xfId="0"/>
    <xf numFmtId="0" fontId="2" fillId="9" borderId="1" applyAlignment="1" pivotButton="0" quotePrefix="0" xfId="0">
      <alignment horizontal="center"/>
    </xf>
    <xf numFmtId="0" fontId="2" fillId="10" borderId="1" applyAlignment="1" pivotButton="0" quotePrefix="0" xfId="0">
      <alignment horizontal="center"/>
    </xf>
    <xf numFmtId="0" fontId="2" fillId="11" borderId="1" applyAlignment="1" pivotButton="0" quotePrefix="0" xfId="0">
      <alignment horizontal="center"/>
    </xf>
    <xf numFmtId="0" fontId="2" fillId="12" borderId="1" applyAlignment="1" pivotButton="0" quotePrefix="0" xfId="0">
      <alignment horizontal="center"/>
    </xf>
    <xf numFmtId="0" fontId="6" fillId="0" borderId="0" pivotButton="0" quotePrefix="0" xfId="0"/>
    <xf numFmtId="9" fontId="0" fillId="13" borderId="0" pivotButton="0" quotePrefix="0" xfId="0"/>
    <xf numFmtId="0" fontId="0" fillId="13" borderId="0" pivotButton="0" quotePrefix="0" xfId="0"/>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marquesadmjudicial.com.br/sgc/download.php?file=files/processo_documento/processo_documento19270817122025_1_.pdf&amp;nome=Rela&#231;&#227;o Nominal de Credores AJ" TargetMode="External" Id="rId1" /><Relationship Type="http://schemas.openxmlformats.org/officeDocument/2006/relationships/hyperlink" Target="https://scalzilliaj.com.br/sgc/download.php?file=files/processo_documento/processo_documento09514021082025_1_.pdf&amp;nome=04 - Rela&#231;&#227;o de credores das Recuperandas" TargetMode="External" Id="rId2" /><Relationship Type="http://schemas.openxmlformats.org/officeDocument/2006/relationships/hyperlink" Target="https://assistjud.com.br/wp-content/uploads/elementor/forms/65098c80a5824.pdf" TargetMode="External" Id="rId3"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4"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5"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6" /><Relationship Type="http://schemas.openxmlformats.org/officeDocument/2006/relationships/hyperlink" Target="https://lrflideres.com.br/wp-content/plugins/download-attachments/includes/download.php?id=6051" TargetMode="External" Id="rId7" /><Relationship Type="http://schemas.openxmlformats.org/officeDocument/2006/relationships/hyperlink" Target="https://scalzilliaj.com.br/sgc/download.php?file=files/processo_documento/processo_documento09514021082025_1_.pdf&amp;nome=04 - Rela&#231;&#227;o de credores das Recuperandas" TargetMode="External" Id="rId8" /><Relationship Type="http://schemas.openxmlformats.org/officeDocument/2006/relationships/hyperlink" Target="https://lrflideres.com.br/wp-content/plugins/download-attachments/includes/download.php?id=4023" TargetMode="External" Id="rId9" /><Relationship Type="http://schemas.openxmlformats.org/officeDocument/2006/relationships/hyperlink" Target="https://inova-aj.com.br/wp-content/uploads/2026/08/1a-Relacao-de-Credores-Real.pdf" TargetMode="External" Id="rId10" /><Relationship Type="http://schemas.openxmlformats.org/officeDocument/2006/relationships/hyperlink" Target="https://violet-wolf-754008.hostingersite.com/wp-content/uploads/2022/10/Primeiro-Edital-de-Credores-Integral-com-creditos.pdf" TargetMode="External" Id="rId11" /><Relationship Type="http://schemas.openxmlformats.org/officeDocument/2006/relationships/hyperlink" Target="https://lrflideres.com.br/wp-content/plugins/download-attachments/includes/download.php?id=6051" TargetMode="External" Id="rId12"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3"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4" /><Relationship Type="http://schemas.openxmlformats.org/officeDocument/2006/relationships/hyperlink" Target="https://recuperasolucoes.com/wp-content/plugins/download-attachments/includes/download.php?id=1597" TargetMode="External" Id="rId15"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6" /><Relationship Type="http://schemas.openxmlformats.org/officeDocument/2006/relationships/hyperlink" Target="https://diligence.adm.br/wp-content/uploads/2025/06/Edital-1a-Lista-de-Credores.pdf" TargetMode="External" Id="rId17" /><Relationship Type="http://schemas.openxmlformats.org/officeDocument/2006/relationships/hyperlink" Target="https://inova-aj.com.br/wp-content/uploads/2026/08/1a-Relacao-de-Credores-Real.pdf" TargetMode="External" Id="rId18"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9" /><Relationship Type="http://schemas.openxmlformats.org/officeDocument/2006/relationships/hyperlink" Target="https://lrflideres.com.br/wp-content/plugins/download-attachments/includes/download.php?id=6879" TargetMode="External" Id="rId20" /><Relationship Type="http://schemas.openxmlformats.org/officeDocument/2006/relationships/hyperlink" Target="https://lrflideres.com.br/wp-content/plugins/download-attachments/includes/download.php?id=4023" TargetMode="External" Id="rId21" /><Relationship Type="http://schemas.openxmlformats.org/officeDocument/2006/relationships/hyperlink" Target="https://lrflideres.com.br/wp-content/plugins/download-attachments/includes/download.php?id=5589" TargetMode="External" Id="rId22" /><Relationship Type="http://schemas.openxmlformats.org/officeDocument/2006/relationships/hyperlink" Target="https://marquesadmjudicial.com.br/sgc/download.php?file=files/processo_documento/processo_documento15232121112024_1_.pdf&amp;nome=Rela&#231;&#227;o de Credores" TargetMode="External" Id="rId23"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4" /><Relationship Type="http://schemas.openxmlformats.org/officeDocument/2006/relationships/hyperlink" Target="https://diligence.adm.br/wp-content/plugins/download-attachments/includes/download.php?id=4579" TargetMode="External" Id="rId25" /><Relationship Type="http://schemas.openxmlformats.org/officeDocument/2006/relationships/hyperlink" Target="https://credibilita.com.br/wp-content/uploads/2025/09/Relacao-Credores-29.04.2026.pdf" TargetMode="External" Id="rId26" /><Relationship Type="http://schemas.openxmlformats.org/officeDocument/2006/relationships/hyperlink" Target="https://credibilita.com.br/wp-content/uploads/2025/09/Relacao-Credores-29.04.2026.pdf" TargetMode="External" Id="rId27" /><Relationship Type="http://schemas.openxmlformats.org/officeDocument/2006/relationships/hyperlink" Target="https://diligence.adm.br/wp-content/plugins/download-attachments/includes/download.php?id=4599" TargetMode="External" Id="rId28" /><Relationship Type="http://schemas.openxmlformats.org/officeDocument/2006/relationships/hyperlink" Target="https://scalzilliaj.com.br/sgc/download.php?file=files/processo_documento/processo_documento13183320052026_1_.pdf&amp;nome=10 - QGC Provis&#243;rio - atualizado at&#233; Maio de 2026" TargetMode="External" Id="rId29" /><Relationship Type="http://schemas.openxmlformats.org/officeDocument/2006/relationships/hyperlink" Target="https://inova-aj.com.br/wp-content/uploads/2026/08/1a-Relacao-de-Credores-Real.pdf" TargetMode="External" Id="rId30" /><Relationship Type="http://schemas.openxmlformats.org/officeDocument/2006/relationships/hyperlink" Target="http://bernardobicalho.com.br/login/app/documents/Rela%C3%A7%C3%A3o%20de%20Credores/6.%20RVC-%20Nutricium%20-%20simplificada.pdf" TargetMode="External" Id="rId31" /><Relationship Type="http://schemas.openxmlformats.org/officeDocument/2006/relationships/hyperlink" Target="https://assistjud.com.br/wp-content/uploads/elementor/forms/65098c80a5824.pdf" TargetMode="External" Id="rId32"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33" /><Relationship Type="http://schemas.openxmlformats.org/officeDocument/2006/relationships/hyperlink" Target="https://diligence.adm.br/wp-content/plugins/download-attachments/includes/download.php?id=4599" TargetMode="External" Id="rId34" /><Relationship Type="http://schemas.openxmlformats.org/officeDocument/2006/relationships/hyperlink" Target="https://credibilita.com.br/wp-content/uploads/2025/09/Relacao-Credores-29.04.2026.pdf" TargetMode="External" Id="rId35"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36" /><Relationship Type="http://schemas.openxmlformats.org/officeDocument/2006/relationships/hyperlink" Target="https://cataliseaj.com.br/sgc/download.php?file=files/processo_documento/processo_documento15092204102024_1_.pdf&amp;nome=02. RELA&#199;&#195;O DE CREDORES" TargetMode="External" Id="rId37" /><Relationship Type="http://schemas.openxmlformats.org/officeDocument/2006/relationships/hyperlink" Target="https://ajruiz.com.br/sites/default/files/public/arquivos-processos/2026-06/alto_uruguai_qgc_junho.2026.pdf" TargetMode="External" Id="rId38" /><Relationship Type="http://schemas.openxmlformats.org/officeDocument/2006/relationships/hyperlink" Target="https://recuperasolucoes.com/wp-content/plugins/download-attachments/includes/download.php?id=1597" TargetMode="External" Id="rId39" /><Relationship Type="http://schemas.openxmlformats.org/officeDocument/2006/relationships/hyperlink" Target="https://lrflideres.com.br/wp-content/plugins/download-attachments/includes/download.php?id=6879" TargetMode="External" Id="rId40" /><Relationship Type="http://schemas.openxmlformats.org/officeDocument/2006/relationships/hyperlink" Target="https://stenius.com.br/wp-content/uploads/2026/06/EDITAL-GRUPO-3E.pdf" TargetMode="External" Id="rId41" /><Relationship Type="http://schemas.openxmlformats.org/officeDocument/2006/relationships/hyperlink" Target="https://lrflideres.com.br/wp-content/plugins/download-attachments/includes/download.php?id=6879" TargetMode="External" Id="rId42" /><Relationship Type="http://schemas.openxmlformats.org/officeDocument/2006/relationships/hyperlink" Target="https://lrflideres.com.br/wp-content/plugins/download-attachments/includes/download.php?id=4023" TargetMode="External" Id="rId43" /><Relationship Type="http://schemas.openxmlformats.org/officeDocument/2006/relationships/hyperlink" Target="https://vtladm.com.br/wp-content/uploads/2026/06/02-&#8211;-Relacao-de-Credores-&#8211;-NAIR-AKICO-KAWAKAMI-MORIOKA-E-OUTROS.pdf" TargetMode="External" Id="rId44" /><Relationship Type="http://schemas.openxmlformats.org/officeDocument/2006/relationships/hyperlink" Target="https://lrflideres.com.br/wp-content/plugins/download-attachments/includes/download.php?id=6879" TargetMode="External" Id="rId45" /><Relationship Type="http://schemas.openxmlformats.org/officeDocument/2006/relationships/hyperlink" Target="https://scalzilliaj.com.br/sgc/download.php?file=files/processo_documento/processo_documento13183320052026_1_.pdf&amp;nome=10 - QGC Provis&#243;rio - atualizado at&#233; Maio de 2026" TargetMode="External" Id="rId46" /><Relationship Type="http://schemas.openxmlformats.org/officeDocument/2006/relationships/hyperlink" Target="https://lrflideres.com.br/wp-content/plugins/download-attachments/includes/download.php?id=4023" TargetMode="External" Id="rId47" /><Relationship Type="http://schemas.openxmlformats.org/officeDocument/2006/relationships/hyperlink" Target="https://marquesadmjudicial.com.br/sgc/download.php?file=files/processo_documento/processo_documento16562707032024_1_.pdf&amp;nome=2&#186; Edital-Rela&#231;&#227;o de Credores do art. 7, &#167;2 da LREF e do Plano de Recupera&#231;&#227;o Judicial" TargetMode="External" Id="rId48" /><Relationship Type="http://schemas.openxmlformats.org/officeDocument/2006/relationships/hyperlink" Target="https://credibilita.com.br/wp-content/uploads/2025/09/Relacao-Credores-29.04.2026.pdf" TargetMode="External" Id="rId49" /><Relationship Type="http://schemas.openxmlformats.org/officeDocument/2006/relationships/hyperlink" Target="https://lrflideres.com.br/wp-content/plugins/download-attachments/includes/download.php?id=5828" TargetMode="External" Id="rId50" /><Relationship Type="http://schemas.openxmlformats.org/officeDocument/2006/relationships/hyperlink" Target="https://scalzilliaj.com.br/sgc/download.php?file=files/processo_documento/processo_documento09514021082025_1_.pdf&amp;nome=04 - Rela&#231;&#227;o de credores das Recuperandas" TargetMode="External" Id="rId51" /><Relationship Type="http://schemas.openxmlformats.org/officeDocument/2006/relationships/hyperlink" Target="https://stenius.com.br/wp-content/uploads/2026/06/EDITAL-GRUPO-3E.pdf" TargetMode="External" Id="rId52" /><Relationship Type="http://schemas.openxmlformats.org/officeDocument/2006/relationships/hyperlink" Target="https://credibilita.com.br/wp-content/uploads/2025/09/Relacao-Credores-29.04.2026.pdf" TargetMode="External" Id="rId53"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54" /><Relationship Type="http://schemas.openxmlformats.org/officeDocument/2006/relationships/hyperlink" Target="https://lrflideres.com.br/wp-content/plugins/download-attachments/includes/download.php?id=5589" TargetMode="External" Id="rId55" /><Relationship Type="http://schemas.openxmlformats.org/officeDocument/2006/relationships/hyperlink" Target="https://bbsadvogados.com.br/wp-content/uploads/2025/04/Equipseg-Edital-Relacao-de-Credores-da-Administradora-Judicial-art.-7o2o-da-LRF.pdf" TargetMode="External" Id="rId56" /><Relationship Type="http://schemas.openxmlformats.org/officeDocument/2006/relationships/hyperlink" Target="https://lrflideres.com.br/wp-content/plugins/download-attachments/includes/download.php?id=4023" TargetMode="External" Id="rId57" /><Relationship Type="http://schemas.openxmlformats.org/officeDocument/2006/relationships/hyperlink" Target="https://lrflideres.com.br/wp-content/plugins/download-attachments/includes/download.php?id=6252" TargetMode="External" Id="rId58" /><Relationship Type="http://schemas.openxmlformats.org/officeDocument/2006/relationships/hyperlink" Target="https://diligence.adm.br/wp-content/plugins/download-attachments/includes/download.php?id=4599" TargetMode="External" Id="rId59"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60" /><Relationship Type="http://schemas.openxmlformats.org/officeDocument/2006/relationships/hyperlink" Target="https://scalzilliaj.com.br/sgc/download.php?file=files/processo_documento/processo_documento09514021082025_1_.pdf&amp;nome=04 - Rela&#231;&#227;o de credores das Recuperandas" TargetMode="External" Id="rId61" /><Relationship Type="http://schemas.openxmlformats.org/officeDocument/2006/relationships/hyperlink" Target="https://administradorajudicialgs.com.br/wp-content/uploads/2024/12/relacao-de-credores-da-falida.pdf" TargetMode="External" Id="rId62"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63" /><Relationship Type="http://schemas.openxmlformats.org/officeDocument/2006/relationships/hyperlink" Target="https://stenius.com.br/wp-content/uploads/2026/06/EDITAL-GRUPO-3E.pdf" TargetMode="External" Id="rId64" /><Relationship Type="http://schemas.openxmlformats.org/officeDocument/2006/relationships/hyperlink" Target="https://credibilita.com.br/wp-content/uploads/2025/09/Relacao-Credores-29.04.2026.pdf" TargetMode="External" Id="rId65" /><Relationship Type="http://schemas.openxmlformats.org/officeDocument/2006/relationships/hyperlink" Target="https://inova-aj.com.br/wp-content/uploads/2026/08/1a-Relacao-de-Credores-Real.pdf" TargetMode="External" Id="rId66" /><Relationship Type="http://schemas.openxmlformats.org/officeDocument/2006/relationships/hyperlink" Target="https://stenius.com.br/wp-content/uploads/2026/06/EDITAL-GRUPO-3E.pdf" TargetMode="External" Id="rId67" /><Relationship Type="http://schemas.openxmlformats.org/officeDocument/2006/relationships/hyperlink" Target="https://assistjud.com.br/wp-content/uploads/elementor/forms/65098c80a5824.pdf" TargetMode="External" Id="rId68" /><Relationship Type="http://schemas.openxmlformats.org/officeDocument/2006/relationships/hyperlink" Target="https://ajruiz.com.br/sites/default/files/public/arquivos-processos/2026-06/alto_uruguai_qgc_junho.2026.pdf" TargetMode="External" Id="rId69" /><Relationship Type="http://schemas.openxmlformats.org/officeDocument/2006/relationships/hyperlink" Target="https://ajruiz.com.br/sites/default/files/public/arquivos-processos/2023-11/4_relacao_de_credores_analitica_art._51_iii_da_lre.pdf" TargetMode="External" Id="rId70" /><Relationship Type="http://schemas.openxmlformats.org/officeDocument/2006/relationships/hyperlink" Target="https://lrflideres.com.br/wp-content/plugins/download-attachments/includes/download.php?id=6879" TargetMode="External" Id="rId71" /><Relationship Type="http://schemas.openxmlformats.org/officeDocument/2006/relationships/hyperlink" Target="https://rlg-aj.com.br/wp-content/uploads/2024/11/07.-Rela&#231;&#227;o-de-credores.pdf" TargetMode="External" Id="rId72"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73" /><Relationship Type="http://schemas.openxmlformats.org/officeDocument/2006/relationships/hyperlink" Target="https://lrflideres.com.br/wp-content/plugins/download-attachments/includes/download.php?id=5589" TargetMode="External" Id="rId74" /><Relationship Type="http://schemas.openxmlformats.org/officeDocument/2006/relationships/hyperlink" Target="https://marquesadmjudicial.com.br/sgc/download.php?file=files/processo_documento/processo_documento18581929042026_1_.pdf&amp;nome=3&#186; Edital - Rela&#231;&#227;o de Credores e PRJ" TargetMode="External" Id="rId75"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76" /><Relationship Type="http://schemas.openxmlformats.org/officeDocument/2006/relationships/hyperlink" Target="https://vivanteaj.com.br/wp-content/uploads/2025/02/2a-lista-de-credores-Agro-Safra-e-outros.pdf" TargetMode="External" Id="rId77" /><Relationship Type="http://schemas.openxmlformats.org/officeDocument/2006/relationships/hyperlink" Target="https://lrflideres.com.br/wp-content/plugins/download-attachments/includes/download.php?id=5589" TargetMode="External" Id="rId78"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79" /><Relationship Type="http://schemas.openxmlformats.org/officeDocument/2006/relationships/hyperlink" Target="https://scalzilliaj.com.br/sgc/download.php?file=files/processo_documento/processo_documento09514021082025_1_.pdf&amp;nome=04 - Rela&#231;&#227;o de credores das Recuperandas" TargetMode="External" Id="rId80"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81"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82" /><Relationship Type="http://schemas.openxmlformats.org/officeDocument/2006/relationships/hyperlink" Target="https://rlg-aj.com.br/wp-content/uploads/2024/11/07.-Rela&#231;&#227;o-de-credores.pdf" TargetMode="External" Id="rId83" /><Relationship Type="http://schemas.openxmlformats.org/officeDocument/2006/relationships/hyperlink" Target="https://rlg-aj.com.br/wp-content/uploads/2024/11/07.-Rela&#231;&#227;o-de-credores.pdf" TargetMode="External" Id="rId84" /><Relationship Type="http://schemas.openxmlformats.org/officeDocument/2006/relationships/hyperlink" Target="https://assistjud.com.br/wp-content/uploads/elementor/forms/65098c80a5824.pdf" TargetMode="External" Id="rId85" /><Relationship Type="http://schemas.openxmlformats.org/officeDocument/2006/relationships/hyperlink" Target="https://scalzilliaj.com.br/sgc/download.php?file=files/processo_documento/processo_documento09514021082025_1_.pdf&amp;nome=04 - Rela&#231;&#227;o de credores das Recuperandas" TargetMode="External" Id="rId86"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87"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88" /><Relationship Type="http://schemas.openxmlformats.org/officeDocument/2006/relationships/hyperlink" Target="https://administradorajudicialgs.com.br/wp-content/uploads/2024/12/relacao-de-credores-da-falida.pdf" TargetMode="External" Id="rId89" /><Relationship Type="http://schemas.openxmlformats.org/officeDocument/2006/relationships/hyperlink" Target="https://ajruiz.com.br/sites/default/files/public/arquivos-processos/2023-11/4_relacao_de_credores_analitica_art._51_iii_da_lre.pdf" TargetMode="External" Id="rId90" /><Relationship Type="http://schemas.openxmlformats.org/officeDocument/2006/relationships/hyperlink" Target="https://assistjud.com.br/wp-content/uploads/elementor/forms/65098c80a5824.pdf" TargetMode="External" Id="rId91" /><Relationship Type="http://schemas.openxmlformats.org/officeDocument/2006/relationships/hyperlink" Target="https://cataliseaj.com.br/sgc/download.php?file=files/processo_documento/processo_documento15092204102024_1_.pdf&amp;nome=02. RELA&#199;&#195;O DE CREDORES" TargetMode="External" Id="rId92" /><Relationship Type="http://schemas.openxmlformats.org/officeDocument/2006/relationships/hyperlink" Target="https://lrflideres.com.br/wp-content/plugins/download-attachments/includes/download.php?id=6879" TargetMode="External" Id="rId93"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94"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95" /><Relationship Type="http://schemas.openxmlformats.org/officeDocument/2006/relationships/hyperlink" Target="https://credibilita.com.br/wp-content/uploads/2025/09/Relacao-Credores-29.04.2026.pdf" TargetMode="External" Id="rId96"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97"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98" /><Relationship Type="http://schemas.openxmlformats.org/officeDocument/2006/relationships/hyperlink" Target="https://stenius.com.br/wp-content/uploads/2026/06/EDITAL-GRUPO-3E.pdf" TargetMode="External" Id="rId99" /><Relationship Type="http://schemas.openxmlformats.org/officeDocument/2006/relationships/hyperlink" Target="https://marquesadmjudicial.com.br/sgc/download.php?file=files/processo_documento/processo_documento17040729052024_1_.pdf&amp;nome=Rela&#231;&#227;o Nominal de Credores AJ-Sint&#233;tica" TargetMode="External" Id="rId100"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01" /><Relationship Type="http://schemas.openxmlformats.org/officeDocument/2006/relationships/hyperlink" Target="https://rlg-aj.com.br/wp-content/uploads/2024/11/07.-Rela&#231;&#227;o-de-credores.pdf" TargetMode="External" Id="rId102" /><Relationship Type="http://schemas.openxmlformats.org/officeDocument/2006/relationships/hyperlink" Target="https://stenius.com.br/wp-content/uploads/2026/07/EDITAL-1-RELACAO-DE-CREDORES-GRUPO-GE.pdf" TargetMode="External" Id="rId103" /><Relationship Type="http://schemas.openxmlformats.org/officeDocument/2006/relationships/hyperlink" Target="https://recuperacaojudicial.squarespace.com/s/RJ-Credimoveis-QGC-01082025.pdf" TargetMode="External" Id="rId104" /><Relationship Type="http://schemas.openxmlformats.org/officeDocument/2006/relationships/hyperlink" Target="https://administradorajudicialgs.com.br/wp-content/uploads/2024/12/relacao-de-credores-da-falida.pdf" TargetMode="External" Id="rId105" /><Relationship Type="http://schemas.openxmlformats.org/officeDocument/2006/relationships/hyperlink" Target="https://assistjud.com.br/wp-content/uploads/elementor/forms/65098c80a5824.pdf" TargetMode="External" Id="rId106"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07" /><Relationship Type="http://schemas.openxmlformats.org/officeDocument/2006/relationships/hyperlink" Target="https://diligence.adm.br/wp-content/plugins/download-attachments/includes/download.php?id=4599" TargetMode="External" Id="rId108" /><Relationship Type="http://schemas.openxmlformats.org/officeDocument/2006/relationships/hyperlink" Target="https://lrflideres.com.br/wp-content/plugins/download-attachments/includes/download.php?id=6879" TargetMode="External" Id="rId109" /><Relationship Type="http://schemas.openxmlformats.org/officeDocument/2006/relationships/hyperlink" Target="https://administradorajudicialgs.com.br/wp-content/uploads/2024/12/relacao-de-credores-da-falida.pdf" TargetMode="External" Id="rId110" /><Relationship Type="http://schemas.openxmlformats.org/officeDocument/2006/relationships/hyperlink" Target="https://lrflideres.com.br/wp-content/plugins/download-attachments/includes/download.php?id=6879" TargetMode="External" Id="rId111" /><Relationship Type="http://schemas.openxmlformats.org/officeDocument/2006/relationships/hyperlink" Target="https://marquesadmjudicial.com.br/sgc/download.php?file=files/processo_documento/processo_documento17040729052024_1_.pdf&amp;nome=Rela&#231;&#227;o Nominal de Credores AJ-Sint&#233;tica" TargetMode="External" Id="rId112" /><Relationship Type="http://schemas.openxmlformats.org/officeDocument/2006/relationships/hyperlink" Target="https://marquesadmjudicial.com.br/sgc/download.php?file=files/processo_documento/processo_documento17040729052024_1_.pdf&amp;nome=Rela&#231;&#227;o Nominal de Credores AJ-Sint&#233;tica" TargetMode="External" Id="rId113" /><Relationship Type="http://schemas.openxmlformats.org/officeDocument/2006/relationships/hyperlink" Target="https://vivanteaj.com.br/wp-content/uploads/2024/11/1a-lista-de-credores-JA-Santos.pdf" TargetMode="External" Id="rId114" /><Relationship Type="http://schemas.openxmlformats.org/officeDocument/2006/relationships/hyperlink" Target="https://recuperacaojudicial.squarespace.com/s/RJ-Credimoveis-QGC-01082025.pdf" TargetMode="External" Id="rId115" /><Relationship Type="http://schemas.openxmlformats.org/officeDocument/2006/relationships/hyperlink" Target="https://stenius.com.br/wp-content/uploads/2026/06/EDITAL-GRUPO-3E.pdf" TargetMode="External" Id="rId116" /><Relationship Type="http://schemas.openxmlformats.org/officeDocument/2006/relationships/hyperlink" Target="https://scalzilliaj.com.br/sgc/download.php?file=files/processo_documento/processo_documento09514021082025_1_.pdf&amp;nome=04 - Rela&#231;&#227;o de credores das Recuperandas" TargetMode="External" Id="rId117" /><Relationship Type="http://schemas.openxmlformats.org/officeDocument/2006/relationships/hyperlink" Target="https://ajruiz.com.br/sites/default/files/public/arquivos-processos/2026-06/alto_uruguai_qgc_junho.2026.pdf" TargetMode="External" Id="rId118" /><Relationship Type="http://schemas.openxmlformats.org/officeDocument/2006/relationships/hyperlink" Target="https://lrflideres.com.br/wp-content/plugins/download-attachments/includes/download.php?id=4023" TargetMode="External" Id="rId119" /><Relationship Type="http://schemas.openxmlformats.org/officeDocument/2006/relationships/hyperlink" Target="https://cataliseaj.com.br/sgc/download.php?file=files/processo_documento/processo_documento15092204102024_1_.pdf&amp;nome=02. RELA&#199;&#195;O DE CREDORES" TargetMode="External" Id="rId120" /><Relationship Type="http://schemas.openxmlformats.org/officeDocument/2006/relationships/hyperlink" Target="https://marquesadmjudicial.com.br/sgc/download.php?file=files/processo_documento/processo_documento17040729052024_1_.pdf&amp;nome=Rela&#231;&#227;o Nominal de Credores AJ-Sint&#233;tica" TargetMode="External" Id="rId121"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22" /><Relationship Type="http://schemas.openxmlformats.org/officeDocument/2006/relationships/hyperlink" Target="https://lrflideres.com.br/wp-content/plugins/download-attachments/includes/download.php?id=4023" TargetMode="External" Id="rId123" /><Relationship Type="http://schemas.openxmlformats.org/officeDocument/2006/relationships/hyperlink" Target="https://marquesadmjudicial.com.br/sgc/download.php?file=files/processo_documento/processo_documento15232121112024_1_.pdf&amp;nome=Rela&#231;&#227;o de Credores" TargetMode="External" Id="rId124" /><Relationship Type="http://schemas.openxmlformats.org/officeDocument/2006/relationships/hyperlink" Target="https://realbrasil.com.br/wp-content/uploads/2018/06/2_LISTA-DE-CREDORES-DA-RECUPERANDA_ROQUE.pdf" TargetMode="External" Id="rId125" /><Relationship Type="http://schemas.openxmlformats.org/officeDocument/2006/relationships/hyperlink" Target="https://inova-aj.com.br/wp-content/uploads/2026/08/1a-Relacao-de-Credores-Real.pdf" TargetMode="External" Id="rId126"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27" /><Relationship Type="http://schemas.openxmlformats.org/officeDocument/2006/relationships/hyperlink" Target="https://lrflideres.com.br/wp-content/plugins/download-attachments/includes/download.php?id=5589" TargetMode="External" Id="rId128" /><Relationship Type="http://schemas.openxmlformats.org/officeDocument/2006/relationships/hyperlink" Target="https://credibilita.com.br/wp-content/uploads/2025/09/Relacao-Credores-29.04.2026.pdf" TargetMode="External" Id="rId129"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30" /><Relationship Type="http://schemas.openxmlformats.org/officeDocument/2006/relationships/hyperlink" Target="https://ajruiz.com.br/sites/default/files/public/arquivos-processos/2026-08/qgc_azeplast_julho_2026.pdf" TargetMode="External" Id="rId131" /><Relationship Type="http://schemas.openxmlformats.org/officeDocument/2006/relationships/hyperlink" Target="https://administradorajudicialgs.com.br/wp-content/uploads/2023/08/advogados-sgrott-doc-22-relacao-de-credores-do-administrador-judicial-classe-iii-05-02-14.pdf" TargetMode="External" Id="rId132" /><Relationship Type="http://schemas.openxmlformats.org/officeDocument/2006/relationships/hyperlink" Target="https://ajruiz.com.br/sites/default/files/public/arquivos-processos/2023-11/4_relacao_de_credores_analitica_art._51_iii_da_lre.pdf" TargetMode="External" Id="rId133" /><Relationship Type="http://schemas.openxmlformats.org/officeDocument/2006/relationships/hyperlink" Target="https://rlg-aj.com.br/wp-content/uploads/2024/11/07.-Rela&#231;&#227;o-de-credores.pdf" TargetMode="External" Id="rId134" /><Relationship Type="http://schemas.openxmlformats.org/officeDocument/2006/relationships/hyperlink" Target="https://recuperacaojudicial.squarespace.com/s/RJ-Credimoveis-QGC-01082025.pdf" TargetMode="External" Id="rId135"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36" /><Relationship Type="http://schemas.openxmlformats.org/officeDocument/2006/relationships/hyperlink" Target="https://administradorajudicialgs.com.br/wp-content/uploads/2023/08/advogados-sgrott-doc-22-relacao-de-credores-do-administrador-judicial-classe-iii-05-02-14.pdf" TargetMode="External" Id="rId137" /><Relationship Type="http://schemas.openxmlformats.org/officeDocument/2006/relationships/hyperlink" Target="https://stenius.com.br/wp-content/uploads/2026/06/EDITAL-GRUPO-3E.pdf" TargetMode="External" Id="rId138" /><Relationship Type="http://schemas.openxmlformats.org/officeDocument/2006/relationships/hyperlink" Target="https://bugarimecoelho.com.br/ws/media-library/b6b7ea42b9fa2afe30bc728fe00cd5c6/07---edital-do-processamento-da-recuperacao-judicial.pdf" TargetMode="External" Id="rId139" /><Relationship Type="http://schemas.openxmlformats.org/officeDocument/2006/relationships/hyperlink" Target="https://lrflideres.com.br/wp-content/plugins/download-attachments/includes/download.php?id=4023" TargetMode="External" Id="rId140" /><Relationship Type="http://schemas.openxmlformats.org/officeDocument/2006/relationships/hyperlink" Target="https://credibilita.com.br/wp-content/uploads/2025/09/Relacao-Credores-29.04.2026.pdf" TargetMode="External" Id="rId141" /><Relationship Type="http://schemas.openxmlformats.org/officeDocument/2006/relationships/hyperlink" Target="https://lrflideres.com.br/wp-content/plugins/download-attachments/includes/download.php?id=5589" TargetMode="External" Id="rId142" /><Relationship Type="http://schemas.openxmlformats.org/officeDocument/2006/relationships/hyperlink" Target="https://administradorajudicialgs.com.br/wp-content/uploads/2024/12/relacao-de-credores-da-falida.pdf" TargetMode="External" Id="rId143" /><Relationship Type="http://schemas.openxmlformats.org/officeDocument/2006/relationships/hyperlink" Target="https://administradorajudicialgs.com.br/wp-content/uploads/2023/08/advogados-sgrott-doc-22-relacao-de-credores-do-administrador-judicial-classe-iii-05-02-14.pdf" TargetMode="External" Id="rId144" /><Relationship Type="http://schemas.openxmlformats.org/officeDocument/2006/relationships/hyperlink" Target="https://scalzilliaj.com.br/sgc/download.php?file=files/processo_documento/processo_documento09514021082025_1_.pdf&amp;nome=04 - Rela&#231;&#227;o de credores das Recuperandas" TargetMode="External" Id="rId145"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146"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47" /><Relationship Type="http://schemas.openxmlformats.org/officeDocument/2006/relationships/hyperlink" Target="https://scalzilliaj.com.br/sgc/download.php?file=files/processo_documento/processo_documento09514021082025_1_.pdf&amp;nome=04 - Rela&#231;&#227;o de credores das Recuperandas" TargetMode="External" Id="rId148" /><Relationship Type="http://schemas.openxmlformats.org/officeDocument/2006/relationships/hyperlink" Target="https://lrflideres.com.br/wp-content/plugins/download-attachments/includes/download.php?id=4023" TargetMode="External" Id="rId149" /><Relationship Type="http://schemas.openxmlformats.org/officeDocument/2006/relationships/hyperlink" Target="https://stenius.com.br/wp-content/uploads/2026/06/EDITAL-GRUPO-3E.pdf" TargetMode="External" Id="rId150" /><Relationship Type="http://schemas.openxmlformats.org/officeDocument/2006/relationships/hyperlink" Target="https://lrflideres.com.br/wp-content/plugins/download-attachments/includes/download.php?id=6879" TargetMode="External" Id="rId151" /><Relationship Type="http://schemas.openxmlformats.org/officeDocument/2006/relationships/hyperlink" Target="https://administradorajudicialgs.com.br/wp-content/uploads/2024/12/relacao-de-credores-da-falida.pdf" TargetMode="External" Id="rId152"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53" /><Relationship Type="http://schemas.openxmlformats.org/officeDocument/2006/relationships/hyperlink" Target="https://assistjud.com.br/wp-content/uploads/elementor/forms/65098c80a5824.pdf" TargetMode="External" Id="rId154"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55"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156" /><Relationship Type="http://schemas.openxmlformats.org/officeDocument/2006/relationships/hyperlink" Target="https://lrflideres.com.br/wp-content/plugins/download-attachments/includes/download.php?id=4023" TargetMode="External" Id="rId157" /><Relationship Type="http://schemas.openxmlformats.org/officeDocument/2006/relationships/hyperlink" Target="https://rlg-aj.com.br/wp-content/uploads/2024/11/07.-Rela&#231;&#227;o-de-credores.pdf" TargetMode="External" Id="rId158" /><Relationship Type="http://schemas.openxmlformats.org/officeDocument/2006/relationships/hyperlink" Target="https://violet-wolf-754008.hostingersite.com/wp-content/uploads/recuperacoes-judiciais/Ebramec/2o-Edital-de-Credores.pdf" TargetMode="External" Id="rId159" /><Relationship Type="http://schemas.openxmlformats.org/officeDocument/2006/relationships/hyperlink" Target="https://stenius.com.br/wp-content/uploads/2026/06/EDITAL-GRUPO-3E.pdf" TargetMode="External" Id="rId160" /><Relationship Type="http://schemas.openxmlformats.org/officeDocument/2006/relationships/hyperlink" Target="https://cataliseaj.com.br/sgc/download.php?file=files/processo_documento/processo_documento15092204102024_1_.pdf&amp;nome=02. RELA&#199;&#195;O DE CREDORES" TargetMode="External" Id="rId161" /><Relationship Type="http://schemas.openxmlformats.org/officeDocument/2006/relationships/hyperlink" Target="https://rlg-aj.com.br/wp-content/uploads/2024/11/07.-Rela&#231;&#227;o-de-credores.pdf" TargetMode="External" Id="rId162" /><Relationship Type="http://schemas.openxmlformats.org/officeDocument/2006/relationships/hyperlink" Target="https://ajruiz.com.br/sites/default/files/public/arquivos-processos/2026-08/qgc_azeplast_julho_2026.pdf" TargetMode="External" Id="rId163" /><Relationship Type="http://schemas.openxmlformats.org/officeDocument/2006/relationships/hyperlink" Target="https://marquesadmjudicial.com.br/sgc/download.php?file=files/processo_documento/processo_documento20014127022025_1_.pdf&amp;nome=Rela&#231;&#227;o Nominal de Credores" TargetMode="External" Id="rId164" /><Relationship Type="http://schemas.openxmlformats.org/officeDocument/2006/relationships/hyperlink" Target="https://recuperacaojudicial.squarespace.com/s/4-RJCTREditalda2ListadeCredoresnovembro2019.pdf" TargetMode="External" Id="rId165" /><Relationship Type="http://schemas.openxmlformats.org/officeDocument/2006/relationships/hyperlink" Target="https://lrflideres.com.br/wp-content/uploads/2022/08/4.-EDITAL-2a-LISTA-DE-CREDORES.pdf" TargetMode="External" Id="rId166" /><Relationship Type="http://schemas.openxmlformats.org/officeDocument/2006/relationships/hyperlink" Target="https://marquesadmjudicial.com.br/sgc/download.php?file=files/processo_documento/processo_documento11370527032026_1_.pdf&amp;nome=Quadro Geral de Credores (QGC) -AJ Anterior" TargetMode="External" Id="rId167"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68" /><Relationship Type="http://schemas.openxmlformats.org/officeDocument/2006/relationships/hyperlink" Target="https://marquesadmjudicial.com.br/sgc/download.php?file=files/processo_documento/processo_documento17040729052024_1_.pdf&amp;nome=Rela&#231;&#227;o Nominal de Credores AJ-Sint&#233;tica" TargetMode="External" Id="rId169" /><Relationship Type="http://schemas.openxmlformats.org/officeDocument/2006/relationships/hyperlink" Target="https://rlg-aj.com.br/wp-content/uploads/2024/11/07.-Rela&#231;&#227;o-de-credores.pdf" TargetMode="External" Id="rId170"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71" /><Relationship Type="http://schemas.openxmlformats.org/officeDocument/2006/relationships/hyperlink" Target="https://ajruiz.com.br/sites/default/files/public/arquivos-processos/2023-11/4_relacao_de_credores_analitica_art._51_iii_da_lre.pdf" TargetMode="External" Id="rId172" /><Relationship Type="http://schemas.openxmlformats.org/officeDocument/2006/relationships/hyperlink" Target="https://lrflideres.com.br/wp-content/plugins/download-attachments/includes/download.php?id=4023" TargetMode="External" Id="rId173"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74"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175" /><Relationship Type="http://schemas.openxmlformats.org/officeDocument/2006/relationships/hyperlink" Target="https://lrflideres.com.br/wp-content/uploads/2022/08/4.-EDITAL-2a-LISTA-DE-CREDORES.pdf" TargetMode="External" Id="rId176" /><Relationship Type="http://schemas.openxmlformats.org/officeDocument/2006/relationships/hyperlink" Target="https://scalzilliaj.com.br/sgc/download.php?file=files/processo_documento/processo_documento10141405032024_1_.pdf&amp;nome=10 - Edital do art. 7&#186;, &#167;2&#186; da Lei 11.101/2005 (segunda lista de credores)" TargetMode="External" Id="rId177" /><Relationship Type="http://schemas.openxmlformats.org/officeDocument/2006/relationships/hyperlink" Target="https://marquesadmjudicial.com.br/sgc/download.php?file=files/processo_documento/processo_documento10074612042024_1_.pdf&amp;nome=2&#186; Edital-Rela&#231;&#227;o de Credores AJ e PRJ" TargetMode="External" Id="rId178" /><Relationship Type="http://schemas.openxmlformats.org/officeDocument/2006/relationships/hyperlink" Target="https://ricardobiancardi.com.br/wp-content/uploads/2024/12/Edital-1-relacao-de-credores-pub.-02.12.24-.pdf" TargetMode="External" Id="rId179" /><Relationship Type="http://schemas.openxmlformats.org/officeDocument/2006/relationships/hyperlink" Target="https://ricardobiancardi.com.br/wp-content/uploads/2024/12/Edital-1-relacao-de-credores-pub.-02.12.24-.pdf" TargetMode="External" Id="rId180" /><Relationship Type="http://schemas.openxmlformats.org/officeDocument/2006/relationships/hyperlink" Target="https://stenius.com.br/wp-content/uploads/2026/06/EDITAL-GRUPO-3E.pdf" TargetMode="External" Id="rId181" /><Relationship Type="http://schemas.openxmlformats.org/officeDocument/2006/relationships/hyperlink" Target="https://recuperacaojudicial.squarespace.com/s/RJ-Credimoveis-QGC-01082025.pdf" TargetMode="External" Id="rId182" /><Relationship Type="http://schemas.openxmlformats.org/officeDocument/2006/relationships/hyperlink" Target="https://administradorajudicialgs.com.br/wp-content/uploads/2024/12/relacao-de-credores-da-falida.pdf" TargetMode="External" Id="rId183" /><Relationship Type="http://schemas.openxmlformats.org/officeDocument/2006/relationships/hyperlink" Target="https://lrflideres.com.br/wp-content/plugins/download-attachments/includes/download.php?id=4023" TargetMode="External" Id="rId184" /><Relationship Type="http://schemas.openxmlformats.org/officeDocument/2006/relationships/hyperlink" Target="https://marquesadmjudicial.com.br/sgc/download.php?file=files/processo_documento/processo_documento10074612042024_1_.pdf&amp;nome=2&#186; Edital-Rela&#231;&#227;o de Credores AJ e PRJ" TargetMode="External" Id="rId185" /><Relationship Type="http://schemas.openxmlformats.org/officeDocument/2006/relationships/hyperlink" Target="https://stenius.com.br/wp-content/uploads/2026/06/EDITAL-GRUPO-3E.pdf" TargetMode="External" Id="rId186"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187" /><Relationship Type="http://schemas.openxmlformats.org/officeDocument/2006/relationships/hyperlink" Target="https://scalzilliaj.com.br/sgc/download.php?file=files/processo_documento/processo_documento09514021082025_1_.pdf&amp;nome=04 - Rela&#231;&#227;o de credores das Recuperandas" TargetMode="External" Id="rId188" /><Relationship Type="http://schemas.openxmlformats.org/officeDocument/2006/relationships/hyperlink" Target="https://diligence.adm.br/wp-content/uploads/2025/06/Edital-1a-Lista-de-Credores.pdf" TargetMode="External" Id="rId189" /><Relationship Type="http://schemas.openxmlformats.org/officeDocument/2006/relationships/hyperlink" Target="https://lrflideres.com.br/wp-content/plugins/download-attachments/includes/download.php?id=4023" TargetMode="External" Id="rId190" /><Relationship Type="http://schemas.openxmlformats.org/officeDocument/2006/relationships/hyperlink" Target="https://lrflideres.com.br/wp-content/plugins/download-attachments/includes/download.php?id=5589" TargetMode="External" Id="rId191" /><Relationship Type="http://schemas.openxmlformats.org/officeDocument/2006/relationships/hyperlink" Target="https://lrflideres.com.br/wp-content/plugins/download-attachments/includes/download.php?id=4023" TargetMode="External" Id="rId192" /><Relationship Type="http://schemas.openxmlformats.org/officeDocument/2006/relationships/hyperlink" Target="https://scalzilliaj.com.br/sgc/download.php?file=files/processo_documento/processo_documento09514021082025_1_.pdf&amp;nome=04 - Rela&#231;&#227;o de credores das Recuperandas" TargetMode="External" Id="rId193"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94" /><Relationship Type="http://schemas.openxmlformats.org/officeDocument/2006/relationships/hyperlink" Target="https://marquesadmjudicial.com.br/sgc/download.php?file=files/processo_documento/processo_documento20014127022025_1_.pdf&amp;nome=Rela&#231;&#227;o Nominal de Credores" TargetMode="External" Id="rId195" /><Relationship Type="http://schemas.openxmlformats.org/officeDocument/2006/relationships/hyperlink" Target="https://recuperacaojudicial.squarespace.com/s/RJ-Credimoveis-QGC-01082025.pdf" TargetMode="External" Id="rId196"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97" /><Relationship Type="http://schemas.openxmlformats.org/officeDocument/2006/relationships/hyperlink" Target="https://scalzilliaj.com.br/sgc/download.php?file=files/processo_documento/processo_documento09514021082025_1_.pdf&amp;nome=04 - Rela&#231;&#227;o de credores das Recuperandas" TargetMode="External" Id="rId198" /><Relationship Type="http://schemas.openxmlformats.org/officeDocument/2006/relationships/hyperlink" Target="https://lrflideres.com.br/wp-content/plugins/download-attachments/includes/download.php?id=4023" TargetMode="External" Id="rId199" /><Relationship Type="http://schemas.openxmlformats.org/officeDocument/2006/relationships/hyperlink" Target="https://lrflideres.com.br/wp-content/plugins/download-attachments/includes/download.php?id=4023" TargetMode="External" Id="rId200" /><Relationship Type="http://schemas.openxmlformats.org/officeDocument/2006/relationships/hyperlink" Target="https://lrflideres.com.br/wp-content/plugins/download-attachments/includes/download.php?id=6879" TargetMode="External" Id="rId201" /><Relationship Type="http://schemas.openxmlformats.org/officeDocument/2006/relationships/hyperlink" Target="https://marquesadmjudicial.com.br/sgc/download.php?file=files/processo_documento/processo_documento20014127022025_1_.pdf&amp;nome=Rela&#231;&#227;o Nominal de Credores" TargetMode="External" Id="rId202" /><Relationship Type="http://schemas.openxmlformats.org/officeDocument/2006/relationships/hyperlink" Target="https://stenius.com.br/wp-content/uploads/2026/08/1&#176;-EDITAL-GRUPO-TENDAS.pdf" TargetMode="External" Id="rId203" /><Relationship Type="http://schemas.openxmlformats.org/officeDocument/2006/relationships/hyperlink" Target="https://assistjud.com.br/wp-content/uploads/elementor/forms/65098c80a5824.pdf" TargetMode="External" Id="rId204"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205" /><Relationship Type="http://schemas.openxmlformats.org/officeDocument/2006/relationships/hyperlink" Target="https://scalzilliaj.com.br/sgc/download.php?file=files/processo_documento/processo_documento15542620022025_1_.pdf&amp;nome=11 - Rela&#231;&#227;o de credores - art. 7&#186;, &#167;2&#186;, da LREF" TargetMode="External" Id="rId206" /><Relationship Type="http://schemas.openxmlformats.org/officeDocument/2006/relationships/hyperlink" Target="https://stenius.com.br/wp-content/uploads/2026/06/EDITAL-GRUPO-3E.pdf" TargetMode="External" Id="rId207" /><Relationship Type="http://schemas.openxmlformats.org/officeDocument/2006/relationships/hyperlink" Target="https://stenius.com.br/wp-content/uploads/2026/08/1&#176;-EDITAL-GRUPO-TENDAS.pdf" TargetMode="External" Id="rId208" /><Relationship Type="http://schemas.openxmlformats.org/officeDocument/2006/relationships/hyperlink" Target="https://cataliseaj.com.br/sgc/download.php?file=files/processo_documento/processo_documento15092204102024_1_.pdf&amp;nome=02. RELA&#199;&#195;O DE CREDORES" TargetMode="External" Id="rId209" /><Relationship Type="http://schemas.openxmlformats.org/officeDocument/2006/relationships/hyperlink" Target="https://inova-aj.com.br/wp-content/uploads/2026/08/1a-Relacao-de-Credores-Real.pdf" TargetMode="External" Id="rId210" /><Relationship Type="http://schemas.openxmlformats.org/officeDocument/2006/relationships/hyperlink" Target="https://administradorajudicialgs.com.br/wp-content/uploads/2024/12/relacao-de-credores-da-falida.pdf" TargetMode="External" Id="rId211" /><Relationship Type="http://schemas.openxmlformats.org/officeDocument/2006/relationships/hyperlink" Target="https://lrflideres.com.br/wp-content/plugins/download-attachments/includes/download.php?id=4023" TargetMode="External" Id="rId212"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13" /><Relationship Type="http://schemas.openxmlformats.org/officeDocument/2006/relationships/hyperlink" Target="https://scalzilliaj.com.br/sgc/download.php?file=files/processo_documento/processo_documento09514021082025_1_.pdf&amp;nome=04 - Rela&#231;&#227;o de credores das Recuperandas" TargetMode="External" Id="rId214" /><Relationship Type="http://schemas.openxmlformats.org/officeDocument/2006/relationships/hyperlink" Target="https://diligence.adm.br/wp-content/plugins/download-attachments/includes/download.php?id=4579" TargetMode="External" Id="rId215" /><Relationship Type="http://schemas.openxmlformats.org/officeDocument/2006/relationships/hyperlink" Target="https://violet-wolf-754008.hostingersite.com/wp-content/uploads/recuperacoes-judiciais/ever-ton/1&#186;-edital.pdf" TargetMode="External" Id="rId216" /><Relationship Type="http://schemas.openxmlformats.org/officeDocument/2006/relationships/hyperlink" Target="https://ajruiz.com.br/sites/default/files/public/arquivos-processos/2023-11/4_relacao_de_credores_analitica_art._51_iii_da_lre.pdf" TargetMode="External" Id="rId217"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18" /><Relationship Type="http://schemas.openxmlformats.org/officeDocument/2006/relationships/hyperlink" Target="https://administradorajudicialgs.com.br/wp-content/uploads/2023/08/advogados-sgrott-doc-22-relacao-de-credores-do-administrador-judicial-classe-iii-05-02-14.pdf" TargetMode="External" Id="rId219" /><Relationship Type="http://schemas.openxmlformats.org/officeDocument/2006/relationships/hyperlink" Target="https://stenius.com.br/wp-content/uploads/2026/06/EDITAL-GRUPO-3E.pdf" TargetMode="External" Id="rId220"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221" /><Relationship Type="http://schemas.openxmlformats.org/officeDocument/2006/relationships/hyperlink" Target="https://ajruiz.com.br/sites/default/files/public/arquivos-processos/2026-01/safrasul_relacao_de_credores_recuperanda.pdf" TargetMode="External" Id="rId222" /><Relationship Type="http://schemas.openxmlformats.org/officeDocument/2006/relationships/hyperlink" Target="https://marquesadmjudicial.com.br/sgc/download.php?file=files/processo_documento/processo_documento17040729052024_1_.pdf&amp;nome=Rela&#231;&#227;o Nominal de Credores AJ-Sint&#233;tica" TargetMode="External" Id="rId223" /><Relationship Type="http://schemas.openxmlformats.org/officeDocument/2006/relationships/hyperlink" Target="https://realbrasil.com.br/wp-content/uploads/2018/06/2_LISTA-DE-CREDORES-DA-RECUPERANDA_ROQUE.pdf" TargetMode="External" Id="rId224" /><Relationship Type="http://schemas.openxmlformats.org/officeDocument/2006/relationships/hyperlink" Target="https://diligence.adm.br/wp-content/plugins/download-attachments/includes/download.php?id=4599" TargetMode="External" Id="rId225"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226" /><Relationship Type="http://schemas.openxmlformats.org/officeDocument/2006/relationships/hyperlink" Target="https://administradorajudicialgs.com.br/wp-content/uploads/2023/08/advogados-sgrott-doc-22-relacao-de-credores-do-administrador-judicial-classe-iii-05-02-14.pdf" TargetMode="External" Id="rId227" /><Relationship Type="http://schemas.openxmlformats.org/officeDocument/2006/relationships/hyperlink" Target="https://credibilita.com.br/wp-content/uploads/2025/09/Relacao-Credores-29.04.2026.pdf" TargetMode="External" Id="rId228" /><Relationship Type="http://schemas.openxmlformats.org/officeDocument/2006/relationships/hyperlink" Target="https://marquesadmjudicial.com.br/sgc/download.php?file=files/processo_documento/processo_documento16562707032024_1_.pdf&amp;nome=2&#186; Edital-Rela&#231;&#227;o de Credores do art. 7, &#167;2 da LREF e do Plano de Recupera&#231;&#227;o Judicial" TargetMode="External" Id="rId229" /><Relationship Type="http://schemas.openxmlformats.org/officeDocument/2006/relationships/hyperlink" Target="https://ajruiz.com.br/sites/default/files/public/arquivos-processos/2024-04/relacao_de_credores_recuperanda_1.pdf" TargetMode="External" Id="rId230" /><Relationship Type="http://schemas.openxmlformats.org/officeDocument/2006/relationships/hyperlink" Target="https://recuperacaojudicial.squarespace.com/s/RJ-Credimoveis-QGC-01082025.pdf" TargetMode="External" Id="rId231" /><Relationship Type="http://schemas.openxmlformats.org/officeDocument/2006/relationships/hyperlink" Target="https://stenius.com.br/wp-content/uploads/2026/06/EDITAL-GRUPO-3E.pdf" TargetMode="External" Id="rId232" /><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233" /><Relationship Type="http://schemas.openxmlformats.org/officeDocument/2006/relationships/hyperlink" Target="https://lrflideres.com.br/wp-content/plugins/download-attachments/includes/download.php?id=6252" TargetMode="External" Id="rId234"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35" /><Relationship Type="http://schemas.openxmlformats.org/officeDocument/2006/relationships/hyperlink" Target="https://lrflideres.com.br/wp-content/plugins/download-attachments/includes/download.php?id=4023" TargetMode="External" Id="rId236" /><Relationship Type="http://schemas.openxmlformats.org/officeDocument/2006/relationships/hyperlink" Target="https://marquesadmjudicial.com.br/sgc/download.php?file=files/processo_documento/processo_documento17040729052024_1_.pdf&amp;nome=Rela&#231;&#227;o Nominal de Credores AJ-Sint&#233;tica" TargetMode="External" Id="rId237"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38" /><Relationship Type="http://schemas.openxmlformats.org/officeDocument/2006/relationships/hyperlink" Target="https://recuperacaojudicial.squarespace.com/s/RJ-Credimoveis-QGC-01082025.pdf" TargetMode="External" Id="rId239" /><Relationship Type="http://schemas.openxmlformats.org/officeDocument/2006/relationships/hyperlink" Target="https://marquesadmjudicial.com.br/sgc/download.php?file=files/processo_documento/processo_documento20014127022025_1_.pdf&amp;nome=Rela&#231;&#227;o Nominal de Credores" TargetMode="External" Id="rId240" /><Relationship Type="http://schemas.openxmlformats.org/officeDocument/2006/relationships/hyperlink" Target="https://recuperacaojudicial.squarespace.com/s/RJ-Credimoveis-QGC-01082025.pdf" TargetMode="External" Id="rId241" /><Relationship Type="http://schemas.openxmlformats.org/officeDocument/2006/relationships/hyperlink" Target="https://recuperacaojudicial.squarespace.com/s/RJ-Credimoveis-QGC-01082025.pdf" TargetMode="External" Id="rId242" /><Relationship Type="http://schemas.openxmlformats.org/officeDocument/2006/relationships/hyperlink" Target="https://marquesadmjudicial.com.br/sgc/download.php?file=files/processo_documento/processo_documento20014127022025_1_.pdf&amp;nome=Rela&#231;&#227;o Nominal de Credores" TargetMode="External" Id="rId243" /><Relationship Type="http://schemas.openxmlformats.org/officeDocument/2006/relationships/hyperlink" Target="https://administradorajudicialgs.com.br/wp-content/uploads/2024/12/relacao-de-credores-da-falida.pdf" TargetMode="External" Id="rId244" /><Relationship Type="http://schemas.openxmlformats.org/officeDocument/2006/relationships/hyperlink" Target="https://marquesadmjudicial.com.br/sgc/download.php?file=files/processo_documento/processo_documento17040729052024_1_.pdf&amp;nome=Rela&#231;&#227;o Nominal de Credores AJ-Sint&#233;tica" TargetMode="External" Id="rId245" /><Relationship Type="http://schemas.openxmlformats.org/officeDocument/2006/relationships/hyperlink" Target="http://recuperacaojudicial.squarespace.com/s/LISTA-DE-CREDORES-CONSOLIDADA-ATE-04102024.pdf" TargetMode="External" Id="rId246"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247" /><Relationship Type="http://schemas.openxmlformats.org/officeDocument/2006/relationships/hyperlink" Target="https://stenius.com.br/wp-content/uploads/2026/06/EDITAL-GRUPO-3E.pdf" TargetMode="External" Id="rId248" /><Relationship Type="http://schemas.openxmlformats.org/officeDocument/2006/relationships/hyperlink" Target="https://ajruiz.com.br/sites/default/files/public/arquivos-processos/2023-11/4_relacao_de_credores_analitica_art._51_iii_da_lre.pdf" TargetMode="External" Id="rId249" /><Relationship Type="http://schemas.openxmlformats.org/officeDocument/2006/relationships/hyperlink" Target="https://recuperacaojudicial.squarespace.com/s/RJ-Grupo-Arnon-de-Melo-Lista-de-Credores-Consolidada-abril-2022.pdf" TargetMode="External" Id="rId250" /><Relationship Type="http://schemas.openxmlformats.org/officeDocument/2006/relationships/hyperlink" Target="https://lrflideres.com.br/wp-content/plugins/download-attachments/includes/download.php?id=4023" TargetMode="External" Id="rId251" /><Relationship Type="http://schemas.openxmlformats.org/officeDocument/2006/relationships/hyperlink" Target="https://recuperacaojudicial.squarespace.com/s/RJ-Credimoveis-QGC-01082025.pdf" TargetMode="External" Id="rId252" /><Relationship Type="http://schemas.openxmlformats.org/officeDocument/2006/relationships/hyperlink" Target="https://scalzilliaj.com.br/sgc/download.php?file=files/processo_documento/processo_documento09514021082025_1_.pdf&amp;nome=04 - Rela&#231;&#227;o de credores das Recuperandas" TargetMode="External" Id="rId253" /><Relationship Type="http://schemas.openxmlformats.org/officeDocument/2006/relationships/hyperlink" Target="https://marquesadmjudicial.com.br/sgc/download.php?file=files/processo_documento/processo_documento17040729052024_1_.pdf&amp;nome=Rela&#231;&#227;o Nominal de Credores AJ-Sint&#233;tica" TargetMode="External" Id="rId254" /><Relationship Type="http://schemas.openxmlformats.org/officeDocument/2006/relationships/hyperlink" Target="https://realbrasil.com.br/wp-content/uploads/2019/02/LISTA-DE-CREDORES-DA-RECUPERANDA.pdf" TargetMode="External" Id="rId255"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256" /><Relationship Type="http://schemas.openxmlformats.org/officeDocument/2006/relationships/hyperlink" Target="https://recuperacaojudicial.squarespace.com/s/RJ-Grupo-Arnon-de-Melo-Lista-de-Credores-Consolidada-abril-2022.pdf" TargetMode="External" Id="rId257" /><Relationship Type="http://schemas.openxmlformats.org/officeDocument/2006/relationships/hyperlink" Target="https://marquesadmjudicial.com.br/sgc/download.php?file=files/processo_documento/processo_documento17040729052024_1_.pdf&amp;nome=Rela&#231;&#227;o Nominal de Credores AJ-Sint&#233;tica" TargetMode="External" Id="rId258" /><Relationship Type="http://schemas.openxmlformats.org/officeDocument/2006/relationships/hyperlink" Target="https://administradorajudicialgs.com.br/wp-content/uploads/2023/08/doc-06-relacao-credores-do-administrador-judicial-10-02-2015.pdf" TargetMode="External" Id="rId259" /><Relationship Type="http://schemas.openxmlformats.org/officeDocument/2006/relationships/hyperlink" Target="https://lrflideres.com.br/wp-content/plugins/download-attachments/includes/download.php?id=5001" TargetMode="External" Id="rId260"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61" /><Relationship Type="http://schemas.openxmlformats.org/officeDocument/2006/relationships/hyperlink" Target="https://stenius.com.br/wp-content/uploads/2026/06/EDITAL-GRUPO-3E.pdf" TargetMode="External" Id="rId262" /><Relationship Type="http://schemas.openxmlformats.org/officeDocument/2006/relationships/hyperlink" Target="https://scalzilliaj.com.br/sgc/download.php?file=files/processo_documento/processo_documento09514021082025_1_.pdf&amp;nome=04 - Rela&#231;&#227;o de credores das Recuperandas" TargetMode="External" Id="rId263" /><Relationship Type="http://schemas.openxmlformats.org/officeDocument/2006/relationships/hyperlink" Target="https://recuperacaojudicial.squarespace.com/s/RJ-Credimoveis-QGC-01082025.pdf" TargetMode="External" Id="rId264" /><Relationship Type="http://schemas.openxmlformats.org/officeDocument/2006/relationships/hyperlink" Target="https://credibilita.com.br/wp-content/uploads/2025/09/Relacao-Credores-29.04.2026.pdf" TargetMode="External" Id="rId265" /><Relationship Type="http://schemas.openxmlformats.org/officeDocument/2006/relationships/hyperlink" Target="https://rlg-aj.com.br/wp-content/uploads/2024/11/07.-Rela&#231;&#227;o-de-credores.pdf" TargetMode="External" Id="rId266" /><Relationship Type="http://schemas.openxmlformats.org/officeDocument/2006/relationships/hyperlink" Target="https://administradorajudicialgs.com.br/wp-content/uploads/2024/12/relacao-de-credores-da-falida.pdf" TargetMode="External" Id="rId267" /><Relationship Type="http://schemas.openxmlformats.org/officeDocument/2006/relationships/hyperlink" Target="https://credibilita.com.br/wp-content/uploads/2025/09/Relacao-Credores-29.04.2026.pdf" TargetMode="External" Id="rId268" /><Relationship Type="http://schemas.openxmlformats.org/officeDocument/2006/relationships/hyperlink" Target="https://ajruiz.com.br/sites/default/files/public/arquivos-processos/2026-08/qgc_azeplast_julho_2026.pdf" TargetMode="External" Id="rId269" /><Relationship Type="http://schemas.openxmlformats.org/officeDocument/2006/relationships/hyperlink" Target="https://realbrasil.com.br/wp-content/uploads/2018/06/2_LISTA-DE-CREDORES-DA-RECUPERANDA_ROQUE.pdf" TargetMode="External" Id="rId270"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71"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272" /><Relationship Type="http://schemas.openxmlformats.org/officeDocument/2006/relationships/hyperlink" Target="https://lrflideres.com.br/wp-content/plugins/download-attachments/includes/download.php?id=4023" TargetMode="External" Id="rId273" /><Relationship Type="http://schemas.openxmlformats.org/officeDocument/2006/relationships/hyperlink" Target="https://cataliseaj.com.br/sgc/download.php?file=files/processo_documento/processo_documento15092204102024_1_.pdf&amp;nome=02. RELA&#199;&#195;O DE CREDORES" TargetMode="External" Id="rId274" /><Relationship Type="http://schemas.openxmlformats.org/officeDocument/2006/relationships/hyperlink" Target="https://ajruiz.com.br/sites/default/files/public/arquivos-processos/2024-04/relacao_de_credores_recuperanda_1.pdf" TargetMode="External" Id="rId275" /><Relationship Type="http://schemas.openxmlformats.org/officeDocument/2006/relationships/hyperlink" Target="https://scalzilliaj.com.br/sgc/download.php?file=files/processo_documento/processo_documento09514021082025_1_.pdf&amp;nome=04 - Rela&#231;&#227;o de credores das Recuperandas" TargetMode="External" Id="rId276" /><Relationship Type="http://schemas.openxmlformats.org/officeDocument/2006/relationships/hyperlink" Target="https://lrflideres.com.br/wp-content/plugins/download-attachments/includes/download.php?id=4023" TargetMode="External" Id="rId277" /><Relationship Type="http://schemas.openxmlformats.org/officeDocument/2006/relationships/hyperlink" Target="https://scalzilliaj.com.br/sgc/download.php?file=files/processo_documento/processo_documento15542620022025_1_.pdf&amp;nome=11 - Rela&#231;&#227;o de credores - art. 7&#186;, &#167;2&#186;, da LREF" TargetMode="External" Id="rId278" /><Relationship Type="http://schemas.openxmlformats.org/officeDocument/2006/relationships/hyperlink" Target="https://ajruiz.com.br/sites/default/files/public/arquivos-processos/2026-08/qgc_azeplast_julho_2026.pdf" TargetMode="External" Id="rId279" /><Relationship Type="http://schemas.openxmlformats.org/officeDocument/2006/relationships/hyperlink" Target="https://lrflideres.com.br/wp-content/plugins/download-attachments/includes/download.php?id=4023" TargetMode="External" Id="rId280" /><Relationship Type="http://schemas.openxmlformats.org/officeDocument/2006/relationships/hyperlink" Target="https://lrflideres.com.br/wp-content/plugins/download-attachments/includes/download.php?id=6273" TargetMode="External" Id="rId281" /><Relationship Type="http://schemas.openxmlformats.org/officeDocument/2006/relationships/hyperlink" Target="https://administradorajudicialgs.com.br/wp-content/uploads/2024/12/relacao-de-credores-da-falida.pdf" TargetMode="External" Id="rId282" /><Relationship Type="http://schemas.openxmlformats.org/officeDocument/2006/relationships/hyperlink" Target="https://recuperacaojudicial.squarespace.com/s/RJ-Credimoveis-QGC-01082025.pdf" TargetMode="External" Id="rId283" /><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284" /><Relationship Type="http://schemas.openxmlformats.org/officeDocument/2006/relationships/hyperlink" Target="https://administradorajudicialgs.com.br/wp-content/uploads/2024/12/relacao-de-credores-da-falida.pdf" TargetMode="External" Id="rId285" /><Relationship Type="http://schemas.openxmlformats.org/officeDocument/2006/relationships/hyperlink" Target="https://administradorajudicialgs.com.br/wp-content/uploads/2024/12/relacao-de-credores-da-falida.pdf" TargetMode="External" Id="rId286" /><Relationship Type="http://schemas.openxmlformats.org/officeDocument/2006/relationships/hyperlink" Target="https://ajruiz.com.br/sites/default/files/public/arquivos-processos/2024-04/relacao_de_credores_recuperanda_1.pdf" TargetMode="External" Id="rId287" /><Relationship Type="http://schemas.openxmlformats.org/officeDocument/2006/relationships/hyperlink" Target="https://ajruiz.com.br/sites/default/files/public/arquivos-processos/2026-01/safrasul_relacao_de_credores_recuperanda.pdf" TargetMode="External" Id="rId288" /><Relationship Type="http://schemas.openxmlformats.org/officeDocument/2006/relationships/hyperlink" Target="https://credibilita.com.br/wp-content/uploads/2025/09/Relacao-Credores-29.04.2026.pdf" TargetMode="External" Id="rId289" /><Relationship Type="http://schemas.openxmlformats.org/officeDocument/2006/relationships/hyperlink" Target="https://administradorajudicialgs.com.br/wp-content/uploads/2024/12/relacao-de-credores-da-falida.pdf" TargetMode="External" Id="rId290" /><Relationship Type="http://schemas.openxmlformats.org/officeDocument/2006/relationships/hyperlink" Target="https://stenius.com.br/wp-content/uploads/2026/06/EDITAL-GRUPO-3E.pdf" TargetMode="External" Id="rId291" /><Relationship Type="http://schemas.openxmlformats.org/officeDocument/2006/relationships/hyperlink" Target="https://scalzilliaj.com.br/sgc/download.php?file=files/processo_documento/processo_documento09514021082025_1_.pdf&amp;nome=04 - Rela&#231;&#227;o de credores das Recuperandas" TargetMode="External" Id="rId292" /><Relationship Type="http://schemas.openxmlformats.org/officeDocument/2006/relationships/hyperlink" Target="https://administradorajudicialgs.com.br/wp-content/uploads/2024/12/relacao-de-credores-da-falida.pdf" TargetMode="External" Id="rId293" /><Relationship Type="http://schemas.openxmlformats.org/officeDocument/2006/relationships/hyperlink" Target="https://scalzilliaj.com.br/sgc/download.php?file=files/processo_documento/processo_documento15542620022025_1_.pdf&amp;nome=11 - Rela&#231;&#227;o de credores - art. 7&#186;, &#167;2&#186;, da LREF" TargetMode="External" Id="rId294" /><Relationship Type="http://schemas.openxmlformats.org/officeDocument/2006/relationships/hyperlink" Target="https://administradorajudicialgs.com.br/wp-content/uploads/2024/12/relacao-de-credores-da-falida.pdf" TargetMode="External" Id="rId295"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296" /><Relationship Type="http://schemas.openxmlformats.org/officeDocument/2006/relationships/hyperlink" Target="https://rlg-aj.com.br/wp-content/uploads/2024/11/07.-Rela&#231;&#227;o-de-credores.pdf" TargetMode="External" Id="rId297" /><Relationship Type="http://schemas.openxmlformats.org/officeDocument/2006/relationships/hyperlink" Target="https://lrflideres.com.br/wp-content/plugins/download-attachments/includes/download.php?id=6051" TargetMode="External" Id="rId298" /><Relationship Type="http://schemas.openxmlformats.org/officeDocument/2006/relationships/hyperlink" Target="https://lrflideres.com.br/wp-content/plugins/download-attachments/includes/download.php?id=4023" TargetMode="External" Id="rId299" /><Relationship Type="http://schemas.openxmlformats.org/officeDocument/2006/relationships/hyperlink" Target="https://marquesadmjudicial.com.br/sgc/download.php?file=files/processo_documento/processo_documento17040729052024_1_.pdf&amp;nome=Rela&#231;&#227;o Nominal de Credores AJ-Sint&#233;tica" TargetMode="External" Id="rId300" /><Relationship Type="http://schemas.openxmlformats.org/officeDocument/2006/relationships/hyperlink" Target="https://credibilita.com.br/wp-content/uploads/2025/09/Relacao-Credores-29.04.2026.pdf" TargetMode="External" Id="rId301"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302" /><Relationship Type="http://schemas.openxmlformats.org/officeDocument/2006/relationships/hyperlink" Target="https://stenius.com.br/wp-content/uploads/2026/06/EDITAL-GRUPO-3E.pdf" TargetMode="External" Id="rId303" /><Relationship Type="http://schemas.openxmlformats.org/officeDocument/2006/relationships/hyperlink" Target="https://administradorajudicialgs.com.br/wp-content/uploads/2024/12/relacao-de-credores-da-falida.pdf" TargetMode="External" Id="rId304"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305" /><Relationship Type="http://schemas.openxmlformats.org/officeDocument/2006/relationships/hyperlink" Target="https://lrflideres.com.br/wp-content/plugins/download-attachments/includes/download.php?id=4023" TargetMode="External" Id="rId306" /><Relationship Type="http://schemas.openxmlformats.org/officeDocument/2006/relationships/hyperlink" Target="https://lrflideres.com.br/wp-content/plugins/download-attachments/includes/download.php?id=4023" TargetMode="External" Id="rId307" /><Relationship Type="http://schemas.openxmlformats.org/officeDocument/2006/relationships/hyperlink" Target="https://diligence.adm.br/wp-content/plugins/download-attachments/includes/download.php?id=4579" TargetMode="External" Id="rId308" /><Relationship Type="http://schemas.openxmlformats.org/officeDocument/2006/relationships/hyperlink" Target="https://stenius.com.br/wp-content/uploads/2026/06/EDITAL-GRUPO-3E.pdf" TargetMode="External" Id="rId309" /><Relationship Type="http://schemas.openxmlformats.org/officeDocument/2006/relationships/hyperlink" Target="https://ajruiz.com.br/sites/default/files/public/arquivos-processos/2024-04/relacao_de_credores_recuperanda_1.pdf" TargetMode="External" Id="rId310" /><Relationship Type="http://schemas.openxmlformats.org/officeDocument/2006/relationships/hyperlink" Target="https://lrflideres.com.br/wp-content/plugins/download-attachments/includes/download.php?id=4023" TargetMode="External" Id="rId311"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312" /><Relationship Type="http://schemas.openxmlformats.org/officeDocument/2006/relationships/hyperlink" Target="https://recuperacaojudicial.squarespace.com/s/RJ-Grupo-Arnon-de-Melo-Lista-de-Credores-Consolidada-abril-2022.pdf" TargetMode="External" Id="rId313" /><Relationship Type="http://schemas.openxmlformats.org/officeDocument/2006/relationships/hyperlink" Target="https://lrflideres.com.br/wp-content/plugins/download-attachments/includes/download.php?id=5589" TargetMode="External" Id="rId314"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315"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316" /><Relationship Type="http://schemas.openxmlformats.org/officeDocument/2006/relationships/hyperlink" Target="https://lrflideres.com.br/wp-content/plugins/download-attachments/includes/download.php?id=5589" TargetMode="External" Id="rId317" /><Relationship Type="http://schemas.openxmlformats.org/officeDocument/2006/relationships/hyperlink" Target="https://credibilita.com.br/wp-content/uploads/2025/09/Relacao-Credores-29.04.2026.pdf" TargetMode="External" Id="rId318" /><Relationship Type="http://schemas.openxmlformats.org/officeDocument/2006/relationships/hyperlink" Target="https://lrflideres.com.br/wp-content/plugins/download-attachments/includes/download.php?id=4023" TargetMode="External" Id="rId319" /><Relationship Type="http://schemas.openxmlformats.org/officeDocument/2006/relationships/hyperlink" Target="https://bugarimecoelho.com.br/ws/media-library/b6b7ea42b9fa2afe30bc728fe00cd5c6/07---edital-do-processamento-da-recuperacao-judicial.pdf" TargetMode="External" Id="rId320" /><Relationship Type="http://schemas.openxmlformats.org/officeDocument/2006/relationships/hyperlink" Target="https://lrflideres.com.br/wp-content/plugins/download-attachments/includes/download.php?id=5001" TargetMode="External" Id="rId321"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322" /><Relationship Type="http://schemas.openxmlformats.org/officeDocument/2006/relationships/hyperlink" Target="https://credibilita.com.br/wp-content/uploads/2025/09/Relacao-Credores-29.04.2026.pdf" TargetMode="External" Id="rId323" /><Relationship Type="http://schemas.openxmlformats.org/officeDocument/2006/relationships/hyperlink" Target="https://ajruiz.com.br/sites/default/files/public/arquivos-processos/2023-11/4_relacao_de_credores_analitica_art._51_iii_da_lre.pdf" TargetMode="External" Id="rId324" /><Relationship Type="http://schemas.openxmlformats.org/officeDocument/2006/relationships/hyperlink" Target="https://ajruiz.com.br/sites/default/files/public/arquivos-processos/2023-11/4_relacao_de_credores_analitica_art._51_iii_da_lre.pdf" TargetMode="External" Id="rId325" /><Relationship Type="http://schemas.openxmlformats.org/officeDocument/2006/relationships/hyperlink" Target="https://scalzilliaj.com.br/sgc/download.php?file=files/processo_documento/processo_documento09514021082025_1_.pdf&amp;nome=04 - Rela&#231;&#227;o de credores das Recuperandas" TargetMode="External" Id="rId326" /><Relationship Type="http://schemas.openxmlformats.org/officeDocument/2006/relationships/hyperlink" Target="https://diligence.adm.br/wp-content/plugins/download-attachments/includes/download.php?id=4579" TargetMode="External" Id="rId327" /><Relationship Type="http://schemas.openxmlformats.org/officeDocument/2006/relationships/hyperlink" Target="https://recuperacaojudicial.squarespace.com/s/4-RJCTREditalda2ListadeCredoresnovembro2019.pdf" TargetMode="External" Id="rId328" /><Relationship Type="http://schemas.openxmlformats.org/officeDocument/2006/relationships/hyperlink" Target="https://assistjud.com.br/wp-content/uploads/elementor/forms/65098c80a5824.pdf" TargetMode="External" Id="rId329" /><Relationship Type="http://schemas.openxmlformats.org/officeDocument/2006/relationships/hyperlink" Target="https://ajruiz.com.br/sites/default/files/public/arquivos-processos/2026-01/safrasul_relacao_de_credores_recuperanda.pdf" TargetMode="External" Id="rId330" /><Relationship Type="http://schemas.openxmlformats.org/officeDocument/2006/relationships/hyperlink" Target="https://stenius.com.br/wp-content/uploads/2026/06/EDITAL-GRUPO-3E.pdf" TargetMode="External" Id="rId331" /><Relationship Type="http://schemas.openxmlformats.org/officeDocument/2006/relationships/hyperlink" Target="https://lrflideres.com.br/wp-content/plugins/download-attachments/includes/download.php?id=5001" TargetMode="External" Id="rId332" /><Relationship Type="http://schemas.openxmlformats.org/officeDocument/2006/relationships/hyperlink" Target="https://marquesadmjudicial.com.br/sgc/download.php?file=files/processo_documento/processo_documento17040729052024_1_.pdf&amp;nome=Rela&#231;&#227;o Nominal de Credores AJ-Sint&#233;tica" TargetMode="External" Id="rId333" /><Relationship Type="http://schemas.openxmlformats.org/officeDocument/2006/relationships/hyperlink" Target="https://ajruiz.com.br/sites/default/files/public/arquivos-processos/2024-04/relacao_de_credores_recuperanda_1.pdf" TargetMode="External" Id="rId334" /><Relationship Type="http://schemas.openxmlformats.org/officeDocument/2006/relationships/hyperlink" Target="https://inova-aj.com.br/wp-content/uploads/2026/08/1a-Relacao-de-Credores-Real.pdf" TargetMode="External" Id="rId335" /><Relationship Type="http://schemas.openxmlformats.org/officeDocument/2006/relationships/hyperlink" Target="https://lrflideres.com.br/wp-content/plugins/download-attachments/includes/download.php?id=6879" TargetMode="External" Id="rId336" /><Relationship Type="http://schemas.openxmlformats.org/officeDocument/2006/relationships/hyperlink" Target="https://rlg-aj.com.br/wp-content/uploads/2024/11/07.-Rela&#231;&#227;o-de-credores.pdf" TargetMode="External" Id="rId337" /><Relationship Type="http://schemas.openxmlformats.org/officeDocument/2006/relationships/hyperlink" Target="https://scalzilliaj.com.br/sgc/download.php?file=files/processo_documento/processo_documento09514021082025_1_.pdf&amp;nome=04 - Rela&#231;&#227;o de credores das Recuperandas" TargetMode="External" Id="rId338"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339"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340" /><Relationship Type="http://schemas.openxmlformats.org/officeDocument/2006/relationships/hyperlink" Target="https://recuperacaojudicial.squarespace.com/s/EDITAL-COM-A-2-LISTA-DE-CREDORES-E-INFORMANDO-A-APRESENTACO-DO-PRJ_1532.pdf" TargetMode="External" Id="rId341" /><Relationship Type="http://schemas.openxmlformats.org/officeDocument/2006/relationships/hyperlink" Target="https://rlg-aj.com.br/wp-content/uploads/2024/11/07.-Rela&#231;&#227;o-de-credores.pdf" TargetMode="External" Id="rId342" /><Relationship Type="http://schemas.openxmlformats.org/officeDocument/2006/relationships/hyperlink" Target="https://recuperacaojudicial.squarespace.com/s/RJ-Credimoveis-QGC-01082025.pdf" TargetMode="External" Id="rId343" /><Relationship Type="http://schemas.openxmlformats.org/officeDocument/2006/relationships/hyperlink" Target="https://administradorajudicialgs.com.br/wp-content/uploads/2023/08/relacao-de-credores-empresa.pdf" TargetMode="External" Id="rId344" /><Relationship Type="http://schemas.openxmlformats.org/officeDocument/2006/relationships/hyperlink" Target="https://stenius.com.br/wp-content/uploads/2026/06/EDITAL-GRUPO-3E.pdf" TargetMode="External" Id="rId345" /><Relationship Type="http://schemas.openxmlformats.org/officeDocument/2006/relationships/hyperlink" Target="https://recuperacaojudicial.squarespace.com/s/RJ-Credimoveis-QGC-01082025.pdf" TargetMode="External" Id="rId346" /><Relationship Type="http://schemas.openxmlformats.org/officeDocument/2006/relationships/hyperlink" Target="https://credibilita.com.br/wp-content/uploads/2025/09/Relacao-Credores-29.04.2026.pdf" TargetMode="External" Id="rId347" /><Relationship Type="http://schemas.openxmlformats.org/officeDocument/2006/relationships/hyperlink" Target="https://marquesadmjudicial.com.br/sgc/download.php?file=files/processo_documento/processo_documento19270817122025_1_.pdf&amp;nome=Rela&#231;&#227;o Nominal de Credores AJ" TargetMode="External" Id="rId348" /><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349"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350" /><Relationship Type="http://schemas.openxmlformats.org/officeDocument/2006/relationships/hyperlink" Target="https://credibilita.com.br/wp-content/uploads/2025/09/Relacao-Credores-29.04.2026.pdf" TargetMode="External" Id="rId351" /><Relationship Type="http://schemas.openxmlformats.org/officeDocument/2006/relationships/hyperlink" Target="https://marquesadmjudicial.com.br/sgc/download.php?file=files/processo_documento/processo_documento11370527032026_1_.pdf&amp;nome=Quadro Geral de Credores (QGC) -AJ Anterior" TargetMode="External" Id="rId352" /><Relationship Type="http://schemas.openxmlformats.org/officeDocument/2006/relationships/hyperlink" Target="https://ajruiz.com.br/sites/default/files/public/arquivos-processos/2026-08/qgc_azeplast_julho_2026.pdf" TargetMode="External" Id="rId353" /><Relationship Type="http://schemas.openxmlformats.org/officeDocument/2006/relationships/hyperlink" Target="https://lrflideres.com.br/wp-content/plugins/download-attachments/includes/download.php?id=6252" TargetMode="External" Id="rId354" /><Relationship Type="http://schemas.openxmlformats.org/officeDocument/2006/relationships/hyperlink" Target="https://lrflideres.com.br/wp-content/plugins/download-attachments/includes/download.php?id=4023" TargetMode="External" Id="rId355" /><Relationship Type="http://schemas.openxmlformats.org/officeDocument/2006/relationships/hyperlink" Target="https://ricardobiancardi.com.br/wp-content/uploads/2024/12/Edital-1-relacao-de-credores-pub.-02.12.24-.pdf" TargetMode="External" Id="rId356" /><Relationship Type="http://schemas.openxmlformats.org/officeDocument/2006/relationships/hyperlink" Target="https://rlg-aj.com.br/wp-content/uploads/2024/11/07.-Rela&#231;&#227;o-de-credores.pdf" TargetMode="External" Id="rId357" /><Relationship Type="http://schemas.openxmlformats.org/officeDocument/2006/relationships/hyperlink" Target="https://cataliseaj.com.br/sgc/download.php?file=files/processo_documento/processo_documento15092204102024_1_.pdf&amp;nome=02. RELA&#199;&#195;O DE CREDORES" TargetMode="External" Id="rId358" /><Relationship Type="http://schemas.openxmlformats.org/officeDocument/2006/relationships/hyperlink" Target="https://ajruiz.com.br/sites/default/files/public/arquivos-processos/2024-04/relacao_de_credores_recuperanda_1.pdf" TargetMode="External" Id="rId359"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360" /><Relationship Type="http://schemas.openxmlformats.org/officeDocument/2006/relationships/hyperlink" Target="https://ajruiz.com.br/sites/default/files/public/arquivos-processos/2024-04/relacao_de_credores_recuperanda_1.pdf" TargetMode="External" Id="rId361" /><Relationship Type="http://schemas.openxmlformats.org/officeDocument/2006/relationships/hyperlink" Target="https://vtladm.com.br/wp-content/uploads/2024/04/09-&#8211;-EDITAL-DE-CONVOCACAO-DE-CREDORES-&#8211;-Frigorifico-Alfa-Industria-e-Comercio-de-Carnes-e-Derivados-Ltda.-e-Ctx-Logistica-Transporte-E-Locacoes-Ltda.pdf" TargetMode="External" Id="rId362" /><Relationship Type="http://schemas.openxmlformats.org/officeDocument/2006/relationships/hyperlink" Target="https://lrflideres.com.br/wp-content/plugins/download-attachments/includes/download.php?id=4023" TargetMode="External" Id="rId363" /><Relationship Type="http://schemas.openxmlformats.org/officeDocument/2006/relationships/hyperlink" Target="https://lrflideres.com.br/wp-content/plugins/download-attachments/includes/download.php?id=5589" TargetMode="External" Id="rId364" /><Relationship Type="http://schemas.openxmlformats.org/officeDocument/2006/relationships/hyperlink" Target="https://lrflideres.com.br/wp-content/plugins/download-attachments/includes/download.php?id=5589" TargetMode="External" Id="rId365" /><Relationship Type="http://schemas.openxmlformats.org/officeDocument/2006/relationships/hyperlink" Target="https://recuperacaojudicial.squarespace.com/s/RJ-Credimoveis-QGC-01082025.pdf" TargetMode="External" Id="rId366" /><Relationship Type="http://schemas.openxmlformats.org/officeDocument/2006/relationships/hyperlink" Target="https://recuperacaojudicial.squarespace.com/s/RJ-Credimoveis-QGC-01082025.pdf" TargetMode="External" Id="rId367" /><Relationship Type="http://schemas.openxmlformats.org/officeDocument/2006/relationships/hyperlink" Target="https://cataliseaj.com.br/sgc/download.php?file=files/processo_documento/processo_documento15092204102024_1_.pdf&amp;nome=02. RELA&#199;&#195;O DE CREDORES" TargetMode="External" Id="rId368"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369" /><Relationship Type="http://schemas.openxmlformats.org/officeDocument/2006/relationships/hyperlink" Target="https://lrflideres.com.br/wp-content/plugins/download-attachments/includes/download.php?id=6879" TargetMode="External" Id="rId370" /><Relationship Type="http://schemas.openxmlformats.org/officeDocument/2006/relationships/hyperlink" Target="https://recuperacaojudicial.squarespace.com/s/RJ-Credimoveis-QGC-01082025.pdf" TargetMode="External" Id="rId371" /><Relationship Type="http://schemas.openxmlformats.org/officeDocument/2006/relationships/hyperlink" Target="http://recuperacaojudicial.squarespace.com/s/LISTA-DE-CREDORES-CONSOLIDADA-ATE-04102024.pdf" TargetMode="External" Id="rId372" /><Relationship Type="http://schemas.openxmlformats.org/officeDocument/2006/relationships/hyperlink" Target="https://stenius.com.br/wp-content/uploads/2026/06/EDITAL-GRUPO-3E.pdf" TargetMode="External" Id="rId373"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374" /><Relationship Type="http://schemas.openxmlformats.org/officeDocument/2006/relationships/hyperlink" Target="https://administradorajudicialgs.com.br/wp-content/uploads/2023/08/doc-06-relacao-credores-do-administrador-judicial-10-02-2015.pdf" TargetMode="External" Id="rId375" /><Relationship Type="http://schemas.openxmlformats.org/officeDocument/2006/relationships/hyperlink" Target="https://ricardobiancardi.com.br/wp-content/uploads/2024/12/Edital-1-relacao-de-credores-pub.-02.12.24-.pdf" TargetMode="External" Id="rId376" /><Relationship Type="http://schemas.openxmlformats.org/officeDocument/2006/relationships/hyperlink" Target="https://marquesadmjudicial.com.br/sgc/download.php?file=files/processo_documento/processo_documento20014127022025_1_.pdf&amp;nome=Rela&#231;&#227;o Nominal de Credores" TargetMode="External" Id="rId377" /><Relationship Type="http://schemas.openxmlformats.org/officeDocument/2006/relationships/hyperlink" Target="https://recuperacaojudicial.squarespace.com/s/4-RJCTREditalda2ListadeCredoresnovembro2019.pdf" TargetMode="External" Id="rId378" /><Relationship Type="http://schemas.openxmlformats.org/officeDocument/2006/relationships/hyperlink" Target="https://marquesadmjudicial.com.br/sgc/download.php?file=files/processo_documento/processo_documento20014127022025_1_.pdf&amp;nome=Rela&#231;&#227;o Nominal de Credores" TargetMode="External" Id="rId379" /><Relationship Type="http://schemas.openxmlformats.org/officeDocument/2006/relationships/hyperlink" Target="https://recuperacaojudicial.squarespace.com/s/RJ-Credimoveis-QGC-01082025.pdf" TargetMode="External" Id="rId380" /><Relationship Type="http://schemas.openxmlformats.org/officeDocument/2006/relationships/hyperlink" Target="https://recuperacaojudicial.squarespace.com/s/RJ-Credimoveis-QGC-01082025.pdf" TargetMode="External" Id="rId381" /><Relationship Type="http://schemas.openxmlformats.org/officeDocument/2006/relationships/hyperlink" Target="https://marquesadmjudicial.com.br/sgc/download.php?file=files/processo_documento/processo_documento11370527032026_1_.pdf&amp;nome=Quadro Geral de Credores (QGC) -AJ Anterior" TargetMode="External" Id="rId382" /><Relationship Type="http://schemas.openxmlformats.org/officeDocument/2006/relationships/hyperlink" Target="https://stenius.com.br/wp-content/uploads/2026/06/EDITAL-GRUPO-3E.pdf" TargetMode="External" Id="rId383" /><Relationship Type="http://schemas.openxmlformats.org/officeDocument/2006/relationships/hyperlink" Target="https://stenius.com.br/wp-content/uploads/2026/06/EDITAL-GRUPO-3E.pdf" TargetMode="External" Id="rId384" /><Relationship Type="http://schemas.openxmlformats.org/officeDocument/2006/relationships/hyperlink" Target="https://stenius.com.br/wp-content/uploads/2026/06/EDITAL-GRUPO-3E.pdf" TargetMode="External" Id="rId385" /><Relationship Type="http://schemas.openxmlformats.org/officeDocument/2006/relationships/hyperlink" Target="https://lrflideres.com.br/wp-content/plugins/download-attachments/includes/download.php?id=4023" TargetMode="External" Id="rId386" /><Relationship Type="http://schemas.openxmlformats.org/officeDocument/2006/relationships/hyperlink" Target="https://scalzilliaj.com.br/sgc/download.php?file=files/processo_documento/processo_documento09514021082025_1_.pdf&amp;nome=04 - Rela&#231;&#227;o de credores das Recuperandas" TargetMode="External" Id="rId387" /><Relationship Type="http://schemas.openxmlformats.org/officeDocument/2006/relationships/hyperlink" Target="https://diligence.adm.br/wp-content/plugins/download-attachments/includes/download.php?id=4599" TargetMode="External" Id="rId388" /><Relationship Type="http://schemas.openxmlformats.org/officeDocument/2006/relationships/hyperlink" Target="https://lrflideres.com.br/wp-content/plugins/download-attachments/includes/download.php?id=5828" TargetMode="External" Id="rId389" /><Relationship Type="http://schemas.openxmlformats.org/officeDocument/2006/relationships/hyperlink" Target="https://ricardobiancardi.com.br/wp-content/uploads/2024/12/Edital-1-relacao-de-credores-pub.-02.12.24-.pdf" TargetMode="External" Id="rId390"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391" /><Relationship Type="http://schemas.openxmlformats.org/officeDocument/2006/relationships/hyperlink" Target="https://lrflideres.com.br/wp-content/plugins/download-attachments/includes/download.php?id=6252" TargetMode="External" Id="rId392" /><Relationship Type="http://schemas.openxmlformats.org/officeDocument/2006/relationships/hyperlink" Target="https://diligence.adm.br/wp-content/plugins/download-attachments/includes/download.php?id=4599" TargetMode="External" Id="rId393" /><Relationship Type="http://schemas.openxmlformats.org/officeDocument/2006/relationships/hyperlink" Target="https://recuperacaojudicial.squarespace.com/s/LISTA-DE-CREDORES-CONSOLIDADA-EM-11072025_6419.pdf" TargetMode="External" Id="rId394" /><Relationship Type="http://schemas.openxmlformats.org/officeDocument/2006/relationships/hyperlink" Target="https://scalzilliaj.com.br/sgc/download.php?file=files/processo_documento/processo_documento15542620022025_1_.pdf&amp;nome=11 - Rela&#231;&#227;o de credores - art. 7&#186;, &#167;2&#186;, da LREF" TargetMode="External" Id="rId395" /><Relationship Type="http://schemas.openxmlformats.org/officeDocument/2006/relationships/hyperlink" Target="https://lrflideres.com.br/wp-content/plugins/download-attachments/includes/download.php?id=4023" TargetMode="External" Id="rId396"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397" /><Relationship Type="http://schemas.openxmlformats.org/officeDocument/2006/relationships/hyperlink" Target="https://diligence.adm.br/wp-content/uploads/2025/06/Edital-1a-Lista-de-Credores.pdf" TargetMode="External" Id="rId398" /><Relationship Type="http://schemas.openxmlformats.org/officeDocument/2006/relationships/hyperlink" Target="https://marquesadmjudicial.com.br/sgc/download.php?file=files/processo_documento/processo_documento17040729052024_1_.pdf&amp;nome=Rela&#231;&#227;o Nominal de Credores AJ-Sint&#233;tica" TargetMode="External" Id="rId399" /><Relationship Type="http://schemas.openxmlformats.org/officeDocument/2006/relationships/hyperlink" Target="https://realbrasil.com.br/wp-content/uploads/2017/05/Rela&#231;&#227;o-de-Credores_-Mastter-1.pdf" TargetMode="External" Id="rId400" /><Relationship Type="http://schemas.openxmlformats.org/officeDocument/2006/relationships/hyperlink" Target="https://recuperacaojudicial.squarespace.com/s/RJ-Credimoveis-QGC-01082025.pdf" TargetMode="External" Id="rId401" /><Relationship Type="http://schemas.openxmlformats.org/officeDocument/2006/relationships/hyperlink" Target="https://marquesadmjudicial.com.br/sgc/download.php?file=files/processo_documento/processo_documento17040729052024_1_.pdf&amp;nome=Rela&#231;&#227;o Nominal de Credores AJ-Sint&#233;tica" TargetMode="External" Id="rId402" /><Relationship Type="http://schemas.openxmlformats.org/officeDocument/2006/relationships/hyperlink" Target="https://ajruiz.com.br/sites/default/files/public/arquivos-processos/2026-08/qgc_azeplast_julho_2026.pdf" TargetMode="External" Id="rId403" /><Relationship Type="http://schemas.openxmlformats.org/officeDocument/2006/relationships/hyperlink" Target="https://recuperacaojudicial.squarespace.com/s/RJ-Credimoveis-QGC-01082025.pdf" TargetMode="External" Id="rId404" /><Relationship Type="http://schemas.openxmlformats.org/officeDocument/2006/relationships/hyperlink" Target="https://ricardobiancardi.com.br/wp-content/uploads/2024/12/Edital-1-relacao-de-credores-pub.-02.12.24-.pdf" TargetMode="External" Id="rId405" /><Relationship Type="http://schemas.openxmlformats.org/officeDocument/2006/relationships/hyperlink" Target="https://ajruiz.com.br/sites/default/files/public/arquivos-processos/2023-11/4_relacao_de_credores_analitica_art._51_iii_da_lre.pdf" TargetMode="External" Id="rId406" /><Relationship Type="http://schemas.openxmlformats.org/officeDocument/2006/relationships/hyperlink" Target="https://administradorajudicialgs.com.br/wp-content/uploads/2024/12/relacao-de-credores-da-falida.pdf" TargetMode="External" Id="rId407"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408" /><Relationship Type="http://schemas.openxmlformats.org/officeDocument/2006/relationships/hyperlink" Target="https://lrflideres.com.br/wp-content/plugins/download-attachments/includes/download.php?id=5001" TargetMode="External" Id="rId409"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410" /><Relationship Type="http://schemas.openxmlformats.org/officeDocument/2006/relationships/hyperlink" Target="https://administradorajudicialgs.com.br/wp-content/uploads/2024/12/relacao-de-credores-da-falida.pdf" TargetMode="External" Id="rId411" /><Relationship Type="http://schemas.openxmlformats.org/officeDocument/2006/relationships/hyperlink" Target="https://rlg-aj.com.br/wp-content/uploads/2024/11/07.-Rela&#231;&#227;o-de-credores.pdf" TargetMode="External" Id="rId412" /><Relationship Type="http://schemas.openxmlformats.org/officeDocument/2006/relationships/hyperlink" Target="https://marquesadmjudicial.com.br/sgc/download.php?file=files/processo_documento/processo_documento18581929042026_1_.pdf&amp;nome=3&#186; Edital - Rela&#231;&#227;o de Credores e PRJ" TargetMode="External" Id="rId413" /><Relationship Type="http://schemas.openxmlformats.org/officeDocument/2006/relationships/hyperlink" Target="https://marquesadmjudicial.com.br/sgc/download.php?file=files/processo_documento/processo_documento17040729052024_1_.pdf&amp;nome=Rela&#231;&#227;o Nominal de Credores AJ-Sint&#233;tica" TargetMode="External" Id="rId414" /><Relationship Type="http://schemas.openxmlformats.org/officeDocument/2006/relationships/hyperlink" Target="https://administradorajudicialgs.com.br/wp-content/uploads/2024/12/relacao-de-credores-da-falida.pdf" TargetMode="External" Id="rId415" /><Relationship Type="http://schemas.openxmlformats.org/officeDocument/2006/relationships/hyperlink" Target="https://cataliseaj.com.br/sgc/download.php?file=files/processo_documento/processo_documento15092204102024_1_.pdf&amp;nome=02. RELA&#199;&#195;O DE CREDORES" TargetMode="External" Id="rId416"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417" /><Relationship Type="http://schemas.openxmlformats.org/officeDocument/2006/relationships/hyperlink" Target="https://ajruiz.com.br/sites/default/files/public/arquivos-processos/2026-08/qgc_azeplast_julho_2026.pdf" TargetMode="External" Id="rId418" /><Relationship Type="http://schemas.openxmlformats.org/officeDocument/2006/relationships/hyperlink" Target="https://credibilita.com.br/wp-content/uploads/2025/09/Relacao-Credores-29.04.2026.pdf" TargetMode="External" Id="rId419" /><Relationship Type="http://schemas.openxmlformats.org/officeDocument/2006/relationships/hyperlink" Target="https://scalzilliaj.com.br/sgc/download.php?file=files/processo_documento/processo_documento09514021082025_1_.pdf&amp;nome=04 - Rela&#231;&#227;o de credores das Recuperandas" TargetMode="External" Id="rId420" /><Relationship Type="http://schemas.openxmlformats.org/officeDocument/2006/relationships/hyperlink" Target="https://recuperacaojudicial.squarespace.com/s/RJ-Credimoveis-QGC-01082025.pdf" TargetMode="External" Id="rId421" /><Relationship Type="http://schemas.openxmlformats.org/officeDocument/2006/relationships/hyperlink" Target="https://recuperacaojudicial.squarespace.com/s/RJ-Credimoveis-QGC-01082025.pdf" TargetMode="External" Id="rId422" /><Relationship Type="http://schemas.openxmlformats.org/officeDocument/2006/relationships/hyperlink" Target="https://administradorajudicialgs.com.br/wp-content/uploads/2024/12/relacao-de-credores-da-falida.pdf" TargetMode="External" Id="rId423" /><Relationship Type="http://schemas.openxmlformats.org/officeDocument/2006/relationships/hyperlink" Target="https://stenius.com.br/wp-content/uploads/2026/06/EDITAL-GRUPO-3E.pdf" TargetMode="External" Id="rId424" /><Relationship Type="http://schemas.openxmlformats.org/officeDocument/2006/relationships/hyperlink" Target="https://diligence.adm.br/wp-content/plugins/download-attachments/includes/download.php?id=4579" TargetMode="External" Id="rId425" /><Relationship Type="http://schemas.openxmlformats.org/officeDocument/2006/relationships/hyperlink" Target="https://credibilita.com.br/wp-content/uploads/2025/09/Relacao-Credores-29.04.2026.pdf" TargetMode="External" Id="rId426" /><Relationship Type="http://schemas.openxmlformats.org/officeDocument/2006/relationships/hyperlink" Target="https://scalzilliaj.com.br/sgc/download.php?file=files/processo_documento/processo_documento09514021082025_1_.pdf&amp;nome=04 - Rela&#231;&#227;o de credores das Recuperandas" TargetMode="External" Id="rId427"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428" /><Relationship Type="http://schemas.openxmlformats.org/officeDocument/2006/relationships/hyperlink" Target="https://administradorajudicialgs.com.br/wp-content/uploads/2024/12/relacao-de-credores-da-falida.pdf" TargetMode="External" Id="rId429"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430" /><Relationship Type="http://schemas.openxmlformats.org/officeDocument/2006/relationships/hyperlink" Target="http://recuperacaojudicial.squarespace.com/s/LISTA-DE-CREDORES-CONSOLIDADA-ATE-04102024.pdf" TargetMode="External" Id="rId431" /><Relationship Type="http://schemas.openxmlformats.org/officeDocument/2006/relationships/hyperlink" Target="https://administradorajudicialgs.com.br/wp-content/uploads/2024/12/relacao-de-credores-da-falida.pdf" TargetMode="External" Id="rId432" /><Relationship Type="http://schemas.openxmlformats.org/officeDocument/2006/relationships/hyperlink" Target="https://stenius.com.br/wp-content/uploads/2026/06/EDITAL-GRUPO-3E.pdf" TargetMode="External" Id="rId433" /><Relationship Type="http://schemas.openxmlformats.org/officeDocument/2006/relationships/hyperlink" Target="https://ajruiz.com.br/sites/default/files/public/arquivos-processos/2024-04/relacao_de_credores_recuperanda_1.pdf" TargetMode="External" Id="rId434" /><Relationship Type="http://schemas.openxmlformats.org/officeDocument/2006/relationships/hyperlink" Target="https://ajruiz.com.br/sites/default/files/public/arquivos-processos/2024-04/relacao_de_credores_recuperanda_1.pdf" TargetMode="External" Id="rId435" /><Relationship Type="http://schemas.openxmlformats.org/officeDocument/2006/relationships/hyperlink" Target="https://stenius.com.br/wp-content/uploads/2026/06/EDITAL-GRUPO-3E.pdf" TargetMode="External" Id="rId436" /><Relationship Type="http://schemas.openxmlformats.org/officeDocument/2006/relationships/hyperlink" Target="https://stenius.com.br/wp-content/uploads/2026/06/EDITAL-GRUPO-3E.pdf" TargetMode="External" Id="rId437" /><Relationship Type="http://schemas.openxmlformats.org/officeDocument/2006/relationships/hyperlink" Target="https://ajruiz.com.br/sites/default/files/public/arquivos-processos/2026-06/alto_uruguai_qgc_junho.2026.pdf" TargetMode="External" Id="rId438" /><Relationship Type="http://schemas.openxmlformats.org/officeDocument/2006/relationships/hyperlink" Target="https://assistjud.com.br/wp-content/uploads/elementor/forms/65098c80a5824.pdf" TargetMode="External" Id="rId439" /><Relationship Type="http://schemas.openxmlformats.org/officeDocument/2006/relationships/hyperlink" Target="https://stenius.com.br/wp-content/uploads/2026/06/EDITAL-GRUPO-3E.pdf" TargetMode="External" Id="rId440"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441" /><Relationship Type="http://schemas.openxmlformats.org/officeDocument/2006/relationships/hyperlink" Target="http://recuperacaojudicial.squarespace.com/s/LISTA-DE-CREDORES-CONSOLIDADA-ATE-04102024.pdf" TargetMode="External" Id="rId442" /><Relationship Type="http://schemas.openxmlformats.org/officeDocument/2006/relationships/hyperlink" Target="https://stenius.com.br/wp-content/uploads/2026/06/EDITAL-GRUPO-3E.pdf" TargetMode="External" Id="rId443" /><Relationship Type="http://schemas.openxmlformats.org/officeDocument/2006/relationships/hyperlink" Target="https://administradorajudicialgs.com.br/wp-content/uploads/2023/08/doc-06-relacao-credores-do-administrador-judicial-10-02-2015.pdf" TargetMode="External" Id="rId444"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445" /><Relationship Type="http://schemas.openxmlformats.org/officeDocument/2006/relationships/hyperlink" Target="https://administradorajudicialgs.com.br/wp-content/uploads/2024/12/relacao-de-credores-da-falida.pdf" TargetMode="External" Id="rId446" /><Relationship Type="http://schemas.openxmlformats.org/officeDocument/2006/relationships/hyperlink" Target="https://diligence.adm.br/wp-content/uploads/2025/06/Edital-1a-Lista-de-Credores.pdf" TargetMode="External" Id="rId447" /><Relationship Type="http://schemas.openxmlformats.org/officeDocument/2006/relationships/hyperlink" Target="https://ajruiz.com.br/sites/default/files/public/arquivos-processos/2024-04/relacao_de_credores_recuperanda_1.pdf" TargetMode="External" Id="rId448"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449" /><Relationship Type="http://schemas.openxmlformats.org/officeDocument/2006/relationships/hyperlink" Target="https://scalzilliaj.com.br/sgc/download.php?file=files/processo_documento/processo_documento09514021082025_1_.pdf&amp;nome=04 - Rela&#231;&#227;o de credores das Recuperandas" TargetMode="External" Id="rId450" /><Relationship Type="http://schemas.openxmlformats.org/officeDocument/2006/relationships/hyperlink" Target="https://stenius.com.br/wp-content/uploads/2026/06/EDITAL-GRUPO-3E.pdf" TargetMode="External" Id="rId451" /><Relationship Type="http://schemas.openxmlformats.org/officeDocument/2006/relationships/hyperlink" Target="https://administradorajudicialgs.com.br/wp-content/uploads/2023/08/doc-06-relacao-credores-do-administrador-judicial-10-02-2015.pdf" TargetMode="External" Id="rId452" /><Relationship Type="http://schemas.openxmlformats.org/officeDocument/2006/relationships/hyperlink" Target="https://administradorajudicialgs.com.br/wp-content/uploads/2023/08/edital-quadro-geral-de-credores.pdf" TargetMode="External" Id="rId453" /><Relationship Type="http://schemas.openxmlformats.org/officeDocument/2006/relationships/hyperlink" Target="https://recuperacaojudicial.squarespace.com/s/RJ-Credimoveis-QGC-01082025.pdf" TargetMode="External" Id="rId454" /><Relationship Type="http://schemas.openxmlformats.org/officeDocument/2006/relationships/hyperlink" Target="https://stenius.com.br/wp-content/uploads/2026/06/EDITAL-GRUPO-3E.pdf" TargetMode="External" Id="rId455" /><Relationship Type="http://schemas.openxmlformats.org/officeDocument/2006/relationships/hyperlink" Target="https://credibilita.com.br/wp-content/uploads/2025/09/Relacao-Credores-29.04.2026.pdf" TargetMode="External" Id="rId456" /><Relationship Type="http://schemas.openxmlformats.org/officeDocument/2006/relationships/hyperlink" Target="https://lrflideres.com.br/wp-content/plugins/download-attachments/includes/download.php?id=6273" TargetMode="External" Id="rId457" /><Relationship Type="http://schemas.openxmlformats.org/officeDocument/2006/relationships/hyperlink" Target="https://recuperacaojudicial.squarespace.com/s/RJ-Credimoveis-QGC-01082025.pdf" TargetMode="External" Id="rId458" /><Relationship Type="http://schemas.openxmlformats.org/officeDocument/2006/relationships/hyperlink" Target="https://credibilita.com.br/wp-content/uploads/2025/09/Relacao-Credores-29.04.2026.pdf" TargetMode="External" Id="rId459"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460" /><Relationship Type="http://schemas.openxmlformats.org/officeDocument/2006/relationships/hyperlink" Target="http://bernardobicalho.com.br/login/app/documents/Rela%C3%A7%C3%A3o%20de%20Credores/6.%20RVC-%20Nutricium%20-%20simplificada.pdf" TargetMode="External" Id="rId461" /><Relationship Type="http://schemas.openxmlformats.org/officeDocument/2006/relationships/hyperlink" Target="https://scalzilliaj.com.br/sgc/download.php?file=files/processo_documento/processo_documento09514021082025_1_.pdf&amp;nome=04 - Rela&#231;&#227;o de credores das Recuperandas" TargetMode="External" Id="rId462" /><Relationship Type="http://schemas.openxmlformats.org/officeDocument/2006/relationships/hyperlink" Target="https://credibilita.com.br/wp-content/uploads/2025/09/Relacao-Credores-29.04.2026.pdf" TargetMode="External" Id="rId463" /><Relationship Type="http://schemas.openxmlformats.org/officeDocument/2006/relationships/hyperlink" Target="https://recuperacaojudicial.squarespace.com/s/RJ-Credimoveis-QGC-01082025.pdf" TargetMode="External" Id="rId464" /><Relationship Type="http://schemas.openxmlformats.org/officeDocument/2006/relationships/hyperlink" Target="https://recuperacaojudicial.squarespace.com/s/RJ-Grupo-Arnon-de-Melo-Lista-de-Credores-Consolidada-abril-2022.pdf" TargetMode="External" Id="rId465" /><Relationship Type="http://schemas.openxmlformats.org/officeDocument/2006/relationships/hyperlink" Target="https://recuperacaojudicial.squarespace.com/s/RJ-Grupo-Arnon-de-Melo-Lista-de-Credores-Consolidada-abril-2022.pdf" TargetMode="External" Id="rId466" /><Relationship Type="http://schemas.openxmlformats.org/officeDocument/2006/relationships/hyperlink" Target="https://administradorajudicialgs.com.br/wp-content/uploads/2024/12/relacao-de-credores-da-falida.pdf" TargetMode="External" Id="rId467" /><Relationship Type="http://schemas.openxmlformats.org/officeDocument/2006/relationships/hyperlink" Target="https://stenius.com.br/wp-content/uploads/2026/06/EDITAL-GRUPO-3E.pdf" TargetMode="External" Id="rId468" /><Relationship Type="http://schemas.openxmlformats.org/officeDocument/2006/relationships/hyperlink" Target="https://recuperacaojudicial.squarespace.com/s/RJ-Credimoveis-QGC-01082025.pdf" TargetMode="External" Id="rId469" /><Relationship Type="http://schemas.openxmlformats.org/officeDocument/2006/relationships/hyperlink" Target="https://lrflideres.com.br/wp-content/plugins/download-attachments/includes/download.php?id=6252" TargetMode="External" Id="rId470" /><Relationship Type="http://schemas.openxmlformats.org/officeDocument/2006/relationships/hyperlink" Target="https://recuperacaojudicial.squarespace.com/s/RJ-Credimoveis-QGC-01082025.pdf" TargetMode="External" Id="rId471" /><Relationship Type="http://schemas.openxmlformats.org/officeDocument/2006/relationships/hyperlink" Target="https://recuperacaojudicial.squarespace.com/s/RJ-Grupo-Arnon-de-Melo-Lista-de-Credores-Consolidada-abril-2022.pdf" TargetMode="External" Id="rId472" /><Relationship Type="http://schemas.openxmlformats.org/officeDocument/2006/relationships/hyperlink" Target="https://ajruiz.com.br/sites/default/files/public/arquivos-processos/2024-04/relacao_de_credores_recuperanda_1.pdf" TargetMode="External" Id="rId473" /><Relationship Type="http://schemas.openxmlformats.org/officeDocument/2006/relationships/hyperlink" Target="https://stenius.com.br/wp-content/uploads/2026/06/EDITAL-GRUPO-3E.pdf" TargetMode="External" Id="rId474" /><Relationship Type="http://schemas.openxmlformats.org/officeDocument/2006/relationships/hyperlink" Target="https://scalzilliaj.com.br/sgc/download.php?file=files/processo_documento/processo_documento09514021082025_1_.pdf&amp;nome=04 - Rela&#231;&#227;o de credores das Recuperandas" TargetMode="External" Id="rId475" /><Relationship Type="http://schemas.openxmlformats.org/officeDocument/2006/relationships/hyperlink" Target="https://lrflideres.com.br/wp-content/plugins/download-attachments/includes/download.php?id=6879" TargetMode="External" Id="rId476" /><Relationship Type="http://schemas.openxmlformats.org/officeDocument/2006/relationships/hyperlink" Target="https://recuperacaojudicial.squarespace.com/s/RJ-Credimoveis-QGC-01082025.pdf" TargetMode="External" Id="rId477" /><Relationship Type="http://schemas.openxmlformats.org/officeDocument/2006/relationships/hyperlink" Target="https://stenius.com.br/wp-content/uploads/2026/06/EDITAL-GRUPO-3E.pdf" TargetMode="External" Id="rId478" /><Relationship Type="http://schemas.openxmlformats.org/officeDocument/2006/relationships/hyperlink" Target="https://stenius.com.br/wp-content/uploads/2026/06/EDITAL-GRUPO-3E.pdf" TargetMode="External" Id="rId479" /><Relationship Type="http://schemas.openxmlformats.org/officeDocument/2006/relationships/hyperlink" Target="https://stenius.com.br/wp-content/uploads/2026/06/EDITAL-GRUPO-3E.pdf" TargetMode="External" Id="rId480" /><Relationship Type="http://schemas.openxmlformats.org/officeDocument/2006/relationships/hyperlink" Target="https://scalzilliaj.com.br/sgc/download.php?file=files/processo_documento/processo_documento09514021082025_1_.pdf&amp;nome=04 - Rela&#231;&#227;o de credores das Recuperandas" TargetMode="External" Id="rId481" /><Relationship Type="http://schemas.openxmlformats.org/officeDocument/2006/relationships/hyperlink" Target="https://administradorajudicialgs.com.br/wp-content/uploads/2024/12/relacao-de-credores-da-falida.pdf" TargetMode="External" Id="rId482" /><Relationship Type="http://schemas.openxmlformats.org/officeDocument/2006/relationships/hyperlink" Target="https://stenius.com.br/wp-content/uploads/2026/06/EDITAL-GRUPO-3E.pdf" TargetMode="External" Id="rId483" /><Relationship Type="http://schemas.openxmlformats.org/officeDocument/2006/relationships/hyperlink" Target="https://lrflideres.com.br/wp-content/plugins/download-attachments/includes/download.php?id=5001" TargetMode="External" Id="rId484" /><Relationship Type="http://schemas.openxmlformats.org/officeDocument/2006/relationships/hyperlink" Target="https://lrflideres.com.br/wp-content/plugins/download-attachments/includes/download.php?id=7418" TargetMode="External" Id="rId485" /><Relationship Type="http://schemas.openxmlformats.org/officeDocument/2006/relationships/hyperlink" Target="https://realbrasil.com.br/wp-content/uploads/2018/06/2_LISTA-DE-CREDORES-DA-RECUPERANDA_ROQUE.pdf" TargetMode="External" Id="rId486" /><Relationship Type="http://schemas.openxmlformats.org/officeDocument/2006/relationships/hyperlink" Target="https://recuperacaojudicial.squarespace.com/s/RJ-Grupo-Arnon-de-Melo-Lista-de-Credores-Consolidada-abril-2022.pdf" TargetMode="External" Id="rId487" /><Relationship Type="http://schemas.openxmlformats.org/officeDocument/2006/relationships/hyperlink" Target="https://recuperacaojudicial.squarespace.com/s/RJ-Credimoveis-QGC-01082025.pdf" TargetMode="External" Id="rId488" /><Relationship Type="http://schemas.openxmlformats.org/officeDocument/2006/relationships/hyperlink" Target="https://recuperacaojudicial.squarespace.com/s/RJ-Grupo-Arnon-de-Melo-Lista-de-Credores-Consolidada-abril-2022.pdf" TargetMode="External" Id="rId489" /><Relationship Type="http://schemas.openxmlformats.org/officeDocument/2006/relationships/hyperlink" Target="https://recuperacaojudicial.squarespace.com/s/RJ-Credimoveis-QGC-01082025.pdf" TargetMode="External" Id="rId490" /><Relationship Type="http://schemas.openxmlformats.org/officeDocument/2006/relationships/hyperlink" Target="https://stenius.com.br/wp-content/uploads/2026/06/EDITAL-GRUPO-3E.pdf" TargetMode="External" Id="rId491" /><Relationship Type="http://schemas.openxmlformats.org/officeDocument/2006/relationships/hyperlink" Target="https://stenius.com.br/wp-content/uploads/2026/06/EDITAL-GRUPO-3E.pdf" TargetMode="External" Id="rId492" /><Relationship Type="http://schemas.openxmlformats.org/officeDocument/2006/relationships/hyperlink" Target="https://scalzilliaj.com.br/sgc/download.php?file=files/processo_documento/processo_documento09514021082025_1_.pdf&amp;nome=04 - Rela&#231;&#227;o de credores das Recuperandas" TargetMode="External" Id="rId493" /><Relationship Type="http://schemas.openxmlformats.org/officeDocument/2006/relationships/hyperlink" Target="https://scalzilliaj.com.br/sgc/download.php?file=files/processo_documento/processo_documento15542620022025_1_.pdf&amp;nome=11 - Rela&#231;&#227;o de credores - art. 7&#186;, &#167;2&#186;, da LREF" TargetMode="External" Id="rId494" /><Relationship Type="http://schemas.openxmlformats.org/officeDocument/2006/relationships/hyperlink" Target="https://stenius.com.br/wp-content/uploads/2026/06/EDITAL-GRUPO-3E.pdf" TargetMode="External" Id="rId495" /><Relationship Type="http://schemas.openxmlformats.org/officeDocument/2006/relationships/hyperlink" Target="https://credibilita.com.br/wp-content/uploads/2025/09/Relacao-Credores-29.04.2026.pdf" TargetMode="External" Id="rId496" /><Relationship Type="http://schemas.openxmlformats.org/officeDocument/2006/relationships/hyperlink" Target="https://recuperacaojudicial.squarespace.com/s/RJ-Grupo-Arnon-de-Melo-Lista-de-Credores-Consolidada-abril-2022.pdf" TargetMode="External" Id="rId497" /><Relationship Type="http://schemas.openxmlformats.org/officeDocument/2006/relationships/hyperlink" Target="https://scalzilliaj.com.br/sgc/download.php?file=files/processo_documento/processo_documento09514021082025_1_.pdf&amp;nome=04 - Rela&#231;&#227;o de credores das Recuperandas" TargetMode="External" Id="rId498" /><Relationship Type="http://schemas.openxmlformats.org/officeDocument/2006/relationships/hyperlink" Target="https://recuperacaojudicial.squarespace.com/s/RJ-Grupo-Arnon-de-Melo-Lista-de-Credores-Consolidada-abril-2022.pdf" TargetMode="External" Id="rId499" /><Relationship Type="http://schemas.openxmlformats.org/officeDocument/2006/relationships/hyperlink" Target="https://recuperacaojudicial.squarespace.com/s/RJ-Credimoveis-QGC-01082025.pdf" TargetMode="External" Id="rId500" /><Relationship Type="http://schemas.openxmlformats.org/officeDocument/2006/relationships/hyperlink" Target="https://cdn.dol.com.br/img/attachmentinline/940000/6publicacao-2-edital-art-7-parag-2-da-lei-11101-20009467060.pdf?xid=3272528" TargetMode="External" Id="rId501" /><Relationship Type="http://schemas.openxmlformats.org/officeDocument/2006/relationships/hyperlink" Target="https://recuperacaojudicial.squarespace.com/s/RJ-Credimoveis-QGC-01082025.pdf" TargetMode="External" Id="rId502" /><Relationship Type="http://schemas.openxmlformats.org/officeDocument/2006/relationships/hyperlink" Target="https://scalzilliaj.com.br/sgc/download.php?file=files/processo_documento/processo_documento09514021082025_1_.pdf&amp;nome=04 - Rela&#231;&#227;o de credores das Recuperandas" TargetMode="External" Id="rId503" /><Relationship Type="http://schemas.openxmlformats.org/officeDocument/2006/relationships/hyperlink" Target="https://scalzilliaj.com.br/sgc/download.php?file=files/processo_documento/processo_documento09514021082025_1_.pdf&amp;nome=04 - Rela&#231;&#227;o de credores das Recuperandas" TargetMode="External" Id="rId504" /><Relationship Type="http://schemas.openxmlformats.org/officeDocument/2006/relationships/hyperlink" Target="https://recuperacaojudicial.squarespace.com/s/RJ-Credimoveis-QGC-01082025.pdf" TargetMode="External" Id="rId505" /><Relationship Type="http://schemas.openxmlformats.org/officeDocument/2006/relationships/hyperlink" Target="https://scalzilliaj.com.br/sgc/download.php?file=files/processo_documento/processo_documento09514021082025_1_.pdf&amp;nome=04 - Rela&#231;&#227;o de credores das Recuperandas" TargetMode="External" Id="rId506"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507"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508" /><Relationship Type="http://schemas.openxmlformats.org/officeDocument/2006/relationships/hyperlink" Target="https://ajruiz.com.br/sites/default/files/public/arquivos-processos/2023-11/4_relacao_de_credores_analitica_art._51_iii_da_lre.pdf" TargetMode="External" Id="rId509" /><Relationship Type="http://schemas.openxmlformats.org/officeDocument/2006/relationships/hyperlink" Target="https://stenius.com.br/wp-content/uploads/2026/06/EDITAL-GRUPO-3E.pdf" TargetMode="External" Id="rId510"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511"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512" /><Relationship Type="http://schemas.openxmlformats.org/officeDocument/2006/relationships/hyperlink" Target="https://credibilita.com.br/wp-content/uploads/2025/09/Relacao-Credores-29.04.2026.pdf" TargetMode="External" Id="rId513" /><Relationship Type="http://schemas.openxmlformats.org/officeDocument/2006/relationships/hyperlink" Target="https://stenius.com.br/wp-content/uploads/2026/06/EDITAL-GRUPO-3E.pdf" TargetMode="External" Id="rId514" /><Relationship Type="http://schemas.openxmlformats.org/officeDocument/2006/relationships/hyperlink" Target="https://recuperacaojudicial.squarespace.com/s/RJ-Credimoveis-QGC-01082025.pdf" TargetMode="External" Id="rId515" /><Relationship Type="http://schemas.openxmlformats.org/officeDocument/2006/relationships/hyperlink" Target="https://recuperacaojudicial.squarespace.com/s/RJ-Credimoveis-QGC-01082025.pdf" TargetMode="External" Id="rId516" /><Relationship Type="http://schemas.openxmlformats.org/officeDocument/2006/relationships/hyperlink" Target="https://stenius.com.br/wp-content/uploads/2026/06/EDITAL-GRUPO-3E.pdf" TargetMode="External" Id="rId517"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518" /><Relationship Type="http://schemas.openxmlformats.org/officeDocument/2006/relationships/hyperlink" Target="https://acfb.com.br/wp-content/uploads/2026/06/Relacao_de_Credores_Pneus_-_SITE.pdf" TargetMode="External" Id="rId519"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520" /><Relationship Type="http://schemas.openxmlformats.org/officeDocument/2006/relationships/hyperlink" Target="https://stenius.com.br/wp-content/uploads/2026/06/EDITAL-GRUPO-3E.pdf" TargetMode="External" Id="rId521" /><Relationship Type="http://schemas.openxmlformats.org/officeDocument/2006/relationships/hyperlink" Target="https://recuperacaojudicial.squarespace.com/s/RJ-Credimoveis-QGC-01082025.pdf" TargetMode="External" Id="rId522" /><Relationship Type="http://schemas.openxmlformats.org/officeDocument/2006/relationships/hyperlink" Target="https://stenius.com.br/wp-content/uploads/2026/06/EDITAL-GRUPO-3E.pdf" TargetMode="External" Id="rId523" /><Relationship Type="http://schemas.openxmlformats.org/officeDocument/2006/relationships/hyperlink" Target="https://stenius.com.br/wp-content/uploads/2026/06/EDITAL-GRUPO-3E.pdf" TargetMode="External" Id="rId524" /><Relationship Type="http://schemas.openxmlformats.org/officeDocument/2006/relationships/hyperlink" Target="https://recuperacaojudicial.squarespace.com/s/RJ-Credimoveis-QGC-01082025.pdf" TargetMode="External" Id="rId525" /><Relationship Type="http://schemas.openxmlformats.org/officeDocument/2006/relationships/hyperlink" Target="https://recuperacaojudicial.squarespace.com/s/RJ-Credimoveis-QGC-01082025.pdf" TargetMode="External" Id="rId526" /><Relationship Type="http://schemas.openxmlformats.org/officeDocument/2006/relationships/hyperlink" Target="https://scalzilliaj.com.br/sgc/download.php?file=files/processo_documento/processo_documento09514021082025_1_.pdf&amp;nome=04 - Rela&#231;&#227;o de credores das Recuperandas" TargetMode="External" Id="rId527" /><Relationship Type="http://schemas.openxmlformats.org/officeDocument/2006/relationships/hyperlink" Target="https://recuperacaojudicial.squarespace.com/s/RJ-Credimoveis-QGC-01082025.pdf" TargetMode="External" Id="rId528" /><Relationship Type="http://schemas.openxmlformats.org/officeDocument/2006/relationships/hyperlink" Target="https://stenius.com.br/wp-content/uploads/2026/06/EDITAL-GRUPO-3E.pdf" TargetMode="External" Id="rId529" /><Relationship Type="http://schemas.openxmlformats.org/officeDocument/2006/relationships/hyperlink" Target="https://scalzilliaj.com.br/sgc/download.php?file=files/processo_documento/processo_documento09514021082025_1_.pdf&amp;nome=04 - Rela&#231;&#227;o de credores das Recuperandas" TargetMode="External" Id="rId530"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531" /><Relationship Type="http://schemas.openxmlformats.org/officeDocument/2006/relationships/hyperlink" Target="https://recuperacaojudicial.squarespace.com/s/RJ-Credimoveis-QGC-01082025.pdf" TargetMode="External" Id="rId532" /><Relationship Type="http://schemas.openxmlformats.org/officeDocument/2006/relationships/hyperlink" Target="https://marquesadmjudicial.com.br/sgc/download.php?file=files/processo_documento/processo_documento09444722082025_1_.pdf&amp;nome=2&#176; Edital - Rela&#231;&#227;o de Credores AJ e PRJ" TargetMode="External" Id="rId533" /><Relationship Type="http://schemas.openxmlformats.org/officeDocument/2006/relationships/hyperlink" Target="https://recuperacaojudicial.squarespace.com/s/RJ-Credimoveis-QGC-01082025.pdf" TargetMode="External" Id="rId534" /><Relationship Type="http://schemas.openxmlformats.org/officeDocument/2006/relationships/hyperlink" Target="https://scalzilliaj.com.br/sgc/download.php?file=files/processo_documento/processo_documento09514021082025_1_.pdf&amp;nome=04 - Rela&#231;&#227;o de credores das Recuperandas" TargetMode="External" Id="rId535" /><Relationship Type="http://schemas.openxmlformats.org/officeDocument/2006/relationships/hyperlink" Target="https://recuperacaojudicial.squarespace.com/s/RJ-Credimoveis-QGC-01082025.pdf" TargetMode="External" Id="rId536" /><Relationship Type="http://schemas.openxmlformats.org/officeDocument/2006/relationships/hyperlink" Target="https://scalzilliaj.com.br/sgc/download.php?file=files/processo_documento/processo_documento09514021082025_1_.pdf&amp;nome=04 - Rela&#231;&#227;o de credores das Recuperandas" TargetMode="External" Id="rId537" /><Relationship Type="http://schemas.openxmlformats.org/officeDocument/2006/relationships/hyperlink" Target="https://recuperacaojudicial.squarespace.com/s/RJ-Credimoveis-QGC-01082025.pdf" TargetMode="External" Id="rId538" /><Relationship Type="http://schemas.openxmlformats.org/officeDocument/2006/relationships/hyperlink" Target="https://scalzilliaj.com.br/sgc/download.php?file=files/processo_documento/processo_documento09514021082025_1_.pdf&amp;nome=04 - Rela&#231;&#227;o de credores das Recuperandas" TargetMode="External" Id="rId539" /><Relationship Type="http://schemas.openxmlformats.org/officeDocument/2006/relationships/hyperlink" Target="https://scalzilliaj.com.br/sgc/download.php?file=files/processo_documento/processo_documento09514021082025_1_.pdf&amp;nome=04 - Rela&#231;&#227;o de credores das Recuperandas" TargetMode="External" Id="rId540" /><Relationship Type="http://schemas.openxmlformats.org/officeDocument/2006/relationships/hyperlink" Target="https://lrflideres.com.br/wp-content/plugins/download-attachments/includes/download.php?id=7418" TargetMode="External" Id="rId541" /><Relationship Type="http://schemas.openxmlformats.org/officeDocument/2006/relationships/hyperlink" Target="https://scalzilliaj.com.br/sgc/download.php?file=files/processo_documento/processo_documento09514021082025_1_.pdf&amp;nome=04 - Rela&#231;&#227;o de credores das Recuperandas" TargetMode="External" Id="rId542" /><Relationship Type="http://schemas.openxmlformats.org/officeDocument/2006/relationships/hyperlink" Target="https://lrflideres.com.br/wp-content/plugins/download-attachments/includes/download.php?id=7418" TargetMode="External" Id="rId543" /><Relationship Type="http://schemas.openxmlformats.org/officeDocument/2006/relationships/hyperlink" Target="https://scalzilliaj.com.br/sgc/download.php?file=files/processo_documento/processo_documento09514021082025_1_.pdf&amp;nome=04 - Rela&#231;&#227;o de credores das Recuperandas" TargetMode="External" Id="rId544" /><Relationship Type="http://schemas.openxmlformats.org/officeDocument/2006/relationships/hyperlink" Target="https://scalzilliaj.com.br/sgc/download.php?file=files/processo_documento/processo_documento09514021082025_1_.pdf&amp;nome=04 - Rela&#231;&#227;o de credores das Recuperandas" TargetMode="External" Id="rId545"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546" /><Relationship Type="http://schemas.openxmlformats.org/officeDocument/2006/relationships/hyperlink" Target="https://ajruiz.com.br/sites/default/files/public/arquivos-processos/2023-11/4_relacao_de_credores_analitica_art._51_iii_da_lre.pdf" TargetMode="External" Id="rId547" /><Relationship Type="http://schemas.openxmlformats.org/officeDocument/2006/relationships/hyperlink" Target="https://scalzilliaj.com.br/sgc/download.php?file=files/processo_documento/processo_documento09514021082025_1_.pdf&amp;nome=04 - Rela&#231;&#227;o de credores das Recuperandas" TargetMode="External" Id="rId548"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549"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550" /><Relationship Type="http://schemas.openxmlformats.org/officeDocument/2006/relationships/hyperlink" Target="https://scalzilliaj.com.br/sgc/download.php?file=files/processo_documento/processo_documento09514021082025_1_.pdf&amp;nome=04 - Rela&#231;&#227;o de credores das Recuperandas" TargetMode="External" Id="rId551" /><Relationship Type="http://schemas.openxmlformats.org/officeDocument/2006/relationships/hyperlink" Target="https://scalzilliaj.com.br/sgc/download.php?file=files/processo_documento/processo_documento09514021082025_1_.pdf&amp;nome=04 - Rela&#231;&#227;o de credores das Recuperandas" TargetMode="External" Id="rId552" /><Relationship Type="http://schemas.openxmlformats.org/officeDocument/2006/relationships/hyperlink" Target="https://scalzilliaj.com.br/sgc/download.php?file=files/processo_documento/processo_documento09514021082025_1_.pdf&amp;nome=04 - Rela&#231;&#227;o de credores das Recuperandas" TargetMode="External" Id="rId553" /><Relationship Type="http://schemas.openxmlformats.org/officeDocument/2006/relationships/hyperlink" Target="https://scalzilliaj.com.br/sgc/download.php?file=files/processo_documento/processo_documento09514021082025_1_.pdf&amp;nome=04 - Rela&#231;&#227;o de credores das Recuperandas" TargetMode="External" Id="rId554" /><Relationship Type="http://schemas.openxmlformats.org/officeDocument/2006/relationships/hyperlink" Target="http://bernardobicalho.com.br/login/app/documents/Rela%C3%A7%C3%A3o%20de%20Credores/6.%20RVC-%20Nutricium%20-%20simplificada.pdf" TargetMode="External" Id="rId555" /><Relationship Type="http://schemas.openxmlformats.org/officeDocument/2006/relationships/hyperlink" Target="https://scalzilliaj.com.br/sgc/download.php?file=files/processo_documento/processo_documento09514021082025_1_.pdf&amp;nome=04 - Rela&#231;&#227;o de credores das Recuperandas" TargetMode="External" Id="rId556" /><Relationship Type="http://schemas.openxmlformats.org/officeDocument/2006/relationships/hyperlink" Target="https://scalzilliaj.com.br/sgc/download.php?file=files/processo_documento/processo_documento09514021082025_1_.pdf&amp;nome=04 - Rela&#231;&#227;o de credores das Recuperandas" TargetMode="External" Id="rId557" /><Relationship Type="http://schemas.openxmlformats.org/officeDocument/2006/relationships/hyperlink" Target="https://scalzilliaj.com.br/sgc/download.php?file=files/processo_documento/processo_documento09514021082025_1_.pdf&amp;nome=04 - Rela&#231;&#227;o de credores das Recuperandas" TargetMode="External" Id="rId558" /><Relationship Type="http://schemas.openxmlformats.org/officeDocument/2006/relationships/hyperlink" Target="https://scalzilliaj.com.br/sgc/download.php?file=files/processo_documento/processo_documento09514021082025_1_.pdf&amp;nome=04 - Rela&#231;&#227;o de credores das Recuperandas" TargetMode="External" Id="rId559" /></Relationships>
</file>

<file path=xl/worksheets/_rels/sheet3.xml.rels><Relationships xmlns="http://schemas.openxmlformats.org/package/2006/relationships"><Relationship Type="http://schemas.openxmlformats.org/officeDocument/2006/relationships/hyperlink" Target="https://scalzilliaj.com.br/sgc/download.php?file=files/processo_documento/processo_documento09514021082025_1_.pdf&amp;nome=04 - Rela&#231;&#227;o de credores das Recuperandas" TargetMode="External" Id="rId1" /><Relationship Type="http://schemas.openxmlformats.org/officeDocument/2006/relationships/hyperlink" Target="https://scalzilliaj.com.br/sgc/download.php?file=files/processo_documento/processo_documento09514021082025_1_.pdf&amp;nome=04 - Rela&#231;&#227;o de credores das Recuperandas" TargetMode="External" Id="rId2"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3" /><Relationship Type="http://schemas.openxmlformats.org/officeDocument/2006/relationships/hyperlink" Target="https://scalzilliaj.com.br/sgc/download.php?file=files/processo_documento/processo_documento09514021082025_1_.pdf&amp;nome=04 - Rela&#231;&#227;o de credores das Recuperandas" TargetMode="External" Id="rId4" /><Relationship Type="http://schemas.openxmlformats.org/officeDocument/2006/relationships/hyperlink" Target="https://assistjud.com.br/wp-content/uploads/elementor/forms/65098c80a5824.pdf" TargetMode="External" Id="rId5" /><Relationship Type="http://schemas.openxmlformats.org/officeDocument/2006/relationships/hyperlink" Target="https://credibilita.com.br/wp-content/uploads/2025/09/Relacao-Credores-29.04.2026.pdf" TargetMode="External" Id="rId6" /><Relationship Type="http://schemas.openxmlformats.org/officeDocument/2006/relationships/hyperlink" Target="https://credibilita.com.br/wp-content/uploads/2025/09/Relacao-Credores-29.04.2026.pdf" TargetMode="External" Id="rId7" /><Relationship Type="http://schemas.openxmlformats.org/officeDocument/2006/relationships/hyperlink" Target="https://scalzilliaj.com.br/sgc/download.php?file=files/processo_documento/processo_documento09514021082025_1_.pdf&amp;nome=04 - Rela&#231;&#227;o de credores das Recuperandas" TargetMode="External" Id="rId8" /><Relationship Type="http://schemas.openxmlformats.org/officeDocument/2006/relationships/hyperlink" Target="https://credibilita.com.br/wp-content/uploads/2025/09/Relacao-Credores-29.04.2026.pdf" TargetMode="External" Id="rId9" /><Relationship Type="http://schemas.openxmlformats.org/officeDocument/2006/relationships/hyperlink" Target="https://scalzilliaj.com.br/sgc/download.php?file=files/processo_documento/processo_documento09514021082025_1_.pdf&amp;nome=04 - Rela&#231;&#227;o de credores das Recuperandas" TargetMode="External" Id="rId10" /><Relationship Type="http://schemas.openxmlformats.org/officeDocument/2006/relationships/hyperlink" Target="https://scalzilliaj.com.br/sgc/download.php?file=files/processo_documento/processo_documento09514021082025_1_.pdf&amp;nome=04 - Rela&#231;&#227;o de credores das Recuperandas" TargetMode="External" Id="rId11" /><Relationship Type="http://schemas.openxmlformats.org/officeDocument/2006/relationships/hyperlink" Target="https://marquesadmjudicial.com.br/sgc/download.php?file=files/processo_documento/processo_documento16562707032024_1_.pdf&amp;nome=2&#186; Edital-Rela&#231;&#227;o de Credores do art. 7, &#167;2 da LREF e do Plano de Recupera&#231;&#227;o Judicial" TargetMode="External" Id="rId12" /><Relationship Type="http://schemas.openxmlformats.org/officeDocument/2006/relationships/hyperlink" Target="https://scalzilliaj.com.br/sgc/download.php?file=files/processo_documento/processo_documento09514021082025_1_.pdf&amp;nome=04 - Rela&#231;&#227;o de credores das Recuperandas" TargetMode="External" Id="rId13" /><Relationship Type="http://schemas.openxmlformats.org/officeDocument/2006/relationships/hyperlink" Target="https://stenius.com.br/wp-content/uploads/2026/06/EDITAL-GRUPO-3E.pdf" TargetMode="External" Id="rId14" /><Relationship Type="http://schemas.openxmlformats.org/officeDocument/2006/relationships/hyperlink" Target="https://credibilita.com.br/wp-content/uploads/2025/09/Relacao-Credores-29.04.2026.pdf" TargetMode="External" Id="rId15" /><Relationship Type="http://schemas.openxmlformats.org/officeDocument/2006/relationships/hyperlink" Target="https://stenius.com.br/wp-content/uploads/2026/06/EDITAL-GRUPO-3E.pdf" TargetMode="External" Id="rId16" /><Relationship Type="http://schemas.openxmlformats.org/officeDocument/2006/relationships/hyperlink" Target="https://scalzilliaj.com.br/sgc/download.php?file=files/processo_documento/processo_documento09514021082025_1_.pdf&amp;nome=04 - Rela&#231;&#227;o de credores das Recuperandas" TargetMode="External" Id="rId17" /><Relationship Type="http://schemas.openxmlformats.org/officeDocument/2006/relationships/hyperlink" Target="https://recuperasolucoes.com/wp-content/plugins/download-attachments/includes/download.php?id=1597" TargetMode="External" Id="rId18" /><Relationship Type="http://schemas.openxmlformats.org/officeDocument/2006/relationships/hyperlink" Target="https://assistjud.com.br/wp-content/uploads/elementor/forms/65098c80a5824.pdf" TargetMode="External" Id="rId19" /><Relationship Type="http://schemas.openxmlformats.org/officeDocument/2006/relationships/hyperlink" Target="https://stenius.com.br/wp-content/uploads/2026/06/EDITAL-GRUPO-3E.pdf" TargetMode="External" Id="rId20" /><Relationship Type="http://schemas.openxmlformats.org/officeDocument/2006/relationships/hyperlink" Target="https://credibilita.com.br/wp-content/uploads/2025/09/Relacao-Credores-29.04.2026.pdf" TargetMode="External" Id="rId21" /><Relationship Type="http://schemas.openxmlformats.org/officeDocument/2006/relationships/hyperlink" Target="https://lrflideres.com.br/wp-content/plugins/download-attachments/includes/download.php?id=4023" TargetMode="External" Id="rId22"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3" /><Relationship Type="http://schemas.openxmlformats.org/officeDocument/2006/relationships/hyperlink" Target="https://credibilita.com.br/wp-content/uploads/2025/09/Relacao-Credores-29.04.2026.pdf" TargetMode="External" Id="rId24" /><Relationship Type="http://schemas.openxmlformats.org/officeDocument/2006/relationships/hyperlink" Target="https://recuperacaojudicial.squarespace.com/s/RJ-Grupo-Arnon-de-Melo-Lista-de-Credores-Consolidada-abril-2022.pdf" TargetMode="External" Id="rId25" /><Relationship Type="http://schemas.openxmlformats.org/officeDocument/2006/relationships/hyperlink" Target="https://administradorajudicialgs.com.br/wp-content/uploads/2024/12/relacao-de-credores-da-falida.pdf" TargetMode="External" Id="rId26" /><Relationship Type="http://schemas.openxmlformats.org/officeDocument/2006/relationships/hyperlink" Target="https://inova-aj.com.br/wp-content/uploads/2026/08/1a-Relacao-de-Credores-Real.pdf" TargetMode="External" Id="rId27" /><Relationship Type="http://schemas.openxmlformats.org/officeDocument/2006/relationships/hyperlink" Target="https://stenius.com.br/wp-content/uploads/2026/06/EDITAL-GRUPO-3E.pdf" TargetMode="External" Id="rId28" /><Relationship Type="http://schemas.openxmlformats.org/officeDocument/2006/relationships/hyperlink" Target="https://lrflideres.com.br/wp-content/plugins/download-attachments/includes/download.php?id=6273" TargetMode="External" Id="rId29" /><Relationship Type="http://schemas.openxmlformats.org/officeDocument/2006/relationships/hyperlink" Target="https://recuperasolucoes.com/wp-content/plugins/download-attachments/includes/download.php?id=1597" TargetMode="External" Id="rId30" /><Relationship Type="http://schemas.openxmlformats.org/officeDocument/2006/relationships/hyperlink" Target="https://lrflideres.com.br/wp-content/plugins/download-attachments/includes/download.php?id=6051" TargetMode="External" Id="rId31" /><Relationship Type="http://schemas.openxmlformats.org/officeDocument/2006/relationships/hyperlink" Target="https://credibilita.com.br/wp-content/uploads/2025/09/Relacao-Credores-29.04.2026.pdf" TargetMode="External" Id="rId32" /><Relationship Type="http://schemas.openxmlformats.org/officeDocument/2006/relationships/hyperlink" Target="https://stenius.com.br/wp-content/uploads/2026/06/EDITAL-GRUPO-3E.pdf" TargetMode="External" Id="rId33" /><Relationship Type="http://schemas.openxmlformats.org/officeDocument/2006/relationships/hyperlink" Target="https://marquesadmjudicial.com.br/sgc/download.php?file=files/processo_documento/processo_documento09391327032025_1_.pdf&amp;nome=Rela&#231;&#227;o Nominal de Credores AJ" TargetMode="External" Id="rId34"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35" /><Relationship Type="http://schemas.openxmlformats.org/officeDocument/2006/relationships/hyperlink" Target="https://credibilita.com.br/wp-content/uploads/2025/09/Relacao-Credores-29.04.2026.pdf" TargetMode="External" Id="rId36" /><Relationship Type="http://schemas.openxmlformats.org/officeDocument/2006/relationships/hyperlink" Target="https://credibilita.com.br/wp-content/uploads/2025/09/Relacao-Credores-29.04.2026.pdf" TargetMode="External" Id="rId37" /><Relationship Type="http://schemas.openxmlformats.org/officeDocument/2006/relationships/hyperlink" Target="https://lrflideres.com.br/wp-content/plugins/download-attachments/includes/download.php?id=6051" TargetMode="External" Id="rId38" /><Relationship Type="http://schemas.openxmlformats.org/officeDocument/2006/relationships/hyperlink" Target="https://ajruiz.com.br/sites/default/files/public/arquivos-processos/2026-01/safrasul_relacao_de_credores_recuperanda.pdf" TargetMode="External" Id="rId39" /><Relationship Type="http://schemas.openxmlformats.org/officeDocument/2006/relationships/hyperlink" Target="https://stenius.com.br/wp-content/uploads/2026/06/EDITAL-GRUPO-3E.pdf" TargetMode="External" Id="rId40" /><Relationship Type="http://schemas.openxmlformats.org/officeDocument/2006/relationships/hyperlink" Target="https://lrflideres.com.br/wp-content/plugins/download-attachments/includes/download.php?id=4023" TargetMode="External" Id="rId41" /><Relationship Type="http://schemas.openxmlformats.org/officeDocument/2006/relationships/hyperlink" Target="https://stenius.com.br/wp-content/uploads/2026/06/EDITAL-GRUPO-3E.pdf" TargetMode="External" Id="rId42" /><Relationship Type="http://schemas.openxmlformats.org/officeDocument/2006/relationships/hyperlink" Target="https://marquesadmjudicial.com.br/sgc/download.php?file=files/processo_documento/processo_documento15232121112024_1_.pdf&amp;nome=Rela&#231;&#227;o de Credores" TargetMode="External" Id="rId43"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44"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45" /><Relationship Type="http://schemas.openxmlformats.org/officeDocument/2006/relationships/hyperlink" Target="https://lrflideres.com.br/wp-content/plugins/download-attachments/includes/download.php?id=4023" TargetMode="External" Id="rId46" /><Relationship Type="http://schemas.openxmlformats.org/officeDocument/2006/relationships/hyperlink" Target="https://ajruiz.com.br/sites/default/files/public/arquivos-processos/2026-08/qgc_azeplast_julho_2026.pdf" TargetMode="External" Id="rId47" /><Relationship Type="http://schemas.openxmlformats.org/officeDocument/2006/relationships/hyperlink" Target="https://recuperasolucoes.com/wp-content/plugins/download-attachments/includes/download.php?id=1597" TargetMode="External" Id="rId48" /><Relationship Type="http://schemas.openxmlformats.org/officeDocument/2006/relationships/hyperlink" Target="https://lrflideres.com.br/wp-content/plugins/download-attachments/includes/download.php?id=6252" TargetMode="External" Id="rId49" /><Relationship Type="http://schemas.openxmlformats.org/officeDocument/2006/relationships/hyperlink" Target="https://marquesadmjudicial.com.br/sgc/download.php?file=files/processo_documento/processo_documento17040729052024_1_.pdf&amp;nome=Rela&#231;&#227;o Nominal de Credores AJ-Sint&#233;tica" TargetMode="External" Id="rId50" /><Relationship Type="http://schemas.openxmlformats.org/officeDocument/2006/relationships/hyperlink" Target="https://stenius.com.br/wp-content/uploads/2026/06/EDITAL-GRUPO-3E.pdf" TargetMode="External" Id="rId51" /><Relationship Type="http://schemas.openxmlformats.org/officeDocument/2006/relationships/hyperlink" Target="https://lrflideres.com.br/wp-content/plugins/download-attachments/includes/download.php?id=4023" TargetMode="External" Id="rId52" /><Relationship Type="http://schemas.openxmlformats.org/officeDocument/2006/relationships/hyperlink" Target="https://scalzilliaj.com.br/sgc/download.php?file=files/processo_documento/processo_documento09514021082025_1_.pdf&amp;nome=04 - Rela&#231;&#227;o de credores das Recuperandas" TargetMode="External" Id="rId53" /><Relationship Type="http://schemas.openxmlformats.org/officeDocument/2006/relationships/hyperlink" Target="https://assistjud.com.br/wp-content/uploads/elementor/forms/65098c80a5824.pdf" TargetMode="External" Id="rId54" /><Relationship Type="http://schemas.openxmlformats.org/officeDocument/2006/relationships/hyperlink" Target="https://stenius.com.br/wp-content/uploads/2026/06/EDITAL-GRUPO-3E.pdf" TargetMode="External" Id="rId55" /><Relationship Type="http://schemas.openxmlformats.org/officeDocument/2006/relationships/hyperlink" Target="https://recuperasolucoes.com/wp-content/plugins/download-attachments/includes/download.php?id=1597" TargetMode="External" Id="rId56"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57" /><Relationship Type="http://schemas.openxmlformats.org/officeDocument/2006/relationships/hyperlink" Target="https://scalzilliaj.com.br/sgc/download.php?file=files/processo_documento/processo_documento09514021082025_1_.pdf&amp;nome=04 - Rela&#231;&#227;o de credores das Recuperandas" TargetMode="External" Id="rId58" /><Relationship Type="http://schemas.openxmlformats.org/officeDocument/2006/relationships/hyperlink" Target="https://ajruiz.com.br/sites/default/files/public/arquivos-processos/2026-01/safrasul_relacao_de_credores_recuperanda.pdf" TargetMode="External" Id="rId59" /><Relationship Type="http://schemas.openxmlformats.org/officeDocument/2006/relationships/hyperlink" Target="http://recuperacaojudicial.squarespace.com/s/LISTA-DE-CREDORES-CONSOLIDADA-ATE-04102024.pdf" TargetMode="External" Id="rId60" /><Relationship Type="http://schemas.openxmlformats.org/officeDocument/2006/relationships/hyperlink" Target="https://administradorajudicialgs.com.br/wp-content/uploads/2024/12/relacao-de-credores-da-falida.pdf" TargetMode="External" Id="rId61" /><Relationship Type="http://schemas.openxmlformats.org/officeDocument/2006/relationships/hyperlink" Target="http://recuperacaojudicial.squarespace.com/s/LISTA-DE-CREDORES-CONSOLIDADA-ATE-04102024.pdf" TargetMode="External" Id="rId62" /><Relationship Type="http://schemas.openxmlformats.org/officeDocument/2006/relationships/hyperlink" Target="https://assistjud.com.br/wp-content/uploads/elementor/forms/65098c80a5824.pdf" TargetMode="External" Id="rId63" /><Relationship Type="http://schemas.openxmlformats.org/officeDocument/2006/relationships/hyperlink" Target="https://administradorajudicialgs.com.br/wp-content/uploads/2024/12/relacao-de-credores-da-falida.pdf" TargetMode="External" Id="rId64" /><Relationship Type="http://schemas.openxmlformats.org/officeDocument/2006/relationships/hyperlink" Target="https://recuperasolucoes.com/wp-content/plugins/download-attachments/includes/download.php?id=1597" TargetMode="External" Id="rId65" /><Relationship Type="http://schemas.openxmlformats.org/officeDocument/2006/relationships/hyperlink" Target="https://lrflideres.com.br/wp-content/plugins/download-attachments/includes/download.php?id=6051" TargetMode="External" Id="rId66" /><Relationship Type="http://schemas.openxmlformats.org/officeDocument/2006/relationships/hyperlink" Target="https://marquesadmjudicial.com.br/sgc/download.php?file=files/processo_documento/processo_documento09444722082025_1_.pdf&amp;nome=2&#176; Edital - Rela&#231;&#227;o de Credores AJ e PRJ" TargetMode="External" Id="rId67" /><Relationship Type="http://schemas.openxmlformats.org/officeDocument/2006/relationships/hyperlink" Target="https://inova-aj.com.br/wp-content/uploads/2026/08/1a-Relacao-de-Credores-Real.pdf" TargetMode="External" Id="rId68" /><Relationship Type="http://schemas.openxmlformats.org/officeDocument/2006/relationships/hyperlink" Target="https://lrflideres.com.br/wp-content/plugins/download-attachments/includes/download.php?id=4023" TargetMode="External" Id="rId69" /><Relationship Type="http://schemas.openxmlformats.org/officeDocument/2006/relationships/hyperlink" Target="https://stenius.com.br/wp-content/uploads/2026/06/EDITAL-GRUPO-3E.pdf" TargetMode="External" Id="rId70" /><Relationship Type="http://schemas.openxmlformats.org/officeDocument/2006/relationships/hyperlink" Target="https://inova-aj.com.br/wp-content/uploads/2026/08/1a-Relacao-de-Credores-Real.pdf" TargetMode="External" Id="rId71"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72" /><Relationship Type="http://schemas.openxmlformats.org/officeDocument/2006/relationships/hyperlink" Target="https://inova-aj.com.br/wp-content/uploads/2026/08/1a-Relacao-de-Credores-Real.pdf" TargetMode="External" Id="rId73" /><Relationship Type="http://schemas.openxmlformats.org/officeDocument/2006/relationships/hyperlink" Target="https://stenius.com.br/wp-content/uploads/2026/07/EDITAL-1-RELACAO-DE-CREDORES-GRUPO-GE.pdf" TargetMode="External" Id="rId74" /><Relationship Type="http://schemas.openxmlformats.org/officeDocument/2006/relationships/hyperlink" Target="https://administradorajudicialgs.com.br/wp-content/uploads/2024/12/relacao-de-credores-da-falida.pdf" TargetMode="External" Id="rId75" /><Relationship Type="http://schemas.openxmlformats.org/officeDocument/2006/relationships/hyperlink" Target="https://scalzilliaj.com.br/sgc/download.php?file=files/processo_documento/processo_documento09514021082025_1_.pdf&amp;nome=04 - Rela&#231;&#227;o de credores das Recuperandas" TargetMode="External" Id="rId76" /><Relationship Type="http://schemas.openxmlformats.org/officeDocument/2006/relationships/hyperlink" Target="https://ajruiz.com.br/sites/default/files/public/arquivos-processos/2023-11/4_relacao_de_credores_analitica_art._51_iii_da_lre.pdf" TargetMode="External" Id="rId77" /><Relationship Type="http://schemas.openxmlformats.org/officeDocument/2006/relationships/hyperlink" Target="https://lrflideres.com.br/wp-content/plugins/download-attachments/includes/download.php?id=7418" TargetMode="External" Id="rId78" /><Relationship Type="http://schemas.openxmlformats.org/officeDocument/2006/relationships/hyperlink" Target="https://administradorajudicialgs.com.br/wp-content/uploads/2024/12/relacao-de-credores-da-falida.pdf" TargetMode="External" Id="rId79" /><Relationship Type="http://schemas.openxmlformats.org/officeDocument/2006/relationships/hyperlink" Target="https://scalzilliaj.com.br/sgc/download.php?file=files/processo_documento/processo_documento09120721032023_1_.pdf&amp;nome=15 - Edital do art. 7&#186;, &#167;2&#186; e 53 da Lei 11.101/2005 (segunda lista de credores e recebimento do plano))" TargetMode="External" Id="rId80" /><Relationship Type="http://schemas.openxmlformats.org/officeDocument/2006/relationships/hyperlink" Target="https://marquesadmjudicial.com.br/sgc/download.php?file=files/processo_documento/processo_documento20014127022025_1_.pdf&amp;nome=Rela&#231;&#227;o Nominal de Credores" TargetMode="External" Id="rId81" /><Relationship Type="http://schemas.openxmlformats.org/officeDocument/2006/relationships/hyperlink" Target="https://realbrasil.com.br/wp-content/uploads/2018/06/2_LISTA-DE-CREDORES-DA-RECUPERANDA_ROQUE.pdf" TargetMode="External" Id="rId82" /><Relationship Type="http://schemas.openxmlformats.org/officeDocument/2006/relationships/hyperlink" Target="https://marquesadmjudicial.com.br/sgc/download.php?file=files/processo_documento/processo_documento17040729052024_1_.pdf&amp;nome=Rela&#231;&#227;o Nominal de Credores AJ-Sint&#233;tica" TargetMode="External" Id="rId83" /><Relationship Type="http://schemas.openxmlformats.org/officeDocument/2006/relationships/hyperlink" Target="https://lrflideres.com.br/wp-content/plugins/download-attachments/includes/download.php?id=6879" TargetMode="External" Id="rId84" /><Relationship Type="http://schemas.openxmlformats.org/officeDocument/2006/relationships/hyperlink" Target="https://ajruiz.com.br/sites/default/files/public/arquivos-processos/2026-01/safrasul_relacao_de_credores_recuperanda.pdf" TargetMode="External" Id="rId85" /><Relationship Type="http://schemas.openxmlformats.org/officeDocument/2006/relationships/hyperlink" Target="https://lrflideres.com.br/wp-content/plugins/download-attachments/includes/download.php?id=6051" TargetMode="External" Id="rId86"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87" /><Relationship Type="http://schemas.openxmlformats.org/officeDocument/2006/relationships/hyperlink" Target="https://ajruiz.com.br/sites/default/files/public/arquivos-processos/2026-08/qgc_azeplast_julho_2026.pdf" TargetMode="External" Id="rId88" /><Relationship Type="http://schemas.openxmlformats.org/officeDocument/2006/relationships/hyperlink" Target="https://lrflideres.com.br/wp-content/plugins/download-attachments/includes/download.php?id=6252" TargetMode="External" Id="rId89" /><Relationship Type="http://schemas.openxmlformats.org/officeDocument/2006/relationships/hyperlink" Target="https://stenius.com.br/wp-content/uploads/2026/06/EDITAL-GRUPO-3E.pdf" TargetMode="External" Id="rId90" /><Relationship Type="http://schemas.openxmlformats.org/officeDocument/2006/relationships/hyperlink" Target="https://assistjud.com.br/wp-content/uploads/elementor/forms/65098c80a5824.pdf" TargetMode="External" Id="rId91" /><Relationship Type="http://schemas.openxmlformats.org/officeDocument/2006/relationships/hyperlink" Target="https://lrflideres.com.br/wp-content/plugins/download-attachments/includes/download.php?id=4023" TargetMode="External" Id="rId92" /><Relationship Type="http://schemas.openxmlformats.org/officeDocument/2006/relationships/hyperlink" Target="https://diligence.adm.br/wp-content/uploads/2025/06/Edital-1a-Lista-de-Credores.pdf" TargetMode="External" Id="rId93" /><Relationship Type="http://schemas.openxmlformats.org/officeDocument/2006/relationships/hyperlink" Target="https://recuperasolucoes.com/wp-content/plugins/download-attachments/includes/download.php?id=1597" TargetMode="External" Id="rId94"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95" /><Relationship Type="http://schemas.openxmlformats.org/officeDocument/2006/relationships/hyperlink" Target="https://marquesadmjudicial.com.br/sgc/download.php?file=files/processo_documento/processo_documento15232121112024_1_.pdf&amp;nome=Rela&#231;&#227;o de Credores" TargetMode="External" Id="rId96" /><Relationship Type="http://schemas.openxmlformats.org/officeDocument/2006/relationships/hyperlink" Target="https://diligence.adm.br/wp-content/uploads/2025/06/Edital-1a-Lista-de-Credores.pdf" TargetMode="External" Id="rId97" /><Relationship Type="http://schemas.openxmlformats.org/officeDocument/2006/relationships/hyperlink" Target="https://ajruiz.com.br/sites/default/files/public/arquivos-processos/2026-06/alto_uruguai_qgc_junho.2026.pdf" TargetMode="External" Id="rId98" /><Relationship Type="http://schemas.openxmlformats.org/officeDocument/2006/relationships/hyperlink" Target="https://rlg-aj.com.br/wp-content/uploads/2024/11/07.-Rela&#231;&#227;o-de-credores.pdf" TargetMode="External" Id="rId99" /><Relationship Type="http://schemas.openxmlformats.org/officeDocument/2006/relationships/hyperlink" Target="https://administradorajudicialgs.com.br/wp-content/uploads/2024/12/relacao-de-credores-da-falida.pdf" TargetMode="External" Id="rId100" /><Relationship Type="http://schemas.openxmlformats.org/officeDocument/2006/relationships/hyperlink" Target="https://lrflideres.com.br/wp-content/plugins/download-attachments/includes/download.php?id=6252" TargetMode="External" Id="rId101" /><Relationship Type="http://schemas.openxmlformats.org/officeDocument/2006/relationships/hyperlink" Target="https://recuperacaojudicial.squarespace.com/s/RJ-Credimoveis-QGC-01082025.pdf" TargetMode="External" Id="rId102" /><Relationship Type="http://schemas.openxmlformats.org/officeDocument/2006/relationships/hyperlink" Target="https://stenius.com.br/wp-content/uploads/2026/06/EDITAL-GRUPO-FAEL.pdf" TargetMode="External" Id="rId103" /><Relationship Type="http://schemas.openxmlformats.org/officeDocument/2006/relationships/hyperlink" Target="https://vivanteaj.com.br/wp-content/uploads/2024/11/1a-lista-de-credores-JA-Santos.pdf" TargetMode="External" Id="rId104" /><Relationship Type="http://schemas.openxmlformats.org/officeDocument/2006/relationships/hyperlink" Target="https://assistjud.com.br/wp-content/uploads/elementor/forms/65098c80a5824.pdf" TargetMode="External" Id="rId105" /><Relationship Type="http://schemas.openxmlformats.org/officeDocument/2006/relationships/hyperlink" Target="https://assistjud.com.br/wp-content/uploads/elementor/forms/65098c80a5824.pdf" TargetMode="External" Id="rId106" /><Relationship Type="http://schemas.openxmlformats.org/officeDocument/2006/relationships/hyperlink" Target="https://cataliseaj.com.br/sgc/download.php?file=files/processo_documento/processo_documento15092204102024_1_.pdf&amp;nome=02. RELA&#199;&#195;O DE CREDORES" TargetMode="External" Id="rId107" /><Relationship Type="http://schemas.openxmlformats.org/officeDocument/2006/relationships/hyperlink" Target="https://recuperasolucoes.com/wp-content/plugins/download-attachments/includes/download.php?id=1492" TargetMode="External" Id="rId108" /><Relationship Type="http://schemas.openxmlformats.org/officeDocument/2006/relationships/hyperlink" Target="https://recuperacaojudicial.squarespace.com/s/RJ-Grupo-Arnon-de-Melo-Lista-de-Credores-Consolidada-abril-2022.pdf" TargetMode="External" Id="rId109" /><Relationship Type="http://schemas.openxmlformats.org/officeDocument/2006/relationships/hyperlink" Target="https://assistjud.com.br/wp-content/uploads/elementor/forms/65098c80a5824.pdf" TargetMode="External" Id="rId110" /><Relationship Type="http://schemas.openxmlformats.org/officeDocument/2006/relationships/hyperlink" Target="https://ajruiz.com.br/sites/default/files/public/arquivos-processos/2026-06/alto_uruguai_qgc_junho.2026.pdf" TargetMode="External" Id="rId111" /><Relationship Type="http://schemas.openxmlformats.org/officeDocument/2006/relationships/hyperlink" Target="https://bbsadvogados.com.br/wp-content/uploads/2025/04/Equipseg-Edital-Relacao-de-Credores-da-Administradora-Judicial-art.-7o2o-da-LRF.pdf" TargetMode="External" Id="rId112" /><Relationship Type="http://schemas.openxmlformats.org/officeDocument/2006/relationships/hyperlink" Target="https://administradorajudicialgs.com.br/wp-content/uploads/2025/09/relacao-de-credores-forest-sa.pdf" TargetMode="External" Id="rId113" /><Relationship Type="http://schemas.openxmlformats.org/officeDocument/2006/relationships/hyperlink" Target="https://stenius.com.br/wp-content/uploads/2026/06/EDITAL-GRUPO-3E.pdf" TargetMode="External" Id="rId114"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15" /><Relationship Type="http://schemas.openxmlformats.org/officeDocument/2006/relationships/hyperlink" Target="https://ajruiz.com.br/sites/default/files/public/arquivos-processos/2026-01/safrasul_relacao_de_credores_recuperanda.pdf" TargetMode="External" Id="rId116" /><Relationship Type="http://schemas.openxmlformats.org/officeDocument/2006/relationships/hyperlink" Target="https://lrflideres.com.br/wp-content/plugins/download-attachments/includes/download.php?id=7418" TargetMode="External" Id="rId117" /><Relationship Type="http://schemas.openxmlformats.org/officeDocument/2006/relationships/hyperlink" Target="https://diligence.adm.br/wp-content/plugins/download-attachments/includes/download.php?id=4579" TargetMode="External" Id="rId118"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119" /><Relationship Type="http://schemas.openxmlformats.org/officeDocument/2006/relationships/hyperlink" Target="https://administradorajudicialgs.com.br/wp-content/uploads/2024/12/relacao-de-credores-da-falida.pdf" TargetMode="External" Id="rId120" /><Relationship Type="http://schemas.openxmlformats.org/officeDocument/2006/relationships/hyperlink" Target="https://ajruiz.com.br/sites/default/files/public/arquivos-processos/2026-08/qgc_azeplast_julho_2026.pdf" TargetMode="External" Id="rId121" /><Relationship Type="http://schemas.openxmlformats.org/officeDocument/2006/relationships/hyperlink" Target="https://assistjud.com.br/wp-content/uploads/elementor/forms/65098c80a5824.pdf" TargetMode="External" Id="rId122" /><Relationship Type="http://schemas.openxmlformats.org/officeDocument/2006/relationships/hyperlink" Target="https://ajruiz.com.br/sites/default/files/public/arquivos-processos/2023-11/4_relacao_de_credores_analitica_art._51_iii_da_lre.pdf" TargetMode="External" Id="rId123" /><Relationship Type="http://schemas.openxmlformats.org/officeDocument/2006/relationships/hyperlink" Target="https://administradorajudicialgs.com.br/wp-content/uploads/2024/12/relacao-de-credores-da-falida.pdf" TargetMode="External" Id="rId124" /><Relationship Type="http://schemas.openxmlformats.org/officeDocument/2006/relationships/hyperlink" Target="https://administradorajudicialgs.com.br/wp-content/uploads/2023/08/advogados-sgrott-doc-22-relacao-de-credores-do-administrador-judicial-classe-iii-05-02-14.pdf" TargetMode="External" Id="rId125" /><Relationship Type="http://schemas.openxmlformats.org/officeDocument/2006/relationships/hyperlink" Target="https://stenius.com.br/wp-content/uploads/2026/06/EDITAL-GRUPO-3E.pdf" TargetMode="External" Id="rId126" /><Relationship Type="http://schemas.openxmlformats.org/officeDocument/2006/relationships/hyperlink" Target="https://scalzilliaj.com.br/sgc/download.php?file=files/processo_documento/processo_documento09514021082025_1_.pdf&amp;nome=04 - Rela&#231;&#227;o de credores das Recuperandas" TargetMode="External" Id="rId127" /><Relationship Type="http://schemas.openxmlformats.org/officeDocument/2006/relationships/hyperlink" Target="https://credibilita.com.br/wp-content/uploads/2025/09/Relacao-Credores-29.04.2026.pdf" TargetMode="External" Id="rId128" /><Relationship Type="http://schemas.openxmlformats.org/officeDocument/2006/relationships/hyperlink" Target="https://assistjud.com.br/wp-content/uploads/elementor/forms/65098c80a5824.pdf" TargetMode="External" Id="rId129" /><Relationship Type="http://schemas.openxmlformats.org/officeDocument/2006/relationships/hyperlink" Target="https://recuperacaojudicial.squarespace.com/s/EDITAL-COM-A-2-LISTA-DE-CREDORES-E-INFORMANDO-A-APRESENTACO-DO-PRJ_1532.pdf" TargetMode="External" Id="rId130" /><Relationship Type="http://schemas.openxmlformats.org/officeDocument/2006/relationships/hyperlink" Target="https://cataliseaj.com.br/sgc/download.php?file=files/processo_documento/processo_documento15092204102024_1_.pdf&amp;nome=02. RELA&#199;&#195;O DE CREDORES" TargetMode="External" Id="rId131" /><Relationship Type="http://schemas.openxmlformats.org/officeDocument/2006/relationships/hyperlink" Target="https://lrflideres.com.br/wp-content/plugins/download-attachments/includes/download.php?id=6051" TargetMode="External" Id="rId132" /><Relationship Type="http://schemas.openxmlformats.org/officeDocument/2006/relationships/hyperlink" Target="https://ajruiz.com.br/sites/default/files/public/arquivos-processos/2023-11/4_relacao_de_credores_analitica_art._51_iii_da_lre.pdf" TargetMode="External" Id="rId133" /><Relationship Type="http://schemas.openxmlformats.org/officeDocument/2006/relationships/hyperlink" Target="https://assistjud.com.br/wp-content/uploads/elementor/forms/65098c80a5824.pdf" TargetMode="External" Id="rId134" /><Relationship Type="http://schemas.openxmlformats.org/officeDocument/2006/relationships/hyperlink" Target="https://marquesadmjudicial.com.br/sgc/download.php?file=files/processo_documento/processo_documento17040729052024_1_.pdf&amp;nome=Rela&#231;&#227;o Nominal de Credores AJ-Sint&#233;tica" TargetMode="External" Id="rId135"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136"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137" /><Relationship Type="http://schemas.openxmlformats.org/officeDocument/2006/relationships/hyperlink" Target="https://bbsadvogados.com.br/wp-content/uploads/2025/04/Equipseg-Edital-Relacao-de-Credores-da-Administradora-Judicial-art.-7o2o-da-LRF.pdf" TargetMode="External" Id="rId138" /><Relationship Type="http://schemas.openxmlformats.org/officeDocument/2006/relationships/hyperlink" Target="http://recuperacaojudicial.squarespace.com/s/LISTA-DE-CREDORES-CONSOLIDADA-ATE-04102024.pdf" TargetMode="External" Id="rId139" /><Relationship Type="http://schemas.openxmlformats.org/officeDocument/2006/relationships/hyperlink" Target="https://assistjud.com.br/wp-content/uploads/elementor/forms/65098c80a5824.pdf" TargetMode="External" Id="rId140" /><Relationship Type="http://schemas.openxmlformats.org/officeDocument/2006/relationships/hyperlink" Target="https://ajruiz.com.br/sites/default/files/public/arquivos-processos/2026-01/safrasul_relacao_de_credores_recuperanda.pdf" TargetMode="External" Id="rId141" /><Relationship Type="http://schemas.openxmlformats.org/officeDocument/2006/relationships/hyperlink" Target="https://rlg-aj.com.br/wp-content/uploads/2024/11/07.-Rela&#231;&#227;o-de-credores.pdf" TargetMode="External" Id="rId142"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43" /><Relationship Type="http://schemas.openxmlformats.org/officeDocument/2006/relationships/hyperlink" Target="https://ajruiz.com.br/sites/default/files/public/arquivos-processos/2026-08/qgc_azeplast_julho_2026.pdf" TargetMode="External" Id="rId144" /><Relationship Type="http://schemas.openxmlformats.org/officeDocument/2006/relationships/hyperlink" Target="https://administradorajudicialgs.com.br/wp-content/uploads/2024/12/relacao-de-credores-da-falida.pdf" TargetMode="External" Id="rId145" /><Relationship Type="http://schemas.openxmlformats.org/officeDocument/2006/relationships/hyperlink" Target="https://marquesadmjudicial.com.br/sgc/download.php?file=files/processo_documento/processo_documento17040729052024_1_.pdf&amp;nome=Rela&#231;&#227;o Nominal de Credores AJ-Sint&#233;tica" TargetMode="External" Id="rId146" /><Relationship Type="http://schemas.openxmlformats.org/officeDocument/2006/relationships/hyperlink" Target="https://recuperasolucoes.com/wp-content/plugins/download-attachments/includes/download.php?id=1492" TargetMode="External" Id="rId147" /><Relationship Type="http://schemas.openxmlformats.org/officeDocument/2006/relationships/hyperlink" Target="https://diligence.adm.br/wp-content/plugins/download-attachments/includes/download.php?id=4599" TargetMode="External" Id="rId148" /><Relationship Type="http://schemas.openxmlformats.org/officeDocument/2006/relationships/hyperlink" Target="https://diligence.adm.br/wp-content/uploads/2025/06/Edital-1a-Lista-de-Credores.pdf" TargetMode="External" Id="rId149" /><Relationship Type="http://schemas.openxmlformats.org/officeDocument/2006/relationships/hyperlink" Target="https://assistjud.com.br/wp-content/uploads/elementor/forms/65098c80a5824.pdf" TargetMode="External" Id="rId150" /><Relationship Type="http://schemas.openxmlformats.org/officeDocument/2006/relationships/hyperlink" Target="https://diligence.adm.br/wp-content/uploads/2025/06/Edital-1a-Lista-de-Credores.pdf" TargetMode="External" Id="rId151" /><Relationship Type="http://schemas.openxmlformats.org/officeDocument/2006/relationships/hyperlink" Target="https://marquesadmjudicial.com.br/sgc/download.php?file=files/processo_documento/processo_documento17040729052024_1_.pdf&amp;nome=Rela&#231;&#227;o Nominal de Credores AJ-Sint&#233;tica" TargetMode="External" Id="rId152" /><Relationship Type="http://schemas.openxmlformats.org/officeDocument/2006/relationships/hyperlink" Target="https://realbrasil.com.br/wp-content/uploads/2018/06/2_LISTA-DE-CREDORES-DA-RECUPERANDA_ROQUE.pdf" TargetMode="External" Id="rId153" /><Relationship Type="http://schemas.openxmlformats.org/officeDocument/2006/relationships/hyperlink" Target="https://assistjud.com.br/wp-content/uploads/elementor/forms/65098c80a5824.pdf" TargetMode="External" Id="rId154" /><Relationship Type="http://schemas.openxmlformats.org/officeDocument/2006/relationships/hyperlink" Target="https://marquesadmjudicial.com.br/sgc/download.php?file=files/processo_documento/processo_documento15232121112024_1_.pdf&amp;nome=Rela&#231;&#227;o de Credores" TargetMode="External" Id="rId155" /><Relationship Type="http://schemas.openxmlformats.org/officeDocument/2006/relationships/hyperlink" Target="https://bbsadvogados.com.br/wp-content/uploads/2025/04/Equipseg-Edital-Relacao-de-Credores-da-Administradora-Judicial-art.-7o2o-da-LRF.pdf" TargetMode="External" Id="rId156" /><Relationship Type="http://schemas.openxmlformats.org/officeDocument/2006/relationships/hyperlink" Target="https://lrflideres.com.br/wp-content/plugins/download-attachments/includes/download.php?id=6273" TargetMode="External" Id="rId157" /><Relationship Type="http://schemas.openxmlformats.org/officeDocument/2006/relationships/hyperlink" Target="https://diligence.adm.br/wp-content/uploads/2025/06/Edital-1a-Lista-de-Credores.pdf" TargetMode="External" Id="rId158" /><Relationship Type="http://schemas.openxmlformats.org/officeDocument/2006/relationships/hyperlink" Target="https://ajruiz.com.br/sites/default/files/public/arquivos-processos/2023-11/4_relacao_de_credores_analitica_art._51_iii_da_lre.pdf" TargetMode="External" Id="rId159" /><Relationship Type="http://schemas.openxmlformats.org/officeDocument/2006/relationships/hyperlink" Target="https://recuperasolucoes.com/wp-content/plugins/download-attachments/includes/download.php?id=1597" TargetMode="External" Id="rId160"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161" /><Relationship Type="http://schemas.openxmlformats.org/officeDocument/2006/relationships/hyperlink" Target="https://ajruiz.com.br/sites/default/files/public/arquivos-processos/2026-06/alto_uruguai_qgc_junho.2026.pdf" TargetMode="External" Id="rId162" /><Relationship Type="http://schemas.openxmlformats.org/officeDocument/2006/relationships/hyperlink" Target="https://ajruiz.com.br/sites/default/files/public/arquivos-processos/2026-01/safrasul_relacao_de_credores_recuperanda.pdf" TargetMode="External" Id="rId163" /><Relationship Type="http://schemas.openxmlformats.org/officeDocument/2006/relationships/hyperlink" Target="https://diligence.adm.br/wp-content/plugins/download-attachments/includes/download.php?id=4579" TargetMode="External" Id="rId164" /><Relationship Type="http://schemas.openxmlformats.org/officeDocument/2006/relationships/hyperlink" Target="https://marquesadmjudicial.com.br/sgc/download.php?file=files/processo_documento/processo_documento17040729052024_1_.pdf&amp;nome=Rela&#231;&#227;o Nominal de Credores AJ-Sint&#233;tica" TargetMode="External" Id="rId165" /><Relationship Type="http://schemas.openxmlformats.org/officeDocument/2006/relationships/hyperlink" Target="https://marquesadmjudicial.com.br/sgc/download.php?file=files/processo_documento/processo_documento18581929042026_1_.pdf&amp;nome=3&#186; Edital - Rela&#231;&#227;o de Credores e PRJ" TargetMode="External" Id="rId166" /><Relationship Type="http://schemas.openxmlformats.org/officeDocument/2006/relationships/hyperlink" Target="https://bbsadvogados.com.br/wp-content/uploads/2025/04/Equipseg-Edital-Relacao-de-Credores-da-Administradora-Judicial-art.-7o2o-da-LRF.pdf" TargetMode="External" Id="rId167" /><Relationship Type="http://schemas.openxmlformats.org/officeDocument/2006/relationships/hyperlink" Target="https://ajruiz.com.br/sites/default/files/public/arquivos-processos/2026-01/safrasul_relacao_de_credores_recuperanda.pdf" TargetMode="External" Id="rId168" /><Relationship Type="http://schemas.openxmlformats.org/officeDocument/2006/relationships/hyperlink" Target="https://stenius.com.br/wp-content/uploads/2026/06/EDITAL-GRUPO-3E.pdf" TargetMode="External" Id="rId169" /><Relationship Type="http://schemas.openxmlformats.org/officeDocument/2006/relationships/hyperlink" Target="https://recuperasolucoes.com/wp-content/plugins/download-attachments/includes/download.php?id=1597" TargetMode="External" Id="rId170" /><Relationship Type="http://schemas.openxmlformats.org/officeDocument/2006/relationships/hyperlink" Target="https://bugarimecoelho.com.br/ws/media-library/b6b7ea42b9fa2afe30bc728fe00cd5c6/07---edital-do-processamento-da-recuperacao-judicial.pdf" TargetMode="External" Id="rId171" /><Relationship Type="http://schemas.openxmlformats.org/officeDocument/2006/relationships/hyperlink" Target="https://marquesadmjudicial.com.br/sgc/download.php?file=files/processo_documento/processo_documento17040729052024_1_.pdf&amp;nome=Rela&#231;&#227;o Nominal de Credores AJ-Sint&#233;tica" TargetMode="External" Id="rId172" /><Relationship Type="http://schemas.openxmlformats.org/officeDocument/2006/relationships/hyperlink" Target="https://credibilita.com.br/wp-content/uploads/2025/09/Relacao-Credores-29.04.2026.pdf" TargetMode="External" Id="rId173" /><Relationship Type="http://schemas.openxmlformats.org/officeDocument/2006/relationships/hyperlink" Target="https://stenius.com.br/wp-content/uploads/2026/06/EDITAL-GRUPO-3E.pdf" TargetMode="External" Id="rId174" /><Relationship Type="http://schemas.openxmlformats.org/officeDocument/2006/relationships/hyperlink" Target="https://stenius.com.br/wp-content/uploads/2026/06/EDITAL-GRUPO-3E.pdf" TargetMode="External" Id="rId175" /><Relationship Type="http://schemas.openxmlformats.org/officeDocument/2006/relationships/hyperlink" Target="https://stenius.com.br/wp-content/uploads/2026/06/EDITAL-GRUPO-3E.pdf" TargetMode="External" Id="rId176" /><Relationship Type="http://schemas.openxmlformats.org/officeDocument/2006/relationships/hyperlink" Target="http://recuperacaojudicial.squarespace.com/s/LISTA-DE-CREDORES-CONSOLIDADA-ATE-04102024.pdf" TargetMode="External" Id="rId177" /><Relationship Type="http://schemas.openxmlformats.org/officeDocument/2006/relationships/hyperlink" Target="https://scalzilliaj.com.br/sgc/download.php?file=files/processo_documento/processo_documento09514021082025_1_.pdf&amp;nome=04 - Rela&#231;&#227;o de credores das Recuperandas" TargetMode="External" Id="rId178" /><Relationship Type="http://schemas.openxmlformats.org/officeDocument/2006/relationships/hyperlink" Target="https://recuperacaojudicial.squarespace.com/s/RJ-Credimoveis-QGC-01082025.pdf" TargetMode="External" Id="rId179"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180" /><Relationship Type="http://schemas.openxmlformats.org/officeDocument/2006/relationships/hyperlink" Target="https://bbsadvogados.com.br/wp-content/uploads/2025/04/Equipseg-Edital-Relacao-de-Credores-da-Administradora-Judicial-art.-7o2o-da-LRF.pdf" TargetMode="External" Id="rId181" /><Relationship Type="http://schemas.openxmlformats.org/officeDocument/2006/relationships/hyperlink" Target="https://recuperasolucoes.com/wp-content/plugins/download-attachments/includes/download.php?id=1597" TargetMode="External" Id="rId182" /><Relationship Type="http://schemas.openxmlformats.org/officeDocument/2006/relationships/hyperlink" Target="https://marquesadmjudicial.com.br/sgc/download.php?file=files/processo_documento/processo_documento19270817122025_1_.pdf&amp;nome=Rela&#231;&#227;o Nominal de Credores AJ" TargetMode="External" Id="rId183"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184" /><Relationship Type="http://schemas.openxmlformats.org/officeDocument/2006/relationships/hyperlink" Target="https://ativosajce.com.br/admin/download.php?file=files/processo_documento/processo_documento14170815062026_1_.pdf&amp;nome=Rela&#231;&#227;o de Credores - Art. 52&#186; &#167; 1&#186;, da Lei n&#186; 11.101/2005 - 20/05/2026" TargetMode="External" Id="rId185" /><Relationship Type="http://schemas.openxmlformats.org/officeDocument/2006/relationships/hyperlink" Target="https://assistjud.com.br/wp-content/uploads/elementor/forms/65098c80a5824.pdf" TargetMode="External" Id="rId186" /><Relationship Type="http://schemas.openxmlformats.org/officeDocument/2006/relationships/hyperlink" Target="https://marquesadmjudicial.com.br/sgc/download.php?file=files/processo_documento/processo_documento18581929042026_1_.pdf&amp;nome=3&#186; Edital - Rela&#231;&#227;o de Credores e PRJ" TargetMode="External" Id="rId187" /><Relationship Type="http://schemas.openxmlformats.org/officeDocument/2006/relationships/hyperlink" Target="https://bbsadvogados.com.br/wp-content/uploads/2025/04/Equipseg-Edital-Relacao-de-Credores-da-Administradora-Judicial-art.-7o2o-da-LRF.pdf" TargetMode="External" Id="rId188" /><Relationship Type="http://schemas.openxmlformats.org/officeDocument/2006/relationships/hyperlink" Target="https://stenius.com.br/wp-content/uploads/2026/06/EDITAL-GRUPO-FAEL.pdf" TargetMode="External" Id="rId189" /><Relationship Type="http://schemas.openxmlformats.org/officeDocument/2006/relationships/hyperlink" Target="https://marquesadmjudicial.com.br/sgc/download.php?file=files/processo_documento/processo_documento17040729052024_1_.pdf&amp;nome=Rela&#231;&#227;o Nominal de Credores AJ-Sint&#233;tica" TargetMode="External" Id="rId190" /><Relationship Type="http://schemas.openxmlformats.org/officeDocument/2006/relationships/hyperlink" Target="https://stenius.com.br/wp-content/uploads/2026/06/EDITAL-GRUPO-3E.pdf" TargetMode="External" Id="rId191" /><Relationship Type="http://schemas.openxmlformats.org/officeDocument/2006/relationships/hyperlink" Target="https://ajruiz.com.br/sites/default/files/public/arquivos-processos/2026-01/safrasul_relacao_de_credores_recuperanda.pdf" TargetMode="External" Id="rId192" /><Relationship Type="http://schemas.openxmlformats.org/officeDocument/2006/relationships/hyperlink" Target="https://realbrasil.com.br/wp-content/uploads/2017/05/Rela&#231;&#227;o-de-Credores_-Mastter-1.pdf" TargetMode="External" Id="rId193" /><Relationship Type="http://schemas.openxmlformats.org/officeDocument/2006/relationships/hyperlink" Target="https://lrflideres.com.br/wp-content/plugins/download-attachments/includes/download.php?id=4023" TargetMode="External" Id="rId194" /><Relationship Type="http://schemas.openxmlformats.org/officeDocument/2006/relationships/hyperlink" Target="https://lrflideres.com.br/wp-content/plugins/download-attachments/includes/download.php?id=7418" TargetMode="External" Id="rId195" /><Relationship Type="http://schemas.openxmlformats.org/officeDocument/2006/relationships/hyperlink" Target="https://recuperasolucoes.com/wp-content/plugins/download-attachments/includes/download.php?id=1492" TargetMode="External" Id="rId196" /><Relationship Type="http://schemas.openxmlformats.org/officeDocument/2006/relationships/hyperlink" Target="https://recuperasolucoes.com/wp-content/plugins/download-attachments/includes/download.php?id=1597" TargetMode="External" Id="rId197" /><Relationship Type="http://schemas.openxmlformats.org/officeDocument/2006/relationships/hyperlink" Target="https://marquesadmjudicial.com.br/sgc/download.php?file=files/processo_documento/processo_documento15232121112024_1_.pdf&amp;nome=Rela&#231;&#227;o de Credores" TargetMode="External" Id="rId198" /><Relationship Type="http://schemas.openxmlformats.org/officeDocument/2006/relationships/hyperlink" Target="https://recuperacaojudicial.squarespace.com/s/RJ-Credimoveis-QGC-01082025.pdf" TargetMode="External" Id="rId199" /><Relationship Type="http://schemas.openxmlformats.org/officeDocument/2006/relationships/hyperlink" Target="https://administradorajudicialgs.com.br/wp-content/uploads/2023/08/edital-quadro-geral-de-credores.pdf" TargetMode="External" Id="rId200" /><Relationship Type="http://schemas.openxmlformats.org/officeDocument/2006/relationships/hyperlink" Target="https://recuperasolucoes.com/wp-content/plugins/download-attachments/includes/download.php?id=1597" TargetMode="External" Id="rId201" /><Relationship Type="http://schemas.openxmlformats.org/officeDocument/2006/relationships/hyperlink" Target="https://marquesadmjudicial.com.br/sgc/download.php?file=files/processo_documento/processo_documento17040729052024_1_.pdf&amp;nome=Rela&#231;&#227;o Nominal de Credores AJ-Sint&#233;tica" TargetMode="External" Id="rId202"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203" /><Relationship Type="http://schemas.openxmlformats.org/officeDocument/2006/relationships/hyperlink" Target="https://cataliseaj.com.br/sgc/download.php?file=files/processo_documento/processo_documento15092204102024_1_.pdf&amp;nome=02. RELA&#199;&#195;O DE CREDORES" TargetMode="External" Id="rId204" /><Relationship Type="http://schemas.openxmlformats.org/officeDocument/2006/relationships/hyperlink" Target="https://recuperasolucoes.com/wp-content/plugins/download-attachments/includes/download.php?id=1597" TargetMode="External" Id="rId205" /><Relationship Type="http://schemas.openxmlformats.org/officeDocument/2006/relationships/hyperlink" Target="https://stenius.com.br/wp-content/uploads/2026/06/EDITAL-GRUPO-3E.pdf" TargetMode="External" Id="rId206"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207" /><Relationship Type="http://schemas.openxmlformats.org/officeDocument/2006/relationships/hyperlink" Target="https://cataliseaj.com.br/sgc/download.php?file=files/processo_documento/processo_documento15092204102024_1_.pdf&amp;nome=02. RELA&#199;&#195;O DE CREDORES" TargetMode="External" Id="rId208" /><Relationship Type="http://schemas.openxmlformats.org/officeDocument/2006/relationships/hyperlink" Target="https://lrflideres.com.br/wp-content/plugins/download-attachments/includes/download.php?id=7418" TargetMode="External" Id="rId209" /><Relationship Type="http://schemas.openxmlformats.org/officeDocument/2006/relationships/hyperlink" Target="https://ajruiz.com.br/sites/default/files/public/arquivos-processos/2023-11/4_relacao_de_credores_analitica_art._51_iii_da_lre.pdf" TargetMode="External" Id="rId210" /><Relationship Type="http://schemas.openxmlformats.org/officeDocument/2006/relationships/hyperlink" Target="https://stenius.com.br/wp-content/uploads/2026/06/EDITAL-GRUPO-3E.pdf" TargetMode="External" Id="rId211" /><Relationship Type="http://schemas.openxmlformats.org/officeDocument/2006/relationships/hyperlink" Target="https://marquesadmjudicial.com.br/sgc/download.php?file=files/processo_documento/processo_documento09444722082025_1_.pdf&amp;nome=2&#176; Edital - Rela&#231;&#227;o de Credores AJ e PRJ" TargetMode="External" Id="rId212" /><Relationship Type="http://schemas.openxmlformats.org/officeDocument/2006/relationships/hyperlink" Target="https://administradorajudicialgs.com.br/wp-content/uploads/2025/09/relacao-de-credores-forest-sa.pdf" TargetMode="External" Id="rId213" /><Relationship Type="http://schemas.openxmlformats.org/officeDocument/2006/relationships/hyperlink" Target="https://lrflideres.com.br/wp-content/plugins/download-attachments/includes/download.php?id=6879" TargetMode="External" Id="rId214" /><Relationship Type="http://schemas.openxmlformats.org/officeDocument/2006/relationships/hyperlink" Target="https://stenius.com.br/wp-content/uploads/2026/06/EDITAL-GRUPO-3E.pdf" TargetMode="External" Id="rId215" /><Relationship Type="http://schemas.openxmlformats.org/officeDocument/2006/relationships/hyperlink" Target="https://stenius.com.br/wp-content/uploads/2026/07/EDITAL-1-RELACAO-DE-CREDORES-GRUPO-GE.pdf" TargetMode="External" Id="rId216" /><Relationship Type="http://schemas.openxmlformats.org/officeDocument/2006/relationships/hyperlink" Target="https://scalzilliaj.com.br/sgc/download.php?file=files/processo_documento/processo_documento10141405032024_1_.pdf&amp;nome=10 - Edital do art. 7&#186;, &#167;2&#186; da Lei 11.101/2005 (segunda lista de credores)" TargetMode="External" Id="rId217" /><Relationship Type="http://schemas.openxmlformats.org/officeDocument/2006/relationships/hyperlink" Target="http://bernardobicalho.com.br/login/app/documents/Rela%C3%A7%C3%A3o%20de%20Credores/6.%20RVC-%20Nutricium%20-%20simplificada.pdf" TargetMode="External" Id="rId218" /><Relationship Type="http://schemas.openxmlformats.org/officeDocument/2006/relationships/hyperlink" Target="https://marquesadmjudicial.com.br/sgc/download.php?file=files/processo_documento/processo_documento17040729052024_1_.pdf&amp;nome=Rela&#231;&#227;o Nominal de Credores AJ-Sint&#233;tica" TargetMode="External" Id="rId219" /><Relationship Type="http://schemas.openxmlformats.org/officeDocument/2006/relationships/hyperlink" Target="https://vivanteaj.com.br/wp-content/uploads/2024/11/1a-lista-de-credores-JA-Santos.pdf" TargetMode="External" Id="rId220" /><Relationship Type="http://schemas.openxmlformats.org/officeDocument/2006/relationships/hyperlink" Target="https://bugarimecoelho.com.br/ws/media-library/b6b7ea42b9fa2afe30bc728fe00cd5c6/07---edital-do-processamento-da-recuperacao-judicial.pdf" TargetMode="External" Id="rId221" /><Relationship Type="http://schemas.openxmlformats.org/officeDocument/2006/relationships/hyperlink" Target="https://recuperasolucoes.com/wp-content/plugins/download-attachments/includes/download.php?id=1597" TargetMode="External" Id="rId222" /><Relationship Type="http://schemas.openxmlformats.org/officeDocument/2006/relationships/hyperlink" Target="https://marquesadmjudicial.com.br/sgc/download.php?file=files/processo_documento/processo_documento16562707032024_1_.pdf&amp;nome=2&#186; Edital-Rela&#231;&#227;o de Credores do art. 7, &#167;2 da LREF e do Plano de Recupera&#231;&#227;o Judicial" TargetMode="External" Id="rId223" /><Relationship Type="http://schemas.openxmlformats.org/officeDocument/2006/relationships/hyperlink" Target="https://recuperasolucoes.com/wp-content/plugins/download-attachments/includes/download.php?id=1597" TargetMode="External" Id="rId224" /><Relationship Type="http://schemas.openxmlformats.org/officeDocument/2006/relationships/hyperlink" Target="https://ajruiz.com.br/sites/default/files/public/arquivos-processos/2026-08/qgc_azeplast_julho_2026.pdf" TargetMode="External" Id="rId225"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26" /><Relationship Type="http://schemas.openxmlformats.org/officeDocument/2006/relationships/hyperlink" Target="https://marquesadmjudicial.com.br/sgc/download.php?file=files/processo_documento/processo_documento09444722082025_1_.pdf&amp;nome=2&#176; Edital - Rela&#231;&#227;o de Credores AJ e PRJ" TargetMode="External" Id="rId227" /><Relationship Type="http://schemas.openxmlformats.org/officeDocument/2006/relationships/hyperlink" Target="https://stenius.com.br/wp-content/uploads/2026/06/EDITAL-GRUPO-FAEL.pdf" TargetMode="External" Id="rId228" /><Relationship Type="http://schemas.openxmlformats.org/officeDocument/2006/relationships/hyperlink" Target="https://recuperasolucoes.com/wp-content/plugins/download-attachments/includes/download.php?id=1597" TargetMode="External" Id="rId229"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30" /><Relationship Type="http://schemas.openxmlformats.org/officeDocument/2006/relationships/hyperlink" Target="https://ajruiz.com.br/sites/default/files/public/arquivos-processos/2026-06/alto_uruguai_qgc_junho.2026.pdf" TargetMode="External" Id="rId231" /><Relationship Type="http://schemas.openxmlformats.org/officeDocument/2006/relationships/hyperlink" Target="https://lrflideres.com.br/wp-content/plugins/download-attachments/includes/download.php?id=7418" TargetMode="External" Id="rId232"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33"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234" /><Relationship Type="http://schemas.openxmlformats.org/officeDocument/2006/relationships/hyperlink" Target="https://assistjud.com.br/wp-content/uploads/elementor/forms/65098c80a5824.pdf" TargetMode="External" Id="rId235"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236" /><Relationship Type="http://schemas.openxmlformats.org/officeDocument/2006/relationships/hyperlink" Target="https://marquesadmjudicial.com.br/sgc/download.php?file=files/processo_documento/processo_documento17040729052024_1_.pdf&amp;nome=Rela&#231;&#227;o Nominal de Credores AJ-Sint&#233;tica" TargetMode="External" Id="rId237" /><Relationship Type="http://schemas.openxmlformats.org/officeDocument/2006/relationships/hyperlink" Target="https://ajruiz.com.br/sites/default/files/public/arquivos-processos/2026-01/safrasul_relacao_de_credores_recuperanda.pdf" TargetMode="External" Id="rId238" /><Relationship Type="http://schemas.openxmlformats.org/officeDocument/2006/relationships/hyperlink" Target="https://administradorajudicialgs.com.br/wp-content/uploads/2023/08/advogados-sgrott-doc-22-relacao-de-credores-do-administrador-judicial-classe-iii-05-02-14.pdf" TargetMode="External" Id="rId239" /><Relationship Type="http://schemas.openxmlformats.org/officeDocument/2006/relationships/hyperlink" Target="https://vivanteaj.com.br/wp-content/uploads/2024/11/1a-lista-de-credores-JA-Santos.pdf" TargetMode="External" Id="rId240" /><Relationship Type="http://schemas.openxmlformats.org/officeDocument/2006/relationships/hyperlink" Target="http://bernardobicalho.com.br/login/app/documents/Rela%C3%A7%C3%A3o%20de%20Credores/6.%20RVC-%20Nutricium%20-%20simplificada.pdf" TargetMode="External" Id="rId241" /><Relationship Type="http://schemas.openxmlformats.org/officeDocument/2006/relationships/hyperlink" Target="https://diligence.adm.br/wp-content/plugins/download-attachments/includes/download.php?id=4599" TargetMode="External" Id="rId242" /><Relationship Type="http://schemas.openxmlformats.org/officeDocument/2006/relationships/hyperlink" Target="https://assistjud.com.br/wp-content/uploads/elementor/forms/65098c80a5824.pdf" TargetMode="External" Id="rId243" /><Relationship Type="http://schemas.openxmlformats.org/officeDocument/2006/relationships/hyperlink" Target="https://stenius.com.br/wp-content/uploads/2026/08/1&#176;-EDITAL-GRUPO-TENDAS.pdf" TargetMode="External" Id="rId244" /><Relationship Type="http://schemas.openxmlformats.org/officeDocument/2006/relationships/hyperlink" Target="https://recuperasolucoes.com/wp-content/plugins/download-attachments/includes/download.php?id=1597" TargetMode="External" Id="rId245" /><Relationship Type="http://schemas.openxmlformats.org/officeDocument/2006/relationships/hyperlink" Target="https://lrflideres.com.br/wp-content/plugins/download-attachments/includes/download.php?id=6252" TargetMode="External" Id="rId246" /><Relationship Type="http://schemas.openxmlformats.org/officeDocument/2006/relationships/hyperlink" Target="https://diligence.adm.br/wp-content/uploads/2025/06/Edital-1a-Lista-de-Credores.pdf" TargetMode="External" Id="rId247" /><Relationship Type="http://schemas.openxmlformats.org/officeDocument/2006/relationships/hyperlink" Target="https://administradorajudicialgs.com.br/wp-content/uploads/2023/08/advogados-sgrott-doc-22-relacao-de-credores-do-administrador-judicial-classe-iii-05-02-14.pdf" TargetMode="External" Id="rId248" /><Relationship Type="http://schemas.openxmlformats.org/officeDocument/2006/relationships/hyperlink" Target="https://realbrasil.com.br/wp-content/uploads/2017/05/Rela&#231;&#227;o-de-Credores_-Mastter-1.pdf" TargetMode="External" Id="rId249" /><Relationship Type="http://schemas.openxmlformats.org/officeDocument/2006/relationships/hyperlink" Target="https://credibilita.com.br/wp-content/uploads/2025/09/Relacao-Credores-29.04.2026.pdf" TargetMode="External" Id="rId250"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251" /><Relationship Type="http://schemas.openxmlformats.org/officeDocument/2006/relationships/hyperlink" Target="https://bugarimecoelho.com.br/ws/media-library/b6b7ea42b9fa2afe30bc728fe00cd5c6/07---edital-do-processamento-da-recuperacao-judicial.pdf" TargetMode="External" Id="rId252"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253"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54"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255" /><Relationship Type="http://schemas.openxmlformats.org/officeDocument/2006/relationships/hyperlink" Target="https://assistjud.com.br/wp-content/uploads/elementor/forms/65098c80a5824.pdf" TargetMode="External" Id="rId256" /><Relationship Type="http://schemas.openxmlformats.org/officeDocument/2006/relationships/hyperlink" Target="https://lrflideres.com.br/wp-content/plugins/download-attachments/includes/download.php?id=6051" TargetMode="External" Id="rId257" /><Relationship Type="http://schemas.openxmlformats.org/officeDocument/2006/relationships/hyperlink" Target="https://stenius.com.br/wp-content/uploads/2026/08/1&#176;-EDITAL-GRUPO-TENDAS.pdf" TargetMode="External" Id="rId258"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59" /><Relationship Type="http://schemas.openxmlformats.org/officeDocument/2006/relationships/hyperlink" Target="https://assistjud.com.br/wp-content/uploads/elementor/forms/65098c80a5824.pdf" TargetMode="External" Id="rId260" /><Relationship Type="http://schemas.openxmlformats.org/officeDocument/2006/relationships/hyperlink" Target="https://marquesadmjudicial.com.br/sgc/download.php?file=files/processo_documento/processo_documento17040729052024_1_.pdf&amp;nome=Rela&#231;&#227;o Nominal de Credores AJ-Sint&#233;tica" TargetMode="External" Id="rId261" /><Relationship Type="http://schemas.openxmlformats.org/officeDocument/2006/relationships/hyperlink" Target="https://ajruiz.com.br/sites/default/files/public/arquivos-processos/2026-01/safrasul_relacao_de_credores_recuperanda.pdf" TargetMode="External" Id="rId262"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263" /><Relationship Type="http://schemas.openxmlformats.org/officeDocument/2006/relationships/hyperlink" Target="https://diligence.adm.br/wp-content/uploads/2025/06/Edital-1a-Lista-de-Credores.pdf" TargetMode="External" Id="rId264" /><Relationship Type="http://schemas.openxmlformats.org/officeDocument/2006/relationships/hyperlink" Target="https://ajruiz.com.br/sites/default/files/public/arquivos-processos/2026-06/alto_uruguai_qgc_junho.2026.pdf" TargetMode="External" Id="rId265" /><Relationship Type="http://schemas.openxmlformats.org/officeDocument/2006/relationships/hyperlink" Target="https://marquesadmjudicial.com.br/sgc/download.php?file=files/processo_documento/processo_documento17040729052024_1_.pdf&amp;nome=Rela&#231;&#227;o Nominal de Credores AJ-Sint&#233;tica" TargetMode="External" Id="rId266"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67"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268" /><Relationship Type="http://schemas.openxmlformats.org/officeDocument/2006/relationships/hyperlink" Target="https://lrflideres.com.br/wp-content/plugins/download-attachments/includes/download.php?id=6252" TargetMode="External" Id="rId269" /><Relationship Type="http://schemas.openxmlformats.org/officeDocument/2006/relationships/hyperlink" Target="https://ajruiz.com.br/sites/default/files/public/arquivos-processos/2026-08/qgc_azeplast_julho_2026.pdf" TargetMode="External" Id="rId270" /><Relationship Type="http://schemas.openxmlformats.org/officeDocument/2006/relationships/hyperlink" Target="https://marquesadmjudicial.com.br/sgc/download.php?file=files/processo_documento/processo_documento17040729052024_1_.pdf&amp;nome=Rela&#231;&#227;o Nominal de Credores AJ-Sint&#233;tica" TargetMode="External" Id="rId271" /><Relationship Type="http://schemas.openxmlformats.org/officeDocument/2006/relationships/hyperlink" Target="https://bugarimecoelho.com.br/ws/media-library/b6b7ea42b9fa2afe30bc728fe00cd5c6/07---edital-do-processamento-da-recuperacao-judicial.pdf" TargetMode="External" Id="rId272"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273" /><Relationship Type="http://schemas.openxmlformats.org/officeDocument/2006/relationships/hyperlink" Target="https://lrflideres.com.br/wp-content/uploads/2022/08/4.-EDITAL-2a-LISTA-DE-CREDORES.pdf" TargetMode="External" Id="rId274" /><Relationship Type="http://schemas.openxmlformats.org/officeDocument/2006/relationships/hyperlink" Target="https://diligence.adm.br/wp-content/plugins/download-attachments/includes/download.php?id=4579" TargetMode="External" Id="rId275" /><Relationship Type="http://schemas.openxmlformats.org/officeDocument/2006/relationships/hyperlink" Target="https://realbrasil.com.br/wp-content/uploads/2018/06/2_LISTA-DE-CREDORES-DA-RECUPERANDA_ROQUE.pdf" TargetMode="External" Id="rId276" /><Relationship Type="http://schemas.openxmlformats.org/officeDocument/2006/relationships/hyperlink" Target="https://lrflideres.com.br/wp-content/plugins/download-attachments/includes/download.php?id=6252" TargetMode="External" Id="rId277" /><Relationship Type="http://schemas.openxmlformats.org/officeDocument/2006/relationships/hyperlink" Target="https://ajruiz.com.br/sites/default/files/public/arquivos-processos/2023-11/4_relacao_de_credores_analitica_art._51_iii_da_lre.pdf" TargetMode="External" Id="rId278" /><Relationship Type="http://schemas.openxmlformats.org/officeDocument/2006/relationships/hyperlink" Target="https://recuperacaojudicial.squarespace.com/s/RJ-Grupo-Arnon-de-Melo-Lista-de-Credores-Consolidada-abril-2022.pdf" TargetMode="External" Id="rId279" /><Relationship Type="http://schemas.openxmlformats.org/officeDocument/2006/relationships/hyperlink" Target="https://assistjud.com.br/wp-content/uploads/elementor/forms/65098c80a5824.pdf" TargetMode="External" Id="rId280" /><Relationship Type="http://schemas.openxmlformats.org/officeDocument/2006/relationships/hyperlink" Target="https://credibilita.com.br/wp-content/uploads/2025/09/Relacao-Credores-29.04.2026.pdf" TargetMode="External" Id="rId281" /><Relationship Type="http://schemas.openxmlformats.org/officeDocument/2006/relationships/hyperlink" Target="https://assistjud.com.br/wp-content/uploads/elementor/forms/65098c80a5824.pdf" TargetMode="External" Id="rId282" /><Relationship Type="http://schemas.openxmlformats.org/officeDocument/2006/relationships/hyperlink" Target="https://vtladm.com.br/wp-content/uploads/2024/04/09-&#8211;-EDITAL-DE-CONVOCACAO-DE-CREDORES-&#8211;-Frigorifico-Alfa-Industria-e-Comercio-de-Carnes-e-Derivados-Ltda.-e-Ctx-Logistica-Transporte-E-Locacoes-Ltda.pdf" TargetMode="External" Id="rId283" /><Relationship Type="http://schemas.openxmlformats.org/officeDocument/2006/relationships/hyperlink" Target="https://diligence.adm.br/wp-content/uploads/2025/06/Edital-1a-Lista-de-Credores.pdf" TargetMode="External" Id="rId284" /><Relationship Type="http://schemas.openxmlformats.org/officeDocument/2006/relationships/hyperlink" Target="https://vtladm.com.br/wp-content/uploads/2024/04/09-&#8211;-EDITAL-DE-CONVOCACAO-DE-CREDORES-&#8211;-Frigorifico-Alfa-Industria-e-Comercio-de-Carnes-e-Derivados-Ltda.-e-Ctx-Logistica-Transporte-E-Locacoes-Ltda.pdf" TargetMode="External" Id="rId285"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286" /><Relationship Type="http://schemas.openxmlformats.org/officeDocument/2006/relationships/hyperlink" Target="https://lrflideres.com.br/wp-content/plugins/download-attachments/includes/download.php?id=6273" TargetMode="External" Id="rId287"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288" /><Relationship Type="http://schemas.openxmlformats.org/officeDocument/2006/relationships/hyperlink" Target="https://cataliseaj.com.br/sgc/download.php?file=files/processo_documento/processo_documento15092204102024_1_.pdf&amp;nome=02. RELA&#199;&#195;O DE CREDORES" TargetMode="External" Id="rId289" /><Relationship Type="http://schemas.openxmlformats.org/officeDocument/2006/relationships/hyperlink" Target="https://marquesadmjudicial.com.br/sgc/download.php?file=files/processo_documento/processo_documento17040729052024_1_.pdf&amp;nome=Rela&#231;&#227;o Nominal de Credores AJ-Sint&#233;tica" TargetMode="External" Id="rId290"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291"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292"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293" /><Relationship Type="http://schemas.openxmlformats.org/officeDocument/2006/relationships/hyperlink" Target="https://credibilita.com.br/wp-content/uploads/2025/09/Relacao-Credores-29.04.2026.pdf" TargetMode="External" Id="rId294" /><Relationship Type="http://schemas.openxmlformats.org/officeDocument/2006/relationships/hyperlink" Target="https://administradorajudicialgs.com.br/wp-content/uploads/2024/12/relacao-de-credores-da-falida.pdf" TargetMode="External" Id="rId295"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296" /><Relationship Type="http://schemas.openxmlformats.org/officeDocument/2006/relationships/hyperlink" Target="https://lrflideres.com.br/wp-content/plugins/download-attachments/includes/download.php?id=6252" TargetMode="External" Id="rId297" /><Relationship Type="http://schemas.openxmlformats.org/officeDocument/2006/relationships/hyperlink" Target="https://marquesadmjudicial.com.br/sgc/download.php?file=files/processo_documento/processo_documento10074612042024_1_.pdf&amp;nome=2&#186; Edital-Rela&#231;&#227;o de Credores AJ e PRJ" TargetMode="External" Id="rId298"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299" /><Relationship Type="http://schemas.openxmlformats.org/officeDocument/2006/relationships/hyperlink" Target="https://vivanteaj.com.br/wp-content/uploads/2024/11/1a-lista-de-credores-JA-Santos.pdf" TargetMode="External" Id="rId300" /><Relationship Type="http://schemas.openxmlformats.org/officeDocument/2006/relationships/hyperlink" Target="https://recuperasolucoes.com/wp-content/plugins/download-attachments/includes/download.php?id=1597" TargetMode="External" Id="rId301" /><Relationship Type="http://schemas.openxmlformats.org/officeDocument/2006/relationships/hyperlink" Target="https://marquesadmjudicial.com.br/sgc/download.php?file=files/processo_documento/processo_documento20014127022025_1_.pdf&amp;nome=Rela&#231;&#227;o Nominal de Credores" TargetMode="External" Id="rId302" /><Relationship Type="http://schemas.openxmlformats.org/officeDocument/2006/relationships/hyperlink" Target="https://administradorajudicialgs.com.br/wp-content/uploads/2024/12/relacao-de-credores-da-falida.pdf" TargetMode="External" Id="rId303" /><Relationship Type="http://schemas.openxmlformats.org/officeDocument/2006/relationships/hyperlink" Target="https://assistjud.com.br/wp-content/uploads/elementor/forms/65098c80a5824.pdf" TargetMode="External" Id="rId304" /><Relationship Type="http://schemas.openxmlformats.org/officeDocument/2006/relationships/hyperlink" Target="https://bugarimecoelho.com.br/ws/media-library/b6b7ea42b9fa2afe30bc728fe00cd5c6/07---edital-do-processamento-da-recuperacao-judicial.pdf" TargetMode="External" Id="rId305" /><Relationship Type="http://schemas.openxmlformats.org/officeDocument/2006/relationships/hyperlink" Target="https://administradorajudicialgs.com.br/wp-content/uploads/2023/08/edital-quadro-geral-de-credores.pdf" TargetMode="External" Id="rId306" /><Relationship Type="http://schemas.openxmlformats.org/officeDocument/2006/relationships/hyperlink" Target="https://bugarimecoelho.com.br/ws/media-library/b6b7ea42b9fa2afe30bc728fe00cd5c6/07---edital-do-processamento-da-recuperacao-judicial.pdf" TargetMode="External" Id="rId307" /><Relationship Type="http://schemas.openxmlformats.org/officeDocument/2006/relationships/hyperlink" Target="https://recuperasolucoes.com/wp-content/plugins/download-attachments/includes/download.php?id=1597" TargetMode="External" Id="rId308" /><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309" /><Relationship Type="http://schemas.openxmlformats.org/officeDocument/2006/relationships/hyperlink" Target="https://marquesadmjudicial.com.br/sgc/download.php?file=files/processo_documento/processo_documento09391327032025_1_.pdf&amp;nome=Rela&#231;&#227;o Nominal de Credores AJ" TargetMode="External" Id="rId310" /><Relationship Type="http://schemas.openxmlformats.org/officeDocument/2006/relationships/hyperlink" Target="https://administradorajudicialgs.com.br/wp-content/uploads/2023/08/doc-06-relacao-credores-do-administrador-judicial-10-02-2015.pdf" TargetMode="External" Id="rId311" /><Relationship Type="http://schemas.openxmlformats.org/officeDocument/2006/relationships/hyperlink" Target="https://administradorajudicialgs.com.br/wp-content/uploads/2023/08/advogados-sgrott-doc-22-relacao-de-credores-do-administrador-judicial-classe-iii-05-02-14.pdf" TargetMode="External" Id="rId312" /><Relationship Type="http://schemas.openxmlformats.org/officeDocument/2006/relationships/hyperlink" Target="https://marquesadmjudicial.com.br/sgc/download.php?file=files/processo_documento/processo_documento20014127022025_1_.pdf&amp;nome=Rela&#231;&#227;o Nominal de Credores" TargetMode="External" Id="rId313" /><Relationship Type="http://schemas.openxmlformats.org/officeDocument/2006/relationships/hyperlink" Target="https://administradorajudicialgs.com.br/wp-content/uploads/2023/08/doc-06-relacao-credores-do-administrador-judicial-10-02-2015.pdf" TargetMode="External" Id="rId314" /><Relationship Type="http://schemas.openxmlformats.org/officeDocument/2006/relationships/hyperlink" Target="http://bernardobicalho.com.br/login/app/documents/Rela%C3%A7%C3%A3o%20de%20Credores/6.%20RVC-%20Nutricium%20-%20simplificada.pdf" TargetMode="External" Id="rId315" /><Relationship Type="http://schemas.openxmlformats.org/officeDocument/2006/relationships/hyperlink" Target="https://administradorajudicialgs.com.br/wp-content/uploads/2023/08/edital-quadro-geral-de-credores.pdf" TargetMode="External" Id="rId316"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317" /><Relationship Type="http://schemas.openxmlformats.org/officeDocument/2006/relationships/hyperlink" Target="http://recuperacaojudicial.squarespace.com/s/LISTA-DE-CREDORES-CONSOLIDADA-ATE-04102024.pdf" TargetMode="External" Id="rId318" /><Relationship Type="http://schemas.openxmlformats.org/officeDocument/2006/relationships/hyperlink" Target="https://bbsadvogados.com.br/wp-content/uploads/2025/09/Edital-Relacao-de-Credores-da-Administradora-Judicial-art.-7o2o-da-LRF.-Visao-14-02-2025.pdf" TargetMode="External" Id="rId319" /><Relationship Type="http://schemas.openxmlformats.org/officeDocument/2006/relationships/hyperlink" Target="https://administradorajudicialgs.com.br/wp-content/uploads/2023/08/advogados-sgrott-doc-22-relacao-de-credores-do-administrador-judicial-classe-iii-05-02-14.pdf" TargetMode="External" Id="rId320" /><Relationship Type="http://schemas.openxmlformats.org/officeDocument/2006/relationships/hyperlink" Target="https://administradorajudicialgs.com.br/wp-content/uploads/2023/08/advogados-sgrott-doc-22-relacao-de-credores-do-administrador-judicial-classe-iii-05-02-14.pdf" TargetMode="External" Id="rId321" /><Relationship Type="http://schemas.openxmlformats.org/officeDocument/2006/relationships/hyperlink" Target="https://administradorajudicialgs.com.br/wp-content/uploads/2023/08/advogados-sgrott-doc-22-relacao-de-credores-do-administrador-judicial-classe-iii-05-02-14.pdf" TargetMode="External" Id="rId322"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323" /><Relationship Type="http://schemas.openxmlformats.org/officeDocument/2006/relationships/hyperlink" Target="https://lrflideres.com.br/wp-content/plugins/download-attachments/includes/download.php?id=7418" TargetMode="External" Id="rId324" /><Relationship Type="http://schemas.openxmlformats.org/officeDocument/2006/relationships/hyperlink" Target="https://marquesadmjudicial.com.br/sgc/download.php?file=files/processo_documento/processo_documento17040729052024_1_.pdf&amp;nome=Rela&#231;&#227;o Nominal de Credores AJ-Sint&#233;tica" TargetMode="External" Id="rId325" /><Relationship Type="http://schemas.openxmlformats.org/officeDocument/2006/relationships/hyperlink" Target="https://credibilita.com.br/wp-content/uploads/2025/09/Relacao-Credores-29.04.2026.pdf" TargetMode="External" Id="rId326" /><Relationship Type="http://schemas.openxmlformats.org/officeDocument/2006/relationships/hyperlink" Target="https://credibilita.com.br/wp-content/uploads/2025/09/Relacao-Credores-29.04.2026.pdf" TargetMode="External" Id="rId327" /><Relationship Type="http://schemas.openxmlformats.org/officeDocument/2006/relationships/hyperlink" Target="https://ajruiz.com.br/sites/default/files/public/arquivos-processos/2026-06/alto_uruguai_qgc_junho.2026.pdf" TargetMode="External" Id="rId328" /><Relationship Type="http://schemas.openxmlformats.org/officeDocument/2006/relationships/hyperlink" Target="https://stenius.com.br/wp-content/uploads/2026/06/EDITAL-GRUPO-3E.pdf" TargetMode="External" Id="rId329" /><Relationship Type="http://schemas.openxmlformats.org/officeDocument/2006/relationships/hyperlink" Target="https://stenius.com.br/wp-content/uploads/2026/06/EDITAL-GRUPO-3E.pdf" TargetMode="External" Id="rId330" /><Relationship Type="http://schemas.openxmlformats.org/officeDocument/2006/relationships/hyperlink" Target="https://administradorajudicialgs.com.br/wp-content/uploads/2024/12/relacao-de-credores-da-falida.pdf" TargetMode="External" Id="rId331"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332" /><Relationship Type="http://schemas.openxmlformats.org/officeDocument/2006/relationships/hyperlink" Target="https://scalzilliaj.com.br/sgc/download.php?file=files/processo_documento/processo_documento09514021082025_1_.pdf&amp;nome=04 - Rela&#231;&#227;o de credores das Recuperandas" TargetMode="External" Id="rId333" /><Relationship Type="http://schemas.openxmlformats.org/officeDocument/2006/relationships/hyperlink" Target="https://lrflideres.com.br/wp-content/plugins/download-attachments/includes/download.php?id=6252" TargetMode="External" Id="rId334" /><Relationship Type="http://schemas.openxmlformats.org/officeDocument/2006/relationships/hyperlink" Target="https://ajruiz.com.br/sites/default/files/public/arquivos-processos/2026-06/alto_uruguai_qgc_junho.2026.pdf" TargetMode="External" Id="rId335" /><Relationship Type="http://schemas.openxmlformats.org/officeDocument/2006/relationships/hyperlink" Target="https://lrflideres.com.br/wp-content/plugins/download-attachments/includes/download.php?id=4023" TargetMode="External" Id="rId336" /><Relationship Type="http://schemas.openxmlformats.org/officeDocument/2006/relationships/hyperlink" Target="https://ajruiz.com.br/sites/default/files/public/arquivos-processos/2026-06/alto_uruguai_qgc_junho.2026.pdf" TargetMode="External" Id="rId337" /><Relationship Type="http://schemas.openxmlformats.org/officeDocument/2006/relationships/hyperlink" Target="https://ajruiz.com.br/sites/default/files/public/arquivos-processos/2026-08/qgc_azeplast_julho_2026.pdf" TargetMode="External" Id="rId338" /><Relationship Type="http://schemas.openxmlformats.org/officeDocument/2006/relationships/hyperlink" Target="https://realbrasil.com.br/wp-content/uploads/2018/06/2_LISTA-DE-CREDORES-DA-RECUPERANDA_ROQUE.pdf" TargetMode="External" Id="rId339" /><Relationship Type="http://schemas.openxmlformats.org/officeDocument/2006/relationships/hyperlink" Target="https://scalzilliaj.com.br/sgc/download.php?file=files/processo_documento/processo_documento15180810062026_1_.pdf&amp;nome=10 - Rela&#231;&#227;o de credores do art. 7&#186;, &#167;2&#186;, da Lei 11.101/2005" TargetMode="External" Id="rId340" /><Relationship Type="http://schemas.openxmlformats.org/officeDocument/2006/relationships/hyperlink" Target="https://realbrasil.com.br/wp-content/uploads/2017/05/Rela&#231;&#227;o-de-Credores_-Mastter-1.pdf" TargetMode="External" Id="rId341" /><Relationship Type="http://schemas.openxmlformats.org/officeDocument/2006/relationships/hyperlink" Target="https://lrflideres.com.br/wp-content/plugins/download-attachments/includes/download.php?id=6273" TargetMode="External" Id="rId342" /><Relationship Type="http://schemas.openxmlformats.org/officeDocument/2006/relationships/hyperlink" Target="http://bernardobicalho.com.br/login/app/documents/Rela%C3%A7%C3%A3o%20de%20Credores/6.%20RVC-%20Nutricium%20-%20simplificada.pdf" TargetMode="External" Id="rId343" /><Relationship Type="http://schemas.openxmlformats.org/officeDocument/2006/relationships/hyperlink" Target="https://lrflideres.com.br/wp-content/plugins/download-attachments/includes/download.php?id=6252" TargetMode="External" Id="rId344" /><Relationship Type="http://schemas.openxmlformats.org/officeDocument/2006/relationships/hyperlink" Target="https://marquesadmjudicial.com.br/sgc/download.php?file=files/processo_documento/processo_documento17040729052024_1_.pdf&amp;nome=Rela&#231;&#227;o Nominal de Credores AJ-Sint&#233;tica" TargetMode="External" Id="rId345" /><Relationship Type="http://schemas.openxmlformats.org/officeDocument/2006/relationships/hyperlink" Target="https://lrflideres.com.br/wp-content/plugins/download-attachments/includes/download.php?id=6252" TargetMode="External" Id="rId346"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347" /><Relationship Type="http://schemas.openxmlformats.org/officeDocument/2006/relationships/hyperlink" Target="https://assistjud.com.br/wp-content/uploads/elementor/forms/65098c80a5824.pdf" TargetMode="External" Id="rId348" /><Relationship Type="http://schemas.openxmlformats.org/officeDocument/2006/relationships/hyperlink" Target="https://marquesadmjudicial.com.br/sgc/download.php?file=files/processo_documento/processo_documento16562707032024_1_.pdf&amp;nome=2&#186; Edital-Rela&#231;&#227;o de Credores do art. 7, &#167;2 da LREF e do Plano de Recupera&#231;&#227;o Judicial" TargetMode="External" Id="rId349" /><Relationship Type="http://schemas.openxmlformats.org/officeDocument/2006/relationships/hyperlink" Target="https://stenius.com.br/wp-content/uploads/2026/07/EDITAL-1-RELACAO-DE-CREDORES-GRUPO-GE.pdf" TargetMode="External" Id="rId350" /><Relationship Type="http://schemas.openxmlformats.org/officeDocument/2006/relationships/hyperlink" Target="https://lrflideres.com.br/wp-content/plugins/download-attachments/includes/download.php?id=6252" TargetMode="External" Id="rId351" /><Relationship Type="http://schemas.openxmlformats.org/officeDocument/2006/relationships/hyperlink" Target="https://administradorajudicialgs.com.br/wp-content/uploads/2024/10/relacao-de-credores-e-verificacao-de-credito-2025.pdf" TargetMode="External" Id="rId352"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353" /><Relationship Type="http://schemas.openxmlformats.org/officeDocument/2006/relationships/hyperlink" Target="https://administradorajudicialgs.com.br/wp-content/uploads/2024/12/relacao-de-credores-da-falida.pdf" TargetMode="External" Id="rId354" /><Relationship Type="http://schemas.openxmlformats.org/officeDocument/2006/relationships/hyperlink" Target="https://lrflideres.com.br/wp-content/plugins/download-attachments/includes/download.php?id=6252" TargetMode="External" Id="rId355"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356" /><Relationship Type="http://schemas.openxmlformats.org/officeDocument/2006/relationships/hyperlink" Target="https://lrflideres.com.br/wp-content/plugins/download-attachments/includes/download.php?id=6252" TargetMode="External" Id="rId357"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358" /><Relationship Type="http://schemas.openxmlformats.org/officeDocument/2006/relationships/hyperlink" Target="https://marquesadmjudicial.com.br/sgc/download.php?file=files/processo_documento/processo_documento17040729052024_1_.pdf&amp;nome=Rela&#231;&#227;o Nominal de Credores AJ-Sint&#233;tica" TargetMode="External" Id="rId359" /><Relationship Type="http://schemas.openxmlformats.org/officeDocument/2006/relationships/hyperlink" Target="https://recuperacaojudicial.squarespace.com/s/LISTA-DE-CREDORES-CONSOLIDADA-EM-11072025_6419.pdf" TargetMode="External" Id="rId360" /><Relationship Type="http://schemas.openxmlformats.org/officeDocument/2006/relationships/hyperlink" Target="https://stenius.com.br/wp-content/uploads/2026/06/EDITAL-GRUPO-FAEL.pdf" TargetMode="External" Id="rId361" /><Relationship Type="http://schemas.openxmlformats.org/officeDocument/2006/relationships/hyperlink" Target="https://administradorajudicialgs.com.br/wp-content/uploads/2023/08/relacao-de-credores-da-recuperanda-2.pdf" TargetMode="External" Id="rId362" /><Relationship Type="http://schemas.openxmlformats.org/officeDocument/2006/relationships/hyperlink" Target="https://lrflideres.com.br/wp-content/plugins/download-attachments/includes/download.php?id=6252" TargetMode="External" Id="rId363" /><Relationship Type="http://schemas.openxmlformats.org/officeDocument/2006/relationships/hyperlink" Target="https://stenius.com.br/wp-content/uploads/2026/08/1&#176;-EDITAL-GRUPO-TENDAS.pdf" TargetMode="External" Id="rId364"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365" /><Relationship Type="http://schemas.openxmlformats.org/officeDocument/2006/relationships/hyperlink" Target="https://marquesadmjudicial.com.br/sgc/download.php?file=files/processo_documento/processo_documento17040729052024_1_.pdf&amp;nome=Rela&#231;&#227;o Nominal de Credores AJ-Sint&#233;tica" TargetMode="External" Id="rId366" /><Relationship Type="http://schemas.openxmlformats.org/officeDocument/2006/relationships/hyperlink" Target="https://diligence.adm.br/wp-content/uploads/2025/06/Edital-1a-Lista-de-Credores.pdf" TargetMode="External" Id="rId367" /><Relationship Type="http://schemas.openxmlformats.org/officeDocument/2006/relationships/hyperlink" Target="https://stenius.com.br/wp-content/uploads/2026/06/EDITAL-GRUPO-3E.pdf" TargetMode="External" Id="rId368" /><Relationship Type="http://schemas.openxmlformats.org/officeDocument/2006/relationships/hyperlink" Target="https://scalzilliaj.com.br/sgc/download.php?file=files/processo_documento/processo_documento10141405032024_1_.pdf&amp;nome=10 - Edital do art. 7&#186;, &#167;2&#186; da Lei 11.101/2005 (segunda lista de credores)" TargetMode="External" Id="rId369" /><Relationship Type="http://schemas.openxmlformats.org/officeDocument/2006/relationships/hyperlink" Target="https://lrflideres.com.br/wp-content/plugins/download-attachments/includes/download.php?id=5001" TargetMode="External" Id="rId370" /><Relationship Type="http://schemas.openxmlformats.org/officeDocument/2006/relationships/hyperlink" Target="https://administradorajudicialgs.com.br/wp-content/uploads/2024/12/relacao-de-credores-da-falida.pdf" TargetMode="External" Id="rId371" /><Relationship Type="http://schemas.openxmlformats.org/officeDocument/2006/relationships/hyperlink" Target="https://lrflideres.com.br/wp-content/plugins/download-attachments/includes/download.php?id=5001" TargetMode="External" Id="rId372" /><Relationship Type="http://schemas.openxmlformats.org/officeDocument/2006/relationships/hyperlink" Target="https://lrflideres.com.br/wp-content/plugins/download-attachments/includes/download.php?id=7418" TargetMode="External" Id="rId373" /><Relationship Type="http://schemas.openxmlformats.org/officeDocument/2006/relationships/hyperlink" Target="https://lrflideres.com.br/wp-content/plugins/download-attachments/includes/download.php?id=6252" TargetMode="External" Id="rId374"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375"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376" /><Relationship Type="http://schemas.openxmlformats.org/officeDocument/2006/relationships/hyperlink" Target="https://recuperacaojudicial.squarespace.com/s/RJ-Grupo-Arnon-de-Melo-Lista-de-Credores-Consolidada-abril-2022.pdf" TargetMode="External" Id="rId377" /><Relationship Type="http://schemas.openxmlformats.org/officeDocument/2006/relationships/hyperlink" Target="https://lrflideres.com.br/wp-content/plugins/download-attachments/includes/download.php?id=6252" TargetMode="External" Id="rId378" /><Relationship Type="http://schemas.openxmlformats.org/officeDocument/2006/relationships/hyperlink" Target="https://marquesadmjudicial.com.br/sgc/download.php?file=files/processo_documento/processo_documento15293208032024_1_.pdf&amp;nome=Rela&#231;&#227;o Nominal de Credores da AJ-Sint&#233;tica" TargetMode="External" Id="rId379" /><Relationship Type="http://schemas.openxmlformats.org/officeDocument/2006/relationships/hyperlink" Target="https://lrflideres.com.br/wp-content/plugins/download-attachments/includes/download.php?id=6252" TargetMode="External" Id="rId380" /><Relationship Type="http://schemas.openxmlformats.org/officeDocument/2006/relationships/hyperlink" Target="https://lrflideres.com.br/wp-content/plugins/download-attachments/includes/download.php?id=6252" TargetMode="External" Id="rId381" /><Relationship Type="http://schemas.openxmlformats.org/officeDocument/2006/relationships/hyperlink" Target="https://marquesadmjudicial.com.br/sgc/download.php?file=files/processo_documento/processo_documento11370527032026_1_.pdf&amp;nome=Quadro Geral de Credores (QGC) -AJ Anterior" TargetMode="External" Id="rId382"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383" /><Relationship Type="http://schemas.openxmlformats.org/officeDocument/2006/relationships/hyperlink" Target="https://ajruiz.com.br/sites/default/files/public/arquivos-processos/2026-06/alto_uruguai_qgc_junho.2026.pdf" TargetMode="External" Id="rId384" /><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385" /><Relationship Type="http://schemas.openxmlformats.org/officeDocument/2006/relationships/hyperlink" Target="https://realbrasil.com.br/wp-content/uploads/2017/05/Rela&#231;&#227;o-de-Credores_-Mastter-1.pdf" TargetMode="External" Id="rId386" /><Relationship Type="http://schemas.openxmlformats.org/officeDocument/2006/relationships/hyperlink" Target="https://lrflideres.com.br/wp-content/uploads/2023/01/4.-EDITAL-2a-LISTA-DE-CREDORES-1.pdf" TargetMode="External" Id="rId387"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388" /><Relationship Type="http://schemas.openxmlformats.org/officeDocument/2006/relationships/hyperlink" Target="https://bugarimecoelho.com.br/ws/media-library/b6b7ea42b9fa2afe30bc728fe00cd5c6/07---edital-do-processamento-da-recuperacao-judicial.pdf" TargetMode="External" Id="rId389" /><Relationship Type="http://schemas.openxmlformats.org/officeDocument/2006/relationships/hyperlink" Target="https://marquesadmjudicial.com.br/sgc/download.php?file=files/processo_documento/processo_documento17040729052024_1_.pdf&amp;nome=Rela&#231;&#227;o Nominal de Credores AJ-Sint&#233;tica" TargetMode="External" Id="rId390" /><Relationship Type="http://schemas.openxmlformats.org/officeDocument/2006/relationships/hyperlink" Target="https://recuperacaojudicial.squarespace.com/s/LISTA-DE-CREDORES-CONSOLIDADA-EM-11072025_6419.pdf" TargetMode="External" Id="rId391" /><Relationship Type="http://schemas.openxmlformats.org/officeDocument/2006/relationships/hyperlink" Target="https://marquesadmjudicial.com.br/sgc/download.php?file=files/processo_documento/processo_documento18581929042026_1_.pdf&amp;nome=3&#186; Edital - Rela&#231;&#227;o de Credores e PRJ" TargetMode="External" Id="rId392" /><Relationship Type="http://schemas.openxmlformats.org/officeDocument/2006/relationships/hyperlink" Target="https://vtladm.com.br/wp-content/uploads/2024/04/09-&#8211;-EDITAL-DE-CONVOCACAO-DE-CREDORES-&#8211;-Frigorifico-Alfa-Industria-e-Comercio-de-Carnes-e-Derivados-Ltda.-e-Ctx-Logistica-Transporte-E-Locacoes-Ltda.pdf" TargetMode="External" Id="rId393" /><Relationship Type="http://schemas.openxmlformats.org/officeDocument/2006/relationships/hyperlink" Target="http://recuperacaojudicial.squarespace.com/s/LISTA-DE-CREDORES-CONSOLIDADA-ATE-04102024.pdf" TargetMode="External" Id="rId394" /><Relationship Type="http://schemas.openxmlformats.org/officeDocument/2006/relationships/hyperlink" Target="https://ajruiz.com.br/sites/default/files/public/arquivos-processos/2026-06/alto_uruguai_qgc_junho.2026.pdf" TargetMode="External" Id="rId395" /><Relationship Type="http://schemas.openxmlformats.org/officeDocument/2006/relationships/hyperlink" Target="https://lrflideres.com.br/wp-content/plugins/download-attachments/includes/download.php?id=6252" TargetMode="External" Id="rId396" /><Relationship Type="http://schemas.openxmlformats.org/officeDocument/2006/relationships/hyperlink" Target="https://lrflideres.com.br/wp-content/plugins/download-attachments/includes/download.php?id=6252" TargetMode="External" Id="rId397" /><Relationship Type="http://schemas.openxmlformats.org/officeDocument/2006/relationships/hyperlink" Target="https://vtladm.com.br/wp-content/uploads/2024/04/09-&#8211;-EDITAL-DE-CONVOCACAO-DE-CREDORES-&#8211;-Frigorifico-Alfa-Industria-e-Comercio-de-Carnes-e-Derivados-Ltda.-e-Ctx-Logistica-Transporte-E-Locacoes-Ltda.pdf" TargetMode="External" Id="rId398" /><Relationship Type="http://schemas.openxmlformats.org/officeDocument/2006/relationships/hyperlink" Target="http://recuperacaojudicial.squarespace.com/s/LISTA-DE-CREDORES-CONSOLIDADA-ATE-04102024.pdf" TargetMode="External" Id="rId399" /><Relationship Type="http://schemas.openxmlformats.org/officeDocument/2006/relationships/hyperlink" Target="https://lrflideres.com.br/wp-content/plugins/download-attachments/includes/download.php?id=6252" TargetMode="External" Id="rId400" /><Relationship Type="http://schemas.openxmlformats.org/officeDocument/2006/relationships/hyperlink" Target="https://administradorajudicialgs.com.br/wp-content/uploads/2023/08/doc-06-relacao-credores-do-administrador-judicial-10-02-2015.pdf" TargetMode="External" Id="rId401" /><Relationship Type="http://schemas.openxmlformats.org/officeDocument/2006/relationships/hyperlink" Target="https://ricardobiancardi.com.br/wp-content/uploads/2024/12/Edital-1-relacao-de-credores-pub.-02.12.24-.pdf" TargetMode="External" Id="rId402" /><Relationship Type="http://schemas.openxmlformats.org/officeDocument/2006/relationships/hyperlink" Target="https://lrflideres.com.br/wp-content/plugins/download-attachments/includes/download.php?id=6252" TargetMode="External" Id="rId403"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404" /><Relationship Type="http://schemas.openxmlformats.org/officeDocument/2006/relationships/hyperlink" Target="https://ativosajce.com.br/admin/download.php?file=files/processo_documento/processo_documento18430011062025_1_.pdf&amp;nome=Rela&#231;&#227;o de Credores - Art. 52&#186; &#167; 1&#186;, da Lei n&#186; 11.101/2005 - 13/08/2020" TargetMode="External" Id="rId405" /><Relationship Type="http://schemas.openxmlformats.org/officeDocument/2006/relationships/hyperlink" Target="https://inova-aj.com.br/wp-content/uploads/2026/08/1a-Relacao-de-Credores-Real.pdf" TargetMode="External" Id="rId406" /><Relationship Type="http://schemas.openxmlformats.org/officeDocument/2006/relationships/hyperlink" Target="https://lrflideres.com.br/wp-content/plugins/download-attachments/includes/download.php?id=6252" TargetMode="External" Id="rId407"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408" /><Relationship Type="http://schemas.openxmlformats.org/officeDocument/2006/relationships/hyperlink" Target="https://marquesadmjudicial.com.br/sgc/download.php?file=files/processo_documento/processo_documento15232121112024_1_.pdf&amp;nome=Rela&#231;&#227;o de Credores" TargetMode="External" Id="rId409" /><Relationship Type="http://schemas.openxmlformats.org/officeDocument/2006/relationships/hyperlink" Target="https://marquesadmjudicial.com.br/sgc/download.php?file=files/processo_documento/processo_documento19270817122025_1_.pdf&amp;nome=Rela&#231;&#227;o Nominal de Credores AJ" TargetMode="External" Id="rId410" /><Relationship Type="http://schemas.openxmlformats.org/officeDocument/2006/relationships/hyperlink" Target="https://credibilita.com.br/wp-content/uploads/2025/09/Relacao-Credores-29.04.2026.pdf" TargetMode="External" Id="rId411" /><Relationship Type="http://schemas.openxmlformats.org/officeDocument/2006/relationships/hyperlink" Target="http://recuperacaojudicial.squarespace.com/s/LISTA-DE-CREDORES-CONSOLIDADA-ATE-04102024.pdf" TargetMode="External" Id="rId412" /><Relationship Type="http://schemas.openxmlformats.org/officeDocument/2006/relationships/hyperlink" Target="https://ajruiz.com.br/sites/default/files/public/arquivos-processos/2026-06/alto_uruguai_qgc_junho.2026.pdf" TargetMode="External" Id="rId413" /><Relationship Type="http://schemas.openxmlformats.org/officeDocument/2006/relationships/hyperlink" Target="https://lrflideres.com.br/wp-content/plugins/download-attachments/includes/download.php?id=6252" TargetMode="External" Id="rId414" /><Relationship Type="http://schemas.openxmlformats.org/officeDocument/2006/relationships/hyperlink" Target="https://ativosajce.com.br/admin/download.php?file=files/processo_documento/processo_documento18543908052025_1_.pdf&amp;nome=Rela&#231;&#227;o de Credores - art. 52, &#167;1&#186; da Lei 11.101/05 - 27/01/2025" TargetMode="External" Id="rId415" /><Relationship Type="http://schemas.openxmlformats.org/officeDocument/2006/relationships/hyperlink" Target="https://lrflideres.com.br/wp-content/plugins/download-attachments/includes/download.php?id=6252" TargetMode="External" Id="rId416" /><Relationship Type="http://schemas.openxmlformats.org/officeDocument/2006/relationships/hyperlink" Target="https://marquesadmjudicial.com.br/sgc/download.php?file=files/processo_documento/processo_documento09391327032025_1_.pdf&amp;nome=Rela&#231;&#227;o Nominal de Credores AJ" TargetMode="External" Id="rId417" /><Relationship Type="http://schemas.openxmlformats.org/officeDocument/2006/relationships/hyperlink" Target="https://recuperacaojudicial.squarespace.com/s/4-RJCTREditalda2ListadeCredoresnovembro2019.pdf" TargetMode="External" Id="rId418" /><Relationship Type="http://schemas.openxmlformats.org/officeDocument/2006/relationships/hyperlink" Target="https://marquesadmjudicial.com.br/sgc/download.php?file=files/processo_documento/processo_documento20014127022025_1_.pdf&amp;nome=Rela&#231;&#227;o Nominal de Credores" TargetMode="External" Id="rId419" /><Relationship Type="http://schemas.openxmlformats.org/officeDocument/2006/relationships/hyperlink" Target="https://diligence.adm.br/wp-content/uploads/2025/06/Edital-1a-Lista-de-Credores.pdf" TargetMode="External" Id="rId420" /><Relationship Type="http://schemas.openxmlformats.org/officeDocument/2006/relationships/hyperlink" Target="https://realbrasil.com.br/wp-content/uploads/2018/06/2_LISTA-DE-CREDORES-DA-RECUPERANDA_ROQUE.pdf" TargetMode="External" Id="rId421"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422" /><Relationship Type="http://schemas.openxmlformats.org/officeDocument/2006/relationships/hyperlink" Target="https://recuperasolucoes.com/wp-content/plugins/download-attachments/includes/download.php?id=1492" TargetMode="External" Id="rId423"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424" /><Relationship Type="http://schemas.openxmlformats.org/officeDocument/2006/relationships/hyperlink" Target="https://scalzilliaj.com.br/sgc/download.php?file=files/processo_documento/processo_documento09514021082025_1_.pdf&amp;nome=04 - Rela&#231;&#227;o de credores das Recuperandas" TargetMode="External" Id="rId425" /><Relationship Type="http://schemas.openxmlformats.org/officeDocument/2006/relationships/hyperlink" Target="https://lrflideres.com.br/wp-content/plugins/download-attachments/includes/download.php?id=6252" TargetMode="External" Id="rId426" /><Relationship Type="http://schemas.openxmlformats.org/officeDocument/2006/relationships/hyperlink" Target="https://lrflideres.com.br/wp-content/plugins/download-attachments/includes/download.php?id=6879" TargetMode="External" Id="rId427"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428" /><Relationship Type="http://schemas.openxmlformats.org/officeDocument/2006/relationships/hyperlink" Target="https://administradorajudicialgs.com.br/wp-content/uploads/2024/10/relacao-de-credores-e-verificacao-de-credito-2025.pdf" TargetMode="External" Id="rId429"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430" /><Relationship Type="http://schemas.openxmlformats.org/officeDocument/2006/relationships/hyperlink" Target="https://lrflideres.com.br/wp-content/plugins/download-attachments/includes/download.php?id=6252" TargetMode="External" Id="rId431"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432" /><Relationship Type="http://schemas.openxmlformats.org/officeDocument/2006/relationships/hyperlink" Target="https://ativosajce.com.br/admin/download.php?file=files/processo_documento/processo_documento16022716122025_1_.pdf&amp;nome=Rela&#231;&#227;o de credores - art. 52, &#167;1&#186; da Lei 11.101/05 - 15/12/2025" TargetMode="External" Id="rId433" /><Relationship Type="http://schemas.openxmlformats.org/officeDocument/2006/relationships/hyperlink" Target="https://administradorajudicialgs.com.br/wp-content/uploads/2024/10/relacao-de-credores-e-verificacao-de-credito-2025.pdf" TargetMode="External" Id="rId434" /><Relationship Type="http://schemas.openxmlformats.org/officeDocument/2006/relationships/hyperlink" Target="https://lrflideres.com.br/wp-content/plugins/download-attachments/includes/download.php?id=7418" TargetMode="External" Id="rId435" /><Relationship Type="http://schemas.openxmlformats.org/officeDocument/2006/relationships/hyperlink" Target="https://ativosajce.com.br/admin/download.php?file=files/processo_documento/processo_documento18430011062025_1_.pdf&amp;nome=Rela&#231;&#227;o de Credores - Art. 52&#186; &#167; 1&#186;, da Lei n&#186; 11.101/2005 - 13/08/2020" TargetMode="External" Id="rId436"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437"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438" /><Relationship Type="http://schemas.openxmlformats.org/officeDocument/2006/relationships/hyperlink" Target="https://credibilita.com.br/wp-content/uploads/2025/09/Relacao-Credores-29.04.2026.pdf" TargetMode="External" Id="rId439" /><Relationship Type="http://schemas.openxmlformats.org/officeDocument/2006/relationships/hyperlink" Target="https://ativosajce.com.br/admin/download.php?file=files/processo_documento/processo_documento13422625032025_1_.pdf&amp;nome=Rela&#231;&#227;o de Credores - Art. 52&#186; &#167; 1&#186;, da Lei n&#186; 11.101/2005 - 25/02/2025" TargetMode="External" Id="rId440" /><Relationship Type="http://schemas.openxmlformats.org/officeDocument/2006/relationships/hyperlink" Target="https://diligence.adm.br/wp-content/plugins/download-attachments/includes/download.php?id=6284" TargetMode="External" Id="rId441"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442" /><Relationship Type="http://schemas.openxmlformats.org/officeDocument/2006/relationships/hyperlink" Target="https://ativosajce.com.br/admin/download.php?file=files/processo_documento/processo_documento18430011062025_1_.pdf&amp;nome=Rela&#231;&#227;o de Credores - Art. 52&#186; &#167; 1&#186;, da Lei n&#186; 11.101/2005 - 13/08/2020" TargetMode="External" Id="rId443"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444" /><Relationship Type="http://schemas.openxmlformats.org/officeDocument/2006/relationships/hyperlink" Target="https://scalzilliaj.com.br/sgc/download.php?file=files/processo_documento/processo_documento11421222052026_1_.pdf&amp;nome=08. Lista de credores do edital do art. 52, &#167;1&#186; da LREF" TargetMode="External" Id="rId445"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446"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447" /><Relationship Type="http://schemas.openxmlformats.org/officeDocument/2006/relationships/hyperlink" Target="https://scalzilliaj.com.br/sgc/download.php?file=files/processo_documento/processo_documento15513401112022_1_.pdf&amp;nome=15 - Edital do art. 7&#186;, &#167;2&#186; (segunda lista de credores) e do art. 53 da Lei 11.101/2005 (recebimento do plano)" TargetMode="External" Id="rId448" /><Relationship Type="http://schemas.openxmlformats.org/officeDocument/2006/relationships/hyperlink" Target="https://administradorajudicialgs.com.br/wp-content/uploads/2024/10/relacao-de-credores-e-verificacao-de-credito-2025.pdf" TargetMode="External" Id="rId449" /><Relationship Type="http://schemas.openxmlformats.org/officeDocument/2006/relationships/hyperlink" Target="https://administradorajudicialgs.com.br/wp-content/uploads/2024/10/relacao-de-credores-e-verificacao-de-credito-2025.pdf" TargetMode="External" Id="rId450" /></Relationships>
</file>

<file path=xl/worksheets/sheet1.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30" customWidth="1" min="1" max="1"/>
    <col width="16" customWidth="1" min="2" max="2"/>
    <col width="16" customWidth="1" min="3" max="3"/>
    <col width="4" customWidth="1" min="4" max="4"/>
    <col width="36" customWidth="1" min="5" max="5"/>
    <col width="32" customWidth="1" min="6" max="6"/>
    <col width="16" customWidth="1" min="7" max="7"/>
    <col width="8" customWidth="1" min="8" max="8"/>
    <col width="14" customWidth="1" min="9" max="9"/>
    <col width="12" customWidth="1" min="10" max="10"/>
  </cols>
  <sheetData>
    <row r="1">
      <c r="A1" s="1" t="inlineStr">
        <is>
          <t>ANTEPARO — CALL DASHBOARD</t>
        </is>
      </c>
    </row>
    <row r="2">
      <c r="A2" s="2" t="inlineStr">
        <is>
          <t>Live off the CALL SHEET tab · sorted by fund price (∝ our ágio) · 2026-09-04</t>
        </is>
      </c>
    </row>
    <row r="4">
      <c r="A4" s="3" t="inlineStr">
        <is>
          <t>PIPELINE</t>
        </is>
      </c>
      <c r="B4" s="4" t="n"/>
      <c r="E4" s="3" t="inlineStr">
        <is>
          <t>TOP 15 BY OUR ÁGIO</t>
        </is>
      </c>
      <c r="F4" s="3" t="inlineStr">
        <is>
          <t>Debtor</t>
        </is>
      </c>
      <c r="G4" s="3" t="inlineStr">
        <is>
          <t>Ágio (R$)</t>
        </is>
      </c>
      <c r="H4" s="3" t="inlineStr">
        <is>
          <t>Band</t>
        </is>
      </c>
      <c r="I4" s="3" t="inlineStr">
        <is>
          <t>Status</t>
        </is>
      </c>
      <c r="J4" s="3" t="inlineStr">
        <is>
          <t>Next date</t>
        </is>
      </c>
    </row>
    <row r="5">
      <c r="A5" t="inlineStr">
        <is>
          <t>Leads on sheet</t>
        </is>
      </c>
      <c r="B5" s="5">
        <f>COUNTA('CALL SHEET'!$A$2:$A$560)</f>
        <v/>
      </c>
      <c r="E5">
        <f>IFERROR(INDEX('CALL SHEET'!$A$2:$A$560,MATCH(G5,'CALL SHEET'!$AB$2:$AB$560,0)),"")</f>
        <v/>
      </c>
      <c r="F5">
        <f>IFERROR(INDEX('CALL SHEET'!$C$2:$C$560,MATCH(G5,'CALL SHEET'!$AB$2:$AB$560,0)),"")</f>
        <v/>
      </c>
      <c r="G5" s="6">
        <f>IFERROR(LARGE('CALL SHEET'!$AB$2:$AB$560,1),"")</f>
        <v/>
      </c>
      <c r="H5">
        <f>IFERROR(INDEX('CALL SHEET'!$U$2:$U$560,MATCH(G5,'CALL SHEET'!$AB$2:$AB$560,0)),"")</f>
        <v/>
      </c>
      <c r="I5">
        <f>IFERROR(INDEX('CALL SHEET'!$D$2:$D$560,MATCH(G5,'CALL SHEET'!$AB$2:$AB$560,0)),"")</f>
        <v/>
      </c>
      <c r="J5" s="7">
        <f>IFERROR(INDEX('CALL SHEET'!$G$2:$G$560,MATCH(G5,'CALL SHEET'!$AB$2:$AB$560,0)),"")</f>
        <v/>
      </c>
    </row>
    <row r="6">
      <c r="A6" t="inlineStr">
        <is>
          <t>Total face (R$)</t>
        </is>
      </c>
      <c r="B6" s="8">
        <f>SUM('CALL SHEET'!$T$2:$T$560)</f>
        <v/>
      </c>
      <c r="E6">
        <f>IFERROR(INDEX('CALL SHEET'!$A$2:$A$560,MATCH(G6,'CALL SHEET'!$AB$2:$AB$560,0)),"")</f>
        <v/>
      </c>
      <c r="F6">
        <f>IFERROR(INDEX('CALL SHEET'!$C$2:$C$560,MATCH(G6,'CALL SHEET'!$AB$2:$AB$560,0)),"")</f>
        <v/>
      </c>
      <c r="G6" s="6">
        <f>IFERROR(LARGE('CALL SHEET'!$AB$2:$AB$560,2),"")</f>
        <v/>
      </c>
      <c r="H6">
        <f>IFERROR(INDEX('CALL SHEET'!$U$2:$U$560,MATCH(G6,'CALL SHEET'!$AB$2:$AB$560,0)),"")</f>
        <v/>
      </c>
      <c r="I6">
        <f>IFERROR(INDEX('CALL SHEET'!$D$2:$D$560,MATCH(G6,'CALL SHEET'!$AB$2:$AB$560,0)),"")</f>
        <v/>
      </c>
      <c r="J6" s="7">
        <f>IFERROR(INDEX('CALL SHEET'!$G$2:$G$560,MATCH(G6,'CALL SHEET'!$AB$2:$AB$560,0)),"")</f>
        <v/>
      </c>
    </row>
    <row r="7">
      <c r="A7" t="inlineStr">
        <is>
          <t>Fund price pipeline (R$)</t>
        </is>
      </c>
      <c r="B7" s="8">
        <f>SUM('CALL SHEET'!$X$2:$X$560)</f>
        <v/>
      </c>
      <c r="E7">
        <f>IFERROR(INDEX('CALL SHEET'!$A$2:$A$560,MATCH(G7,'CALL SHEET'!$AB$2:$AB$560,0)),"")</f>
        <v/>
      </c>
      <c r="F7">
        <f>IFERROR(INDEX('CALL SHEET'!$C$2:$C$560,MATCH(G7,'CALL SHEET'!$AB$2:$AB$560,0)),"")</f>
        <v/>
      </c>
      <c r="G7" s="6">
        <f>IFERROR(LARGE('CALL SHEET'!$AB$2:$AB$560,3),"")</f>
        <v/>
      </c>
      <c r="H7">
        <f>IFERROR(INDEX('CALL SHEET'!$U$2:$U$560,MATCH(G7,'CALL SHEET'!$AB$2:$AB$560,0)),"")</f>
        <v/>
      </c>
      <c r="I7">
        <f>IFERROR(INDEX('CALL SHEET'!$D$2:$D$560,MATCH(G7,'CALL SHEET'!$AB$2:$AB$560,0)),"")</f>
        <v/>
      </c>
      <c r="J7" s="7">
        <f>IFERROR(INDEX('CALL SHEET'!$G$2:$G$560,MATCH(G7,'CALL SHEET'!$AB$2:$AB$560,0)),"")</f>
        <v/>
      </c>
    </row>
    <row r="8">
      <c r="A8" t="inlineStr">
        <is>
          <t>OUR ÁGIO pipeline (R$)</t>
        </is>
      </c>
      <c r="B8" s="8">
        <f>SUM('CALL SHEET'!$AB$2:$AB$560)</f>
        <v/>
      </c>
      <c r="E8">
        <f>IFERROR(INDEX('CALL SHEET'!$A$2:$A$560,MATCH(G8,'CALL SHEET'!$AB$2:$AB$560,0)),"")</f>
        <v/>
      </c>
      <c r="F8">
        <f>IFERROR(INDEX('CALL SHEET'!$C$2:$C$560,MATCH(G8,'CALL SHEET'!$AB$2:$AB$560,0)),"")</f>
        <v/>
      </c>
      <c r="G8" s="6">
        <f>IFERROR(LARGE('CALL SHEET'!$AB$2:$AB$560,4),"")</f>
        <v/>
      </c>
      <c r="H8">
        <f>IFERROR(INDEX('CALL SHEET'!$U$2:$U$560,MATCH(G8,'CALL SHEET'!$AB$2:$AB$560,0)),"")</f>
        <v/>
      </c>
      <c r="I8">
        <f>IFERROR(INDEX('CALL SHEET'!$D$2:$D$560,MATCH(G8,'CALL SHEET'!$AB$2:$AB$560,0)),"")</f>
        <v/>
      </c>
      <c r="J8" s="7">
        <f>IFERROR(INDEX('CALL SHEET'!$G$2:$G$560,MATCH(G8,'CALL SHEET'!$AB$2:$AB$560,0)),"")</f>
        <v/>
      </c>
    </row>
    <row r="9">
      <c r="A9" t="inlineStr">
        <is>
          <t>Untouched (NEW)</t>
        </is>
      </c>
      <c r="B9" s="5">
        <f>COUNTIF('CALL SHEET'!$D$2:$D$560,"NEW")</f>
        <v/>
      </c>
      <c r="E9">
        <f>IFERROR(INDEX('CALL SHEET'!$A$2:$A$560,MATCH(G9,'CALL SHEET'!$AB$2:$AB$560,0)),"")</f>
        <v/>
      </c>
      <c r="F9">
        <f>IFERROR(INDEX('CALL SHEET'!$C$2:$C$560,MATCH(G9,'CALL SHEET'!$AB$2:$AB$560,0)),"")</f>
        <v/>
      </c>
      <c r="G9" s="6">
        <f>IFERROR(LARGE('CALL SHEET'!$AB$2:$AB$560,5),"")</f>
        <v/>
      </c>
      <c r="H9">
        <f>IFERROR(INDEX('CALL SHEET'!$U$2:$U$560,MATCH(G9,'CALL SHEET'!$AB$2:$AB$560,0)),"")</f>
        <v/>
      </c>
      <c r="I9">
        <f>IFERROR(INDEX('CALL SHEET'!$D$2:$D$560,MATCH(G9,'CALL SHEET'!$AB$2:$AB$560,0)),"")</f>
        <v/>
      </c>
      <c r="J9" s="7">
        <f>IFERROR(INDEX('CALL SHEET'!$G$2:$G$560,MATCH(G9,'CALL SHEET'!$AB$2:$AB$560,0)),"")</f>
        <v/>
      </c>
    </row>
    <row r="10">
      <c r="A10" t="inlineStr">
        <is>
          <t>Calls due today</t>
        </is>
      </c>
      <c r="B10" s="5">
        <f>COUNTIF('CALL SHEET'!$G$2:$G$560,TODAY())</f>
        <v/>
      </c>
      <c r="E10">
        <f>IFERROR(INDEX('CALL SHEET'!$A$2:$A$560,MATCH(G10,'CALL SHEET'!$AB$2:$AB$560,0)),"")</f>
        <v/>
      </c>
      <c r="F10">
        <f>IFERROR(INDEX('CALL SHEET'!$C$2:$C$560,MATCH(G10,'CALL SHEET'!$AB$2:$AB$560,0)),"")</f>
        <v/>
      </c>
      <c r="G10" s="6">
        <f>IFERROR(LARGE('CALL SHEET'!$AB$2:$AB$560,6),"")</f>
        <v/>
      </c>
      <c r="H10">
        <f>IFERROR(INDEX('CALL SHEET'!$U$2:$U$560,MATCH(G10,'CALL SHEET'!$AB$2:$AB$560,0)),"")</f>
        <v/>
      </c>
      <c r="I10">
        <f>IFERROR(INDEX('CALL SHEET'!$D$2:$D$560,MATCH(G10,'CALL SHEET'!$AB$2:$AB$560,0)),"")</f>
        <v/>
      </c>
      <c r="J10" s="7">
        <f>IFERROR(INDEX('CALL SHEET'!$G$2:$G$560,MATCH(G10,'CALL SHEET'!$AB$2:$AB$560,0)),"")</f>
        <v/>
      </c>
    </row>
    <row r="11">
      <c r="A11" t="inlineStr">
        <is>
          <t>Overdue follow-ups</t>
        </is>
      </c>
      <c r="B11" s="5">
        <f>COUNTIFS('CALL SHEET'!$G$2:$G$560,"&lt;"&amp;TODAY(),'CALL SHEET'!$G$2:$G$560,"&lt;&gt;",'CALL SHEET'!$D$2:$D$560,"&lt;&gt;DEAD",'CALL SHEET'!$D$2:$D$560,"&lt;&gt;DEAL")</f>
        <v/>
      </c>
      <c r="E11">
        <f>IFERROR(INDEX('CALL SHEET'!$A$2:$A$560,MATCH(G11,'CALL SHEET'!$AB$2:$AB$560,0)),"")</f>
        <v/>
      </c>
      <c r="F11">
        <f>IFERROR(INDEX('CALL SHEET'!$C$2:$C$560,MATCH(G11,'CALL SHEET'!$AB$2:$AB$560,0)),"")</f>
        <v/>
      </c>
      <c r="G11" s="6">
        <f>IFERROR(LARGE('CALL SHEET'!$AB$2:$AB$560,7),"")</f>
        <v/>
      </c>
      <c r="H11">
        <f>IFERROR(INDEX('CALL SHEET'!$U$2:$U$560,MATCH(G11,'CALL SHEET'!$AB$2:$AB$560,0)),"")</f>
        <v/>
      </c>
      <c r="I11">
        <f>IFERROR(INDEX('CALL SHEET'!$D$2:$D$560,MATCH(G11,'CALL SHEET'!$AB$2:$AB$560,0)),"")</f>
        <v/>
      </c>
      <c r="J11" s="7">
        <f>IFERROR(INDEX('CALL SHEET'!$G$2:$G$560,MATCH(G11,'CALL SHEET'!$AB$2:$AB$560,0)),"")</f>
        <v/>
      </c>
    </row>
    <row r="12">
      <c r="A12" t="inlineStr">
        <is>
          <t>Interested + Deal — ágio (R$)</t>
        </is>
      </c>
      <c r="B12" s="8">
        <f>SUMIF('CALL SHEET'!$D$2:$D$560,"INTERESTED",'CALL SHEET'!$AB$2:$AB$560)+SUMIF('CALL SHEET'!$D$2:$D$560,"DEAL",'CALL SHEET'!$AB$2:$AB$560)</f>
        <v/>
      </c>
      <c r="E12">
        <f>IFERROR(INDEX('CALL SHEET'!$A$2:$A$560,MATCH(G12,'CALL SHEET'!$AB$2:$AB$560,0)),"")</f>
        <v/>
      </c>
      <c r="F12">
        <f>IFERROR(INDEX('CALL SHEET'!$C$2:$C$560,MATCH(G12,'CALL SHEET'!$AB$2:$AB$560,0)),"")</f>
        <v/>
      </c>
      <c r="G12" s="6">
        <f>IFERROR(LARGE('CALL SHEET'!$AB$2:$AB$560,8),"")</f>
        <v/>
      </c>
      <c r="H12">
        <f>IFERROR(INDEX('CALL SHEET'!$U$2:$U$560,MATCH(G12,'CALL SHEET'!$AB$2:$AB$560,0)),"")</f>
        <v/>
      </c>
      <c r="I12">
        <f>IFERROR(INDEX('CALL SHEET'!$D$2:$D$560,MATCH(G12,'CALL SHEET'!$AB$2:$AB$560,0)),"")</f>
        <v/>
      </c>
      <c r="J12" s="7">
        <f>IFERROR(INDEX('CALL SHEET'!$G$2:$G$560,MATCH(G12,'CALL SHEET'!$AB$2:$AB$560,0)),"")</f>
        <v/>
      </c>
    </row>
    <row r="13">
      <c r="E13">
        <f>IFERROR(INDEX('CALL SHEET'!$A$2:$A$560,MATCH(G13,'CALL SHEET'!$AB$2:$AB$560,0)),"")</f>
        <v/>
      </c>
      <c r="F13">
        <f>IFERROR(INDEX('CALL SHEET'!$C$2:$C$560,MATCH(G13,'CALL SHEET'!$AB$2:$AB$560,0)),"")</f>
        <v/>
      </c>
      <c r="G13" s="6">
        <f>IFERROR(LARGE('CALL SHEET'!$AB$2:$AB$560,9),"")</f>
        <v/>
      </c>
      <c r="H13">
        <f>IFERROR(INDEX('CALL SHEET'!$U$2:$U$560,MATCH(G13,'CALL SHEET'!$AB$2:$AB$560,0)),"")</f>
        <v/>
      </c>
      <c r="I13">
        <f>IFERROR(INDEX('CALL SHEET'!$D$2:$D$560,MATCH(G13,'CALL SHEET'!$AB$2:$AB$560,0)),"")</f>
        <v/>
      </c>
      <c r="J13" s="7">
        <f>IFERROR(INDEX('CALL SHEET'!$G$2:$G$560,MATCH(G13,'CALL SHEET'!$AB$2:$AB$560,0)),"")</f>
        <v/>
      </c>
    </row>
    <row r="14">
      <c r="A14" s="3" t="inlineStr">
        <is>
          <t>FUNNEL</t>
        </is>
      </c>
      <c r="B14" s="3" t="inlineStr">
        <is>
          <t>leads</t>
        </is>
      </c>
      <c r="C14" s="3" t="inlineStr">
        <is>
          <t>ágio (R$)</t>
        </is>
      </c>
      <c r="E14">
        <f>IFERROR(INDEX('CALL SHEET'!$A$2:$A$560,MATCH(G14,'CALL SHEET'!$AB$2:$AB$560,0)),"")</f>
        <v/>
      </c>
      <c r="F14">
        <f>IFERROR(INDEX('CALL SHEET'!$C$2:$C$560,MATCH(G14,'CALL SHEET'!$AB$2:$AB$560,0)),"")</f>
        <v/>
      </c>
      <c r="G14" s="6">
        <f>IFERROR(LARGE('CALL SHEET'!$AB$2:$AB$560,10),"")</f>
        <v/>
      </c>
      <c r="H14">
        <f>IFERROR(INDEX('CALL SHEET'!$U$2:$U$560,MATCH(G14,'CALL SHEET'!$AB$2:$AB$560,0)),"")</f>
        <v/>
      </c>
      <c r="I14">
        <f>IFERROR(INDEX('CALL SHEET'!$D$2:$D$560,MATCH(G14,'CALL SHEET'!$AB$2:$AB$560,0)),"")</f>
        <v/>
      </c>
      <c r="J14" s="7">
        <f>IFERROR(INDEX('CALL SHEET'!$G$2:$G$560,MATCH(G14,'CALL SHEET'!$AB$2:$AB$560,0)),"")</f>
        <v/>
      </c>
    </row>
    <row r="15">
      <c r="A15" t="inlineStr">
        <is>
          <t>NEW</t>
        </is>
      </c>
      <c r="B15">
        <f>COUNTIF('CALL SHEET'!$D$2:$D$560,"NEW")</f>
        <v/>
      </c>
      <c r="C15" s="6">
        <f>SUMIF('CALL SHEET'!$D$2:$D$560,"NEW",'CALL SHEET'!$AB$2:$AB$560)</f>
        <v/>
      </c>
      <c r="E15">
        <f>IFERROR(INDEX('CALL SHEET'!$A$2:$A$560,MATCH(G15,'CALL SHEET'!$AB$2:$AB$560,0)),"")</f>
        <v/>
      </c>
      <c r="F15">
        <f>IFERROR(INDEX('CALL SHEET'!$C$2:$C$560,MATCH(G15,'CALL SHEET'!$AB$2:$AB$560,0)),"")</f>
        <v/>
      </c>
      <c r="G15" s="6">
        <f>IFERROR(LARGE('CALL SHEET'!$AB$2:$AB$560,11),"")</f>
        <v/>
      </c>
      <c r="H15">
        <f>IFERROR(INDEX('CALL SHEET'!$U$2:$U$560,MATCH(G15,'CALL SHEET'!$AB$2:$AB$560,0)),"")</f>
        <v/>
      </c>
      <c r="I15">
        <f>IFERROR(INDEX('CALL SHEET'!$D$2:$D$560,MATCH(G15,'CALL SHEET'!$AB$2:$AB$560,0)),"")</f>
        <v/>
      </c>
      <c r="J15" s="7">
        <f>IFERROR(INDEX('CALL SHEET'!$G$2:$G$560,MATCH(G15,'CALL SHEET'!$AB$2:$AB$560,0)),"")</f>
        <v/>
      </c>
    </row>
    <row r="16">
      <c r="A16" t="inlineStr">
        <is>
          <t>QUEUED</t>
        </is>
      </c>
      <c r="B16">
        <f>COUNTIF('CALL SHEET'!$D$2:$D$560,"QUEUED")</f>
        <v/>
      </c>
      <c r="C16" s="6">
        <f>SUMIF('CALL SHEET'!$D$2:$D$560,"QUEUED",'CALL SHEET'!$AB$2:$AB$560)</f>
        <v/>
      </c>
      <c r="E16">
        <f>IFERROR(INDEX('CALL SHEET'!$A$2:$A$560,MATCH(G16,'CALL SHEET'!$AB$2:$AB$560,0)),"")</f>
        <v/>
      </c>
      <c r="F16">
        <f>IFERROR(INDEX('CALL SHEET'!$C$2:$C$560,MATCH(G16,'CALL SHEET'!$AB$2:$AB$560,0)),"")</f>
        <v/>
      </c>
      <c r="G16" s="6">
        <f>IFERROR(LARGE('CALL SHEET'!$AB$2:$AB$560,12),"")</f>
        <v/>
      </c>
      <c r="H16">
        <f>IFERROR(INDEX('CALL SHEET'!$U$2:$U$560,MATCH(G16,'CALL SHEET'!$AB$2:$AB$560,0)),"")</f>
        <v/>
      </c>
      <c r="I16">
        <f>IFERROR(INDEX('CALL SHEET'!$D$2:$D$560,MATCH(G16,'CALL SHEET'!$AB$2:$AB$560,0)),"")</f>
        <v/>
      </c>
      <c r="J16" s="7">
        <f>IFERROR(INDEX('CALL SHEET'!$G$2:$G$560,MATCH(G16,'CALL SHEET'!$AB$2:$AB$560,0)),"")</f>
        <v/>
      </c>
    </row>
    <row r="17">
      <c r="A17" t="inlineStr">
        <is>
          <t>EMAILED</t>
        </is>
      </c>
      <c r="B17">
        <f>COUNTIF('CALL SHEET'!$D$2:$D$560,"EMAILED")</f>
        <v/>
      </c>
      <c r="C17" s="6">
        <f>SUMIF('CALL SHEET'!$D$2:$D$560,"EMAILED",'CALL SHEET'!$AB$2:$AB$560)</f>
        <v/>
      </c>
      <c r="E17">
        <f>IFERROR(INDEX('CALL SHEET'!$A$2:$A$560,MATCH(G17,'CALL SHEET'!$AB$2:$AB$560,0)),"")</f>
        <v/>
      </c>
      <c r="F17">
        <f>IFERROR(INDEX('CALL SHEET'!$C$2:$C$560,MATCH(G17,'CALL SHEET'!$AB$2:$AB$560,0)),"")</f>
        <v/>
      </c>
      <c r="G17" s="6">
        <f>IFERROR(LARGE('CALL SHEET'!$AB$2:$AB$560,13),"")</f>
        <v/>
      </c>
      <c r="H17">
        <f>IFERROR(INDEX('CALL SHEET'!$U$2:$U$560,MATCH(G17,'CALL SHEET'!$AB$2:$AB$560,0)),"")</f>
        <v/>
      </c>
      <c r="I17">
        <f>IFERROR(INDEX('CALL SHEET'!$D$2:$D$560,MATCH(G17,'CALL SHEET'!$AB$2:$AB$560,0)),"")</f>
        <v/>
      </c>
      <c r="J17" s="7">
        <f>IFERROR(INDEX('CALL SHEET'!$G$2:$G$560,MATCH(G17,'CALL SHEET'!$AB$2:$AB$560,0)),"")</f>
        <v/>
      </c>
    </row>
    <row r="18">
      <c r="A18" t="inlineStr">
        <is>
          <t>CALLED</t>
        </is>
      </c>
      <c r="B18">
        <f>COUNTIF('CALL SHEET'!$D$2:$D$560,"CALLED")</f>
        <v/>
      </c>
      <c r="C18" s="6">
        <f>SUMIF('CALL SHEET'!$D$2:$D$560,"CALLED",'CALL SHEET'!$AB$2:$AB$560)</f>
        <v/>
      </c>
      <c r="E18">
        <f>IFERROR(INDEX('CALL SHEET'!$A$2:$A$560,MATCH(G18,'CALL SHEET'!$AB$2:$AB$560,0)),"")</f>
        <v/>
      </c>
      <c r="F18">
        <f>IFERROR(INDEX('CALL SHEET'!$C$2:$C$560,MATCH(G18,'CALL SHEET'!$AB$2:$AB$560,0)),"")</f>
        <v/>
      </c>
      <c r="G18" s="6">
        <f>IFERROR(LARGE('CALL SHEET'!$AB$2:$AB$560,14),"")</f>
        <v/>
      </c>
      <c r="H18">
        <f>IFERROR(INDEX('CALL SHEET'!$U$2:$U$560,MATCH(G18,'CALL SHEET'!$AB$2:$AB$560,0)),"")</f>
        <v/>
      </c>
      <c r="I18">
        <f>IFERROR(INDEX('CALL SHEET'!$D$2:$D$560,MATCH(G18,'CALL SHEET'!$AB$2:$AB$560,0)),"")</f>
        <v/>
      </c>
      <c r="J18" s="7">
        <f>IFERROR(INDEX('CALL SHEET'!$G$2:$G$560,MATCH(G18,'CALL SHEET'!$AB$2:$AB$560,0)),"")</f>
        <v/>
      </c>
    </row>
    <row r="19">
      <c r="A19" t="inlineStr">
        <is>
          <t>VOICEMAIL</t>
        </is>
      </c>
      <c r="B19">
        <f>COUNTIF('CALL SHEET'!$D$2:$D$560,"VOICEMAIL")</f>
        <v/>
      </c>
      <c r="C19" s="6">
        <f>SUMIF('CALL SHEET'!$D$2:$D$560,"VOICEMAIL",'CALL SHEET'!$AB$2:$AB$560)</f>
        <v/>
      </c>
      <c r="E19">
        <f>IFERROR(INDEX('CALL SHEET'!$A$2:$A$560,MATCH(G19,'CALL SHEET'!$AB$2:$AB$560,0)),"")</f>
        <v/>
      </c>
      <c r="F19">
        <f>IFERROR(INDEX('CALL SHEET'!$C$2:$C$560,MATCH(G19,'CALL SHEET'!$AB$2:$AB$560,0)),"")</f>
        <v/>
      </c>
      <c r="G19" s="6">
        <f>IFERROR(LARGE('CALL SHEET'!$AB$2:$AB$560,15),"")</f>
        <v/>
      </c>
      <c r="H19">
        <f>IFERROR(INDEX('CALL SHEET'!$U$2:$U$560,MATCH(G19,'CALL SHEET'!$AB$2:$AB$560,0)),"")</f>
        <v/>
      </c>
      <c r="I19">
        <f>IFERROR(INDEX('CALL SHEET'!$D$2:$D$560,MATCH(G19,'CALL SHEET'!$AB$2:$AB$560,0)),"")</f>
        <v/>
      </c>
      <c r="J19" s="7">
        <f>IFERROR(INDEX('CALL SHEET'!$G$2:$G$560,MATCH(G19,'CALL SHEET'!$AB$2:$AB$560,0)),"")</f>
        <v/>
      </c>
    </row>
    <row r="20">
      <c r="A20" t="inlineStr">
        <is>
          <t>CONNECTED</t>
        </is>
      </c>
      <c r="B20">
        <f>COUNTIF('CALL SHEET'!$D$2:$D$560,"CONNECTED")</f>
        <v/>
      </c>
      <c r="C20" s="6">
        <f>SUMIF('CALL SHEET'!$D$2:$D$560,"CONNECTED",'CALL SHEET'!$AB$2:$AB$560)</f>
        <v/>
      </c>
    </row>
    <row r="21">
      <c r="A21" t="inlineStr">
        <is>
          <t>INTERESTED</t>
        </is>
      </c>
      <c r="B21">
        <f>COUNTIF('CALL SHEET'!$D$2:$D$560,"INTERESTED")</f>
        <v/>
      </c>
      <c r="C21" s="6">
        <f>SUMIF('CALL SHEET'!$D$2:$D$560,"INTERESTED",'CALL SHEET'!$AB$2:$AB$560)</f>
        <v/>
      </c>
      <c r="E21" s="3" t="inlineStr">
        <is>
          <t>CASE OWNERSHIP — deepest debtors</t>
        </is>
      </c>
      <c r="F21" s="3" t="inlineStr">
        <is>
          <t>leads</t>
        </is>
      </c>
      <c r="G21" s="3" t="inlineStr">
        <is>
          <t>ágio (R$)</t>
        </is>
      </c>
      <c r="H21" s="3" t="inlineStr">
        <is>
          <t>called</t>
        </is>
      </c>
      <c r="I21" s="3" t="inlineStr">
        <is>
          <t>interested</t>
        </is>
      </c>
    </row>
    <row r="22">
      <c r="A22" t="inlineStr">
        <is>
          <t>NOT INTERESTED</t>
        </is>
      </c>
      <c r="B22">
        <f>COUNTIF('CALL SHEET'!$D$2:$D$560,"NOT INTERESTED")</f>
        <v/>
      </c>
      <c r="C22" s="6">
        <f>SUMIF('CALL SHEET'!$D$2:$D$560,"NOT INTERESTED",'CALL SHEET'!$AB$2:$AB$560)</f>
        <v/>
      </c>
      <c r="E22" t="inlineStr">
        <is>
          <t>EGESA ENGENHARIA S/A (Consórcio ETDI)</t>
        </is>
      </c>
      <c r="F22">
        <f>COUNTIF('CALL SHEET'!$C$2:$C$560,"EGESA ENGENHARIA S/A (Consórcio ETDI)")</f>
        <v/>
      </c>
      <c r="G22" s="6">
        <f>SUMIF('CALL SHEET'!$C$2:$C$560,"EGESA ENGENHARIA S/A (Consórcio ETDI)",'CALL SHEET'!$AB$2:$AB$560)</f>
        <v/>
      </c>
      <c r="H22">
        <f>COUNTIFS('CALL SHEET'!$C$2:$C$560,"EGESA ENGENHARIA S/A (Consórcio ETDI)",'CALL SHEET'!$D$2:$D$560,"&lt;&gt;NEW")</f>
        <v/>
      </c>
      <c r="I22">
        <f>COUNTIFS('CALL SHEET'!$C$2:$C$560,"EGESA ENGENHARIA S/A (Consórcio ETDI)",'CALL SHEET'!$D$2:$D$560,"INTERESTED")+COUNTIFS('CALL SHEET'!$C$2:$C$560,"EGESA ENGENHARIA S/A (Consórcio ETDI)",'CALL SHEET'!$D$2:$D$560,"DEAL")</f>
        <v/>
      </c>
    </row>
    <row r="23">
      <c r="A23" t="inlineStr">
        <is>
          <t>CALL BACK</t>
        </is>
      </c>
      <c r="B23">
        <f>COUNTIF('CALL SHEET'!$D$2:$D$560,"CALL BACK")</f>
        <v/>
      </c>
      <c r="C23" s="6">
        <f>SUMIF('CALL SHEET'!$D$2:$D$560,"CALL BACK",'CALL SHEET'!$AB$2:$AB$560)</f>
        <v/>
      </c>
      <c r="E23" t="inlineStr">
        <is>
          <t>COMERCIO RACOES BEM BOM LTDA</t>
        </is>
      </c>
      <c r="F23">
        <f>COUNTIF('CALL SHEET'!$C$2:$C$560,"COMERCIO RACOES BEM BOM LTDA")</f>
        <v/>
      </c>
      <c r="G23" s="6">
        <f>SUMIF('CALL SHEET'!$C$2:$C$560,"COMERCIO RACOES BEM BOM LTDA",'CALL SHEET'!$AB$2:$AB$560)</f>
        <v/>
      </c>
      <c r="H23">
        <f>COUNTIFS('CALL SHEET'!$C$2:$C$560,"COMERCIO RACOES BEM BOM LTDA",'CALL SHEET'!$D$2:$D$560,"&lt;&gt;NEW")</f>
        <v/>
      </c>
      <c r="I23">
        <f>COUNTIFS('CALL SHEET'!$C$2:$C$560,"COMERCIO RACOES BEM BOM LTDA",'CALL SHEET'!$D$2:$D$560,"INTERESTED")+COUNTIFS('CALL SHEET'!$C$2:$C$560,"COMERCIO RACOES BEM BOM LTDA",'CALL SHEET'!$D$2:$D$560,"DEAL")</f>
        <v/>
      </c>
    </row>
    <row r="24">
      <c r="A24" t="inlineStr">
        <is>
          <t>DEAD</t>
        </is>
      </c>
      <c r="B24">
        <f>COUNTIF('CALL SHEET'!$D$2:$D$560,"DEAD")</f>
        <v/>
      </c>
      <c r="C24" s="6">
        <f>SUMIF('CALL SHEET'!$D$2:$D$560,"DEAD",'CALL SHEET'!$AB$2:$AB$560)</f>
        <v/>
      </c>
      <c r="E24" t="inlineStr">
        <is>
          <t>aludida empresa</t>
        </is>
      </c>
      <c r="F24">
        <f>COUNTIF('CALL SHEET'!$C$2:$C$560,"aludida empresa")</f>
        <v/>
      </c>
      <c r="G24" s="6">
        <f>SUMIF('CALL SHEET'!$C$2:$C$560,"aludida empresa",'CALL SHEET'!$AB$2:$AB$560)</f>
        <v/>
      </c>
      <c r="H24">
        <f>COUNTIFS('CALL SHEET'!$C$2:$C$560,"aludida empresa",'CALL SHEET'!$D$2:$D$560,"&lt;&gt;NEW")</f>
        <v/>
      </c>
      <c r="I24">
        <f>COUNTIFS('CALL SHEET'!$C$2:$C$560,"aludida empresa",'CALL SHEET'!$D$2:$D$560,"INTERESTED")+COUNTIFS('CALL SHEET'!$C$2:$C$560,"aludida empresa",'CALL SHEET'!$D$2:$D$560,"DEAL")</f>
        <v/>
      </c>
    </row>
    <row r="25">
      <c r="A25" t="inlineStr">
        <is>
          <t>DEAL</t>
        </is>
      </c>
      <c r="B25">
        <f>COUNTIF('CALL SHEET'!$D$2:$D$560,"DEAL")</f>
        <v/>
      </c>
      <c r="C25" s="6">
        <f>SUMIF('CALL SHEET'!$D$2:$D$560,"DEAL",'CALL SHEET'!$AB$2:$AB$560)</f>
        <v/>
      </c>
      <c r="E25" t="inlineStr">
        <is>
          <t>R W CONSTRUCOES LTDA</t>
        </is>
      </c>
      <c r="F25">
        <f>COUNTIF('CALL SHEET'!$C$2:$C$560,"R W CONSTRUCOES LTDA")</f>
        <v/>
      </c>
      <c r="G25" s="6">
        <f>SUMIF('CALL SHEET'!$C$2:$C$560,"R W CONSTRUCOES LTDA",'CALL SHEET'!$AB$2:$AB$560)</f>
        <v/>
      </c>
      <c r="H25">
        <f>COUNTIFS('CALL SHEET'!$C$2:$C$560,"R W CONSTRUCOES LTDA",'CALL SHEET'!$D$2:$D$560,"&lt;&gt;NEW")</f>
        <v/>
      </c>
      <c r="I25">
        <f>COUNTIFS('CALL SHEET'!$C$2:$C$560,"R W CONSTRUCOES LTDA",'CALL SHEET'!$D$2:$D$560,"INTERESTED")+COUNTIFS('CALL SHEET'!$C$2:$C$560,"R W CONSTRUCOES LTDA",'CALL SHEET'!$D$2:$D$560,"DEAL")</f>
        <v/>
      </c>
    </row>
    <row r="26">
      <c r="E26" t="inlineStr">
        <is>
          <t>VEV COMERCIO DE MEDICAMENTOS LTDA EM RECUPERACAO JUDICIAL</t>
        </is>
      </c>
      <c r="F26">
        <f>COUNTIF('CALL SHEET'!$C$2:$C$560,"VEV COMERCIO DE MEDICAMENTOS LTDA EM RECUPERACAO JUDICIAL")</f>
        <v/>
      </c>
      <c r="G26" s="6">
        <f>SUMIF('CALL SHEET'!$C$2:$C$560,"VEV COMERCIO DE MEDICAMENTOS LTDA EM RECUPERACAO JUDICIAL",'CALL SHEET'!$AB$2:$AB$560)</f>
        <v/>
      </c>
      <c r="H26">
        <f>COUNTIFS('CALL SHEET'!$C$2:$C$560,"VEV COMERCIO DE MEDICAMENTOS LTDA EM RECUPERACAO JUDICIAL",'CALL SHEET'!$D$2:$D$560,"&lt;&gt;NEW")</f>
        <v/>
      </c>
      <c r="I26">
        <f>COUNTIFS('CALL SHEET'!$C$2:$C$560,"VEV COMERCIO DE MEDICAMENTOS LTDA EM RECUPERACAO JUDICIAL",'CALL SHEET'!$D$2:$D$560,"INTERESTED")+COUNTIFS('CALL SHEET'!$C$2:$C$560,"VEV COMERCIO DE MEDICAMENTOS LTDA EM RECUPERACAO JUDICIAL",'CALL SHEET'!$D$2:$D$560,"DEAL")</f>
        <v/>
      </c>
    </row>
    <row r="27">
      <c r="A27" s="3" t="inlineStr">
        <is>
          <t>DEBTOR BAND</t>
        </is>
      </c>
      <c r="B27" s="3" t="inlineStr">
        <is>
          <t>leads</t>
        </is>
      </c>
      <c r="C27" s="3" t="inlineStr">
        <is>
          <t>ágio (R$)</t>
        </is>
      </c>
      <c r="E27" t="inlineStr">
        <is>
          <t>ASSOCIACAO DE CARIDADE SANTA CASA DE RIO GRANDE</t>
        </is>
      </c>
      <c r="F27">
        <f>COUNTIF('CALL SHEET'!$C$2:$C$560,"ASSOCIACAO DE CARIDADE SANTA CASA DE RIO GRANDE")</f>
        <v/>
      </c>
      <c r="G27" s="6">
        <f>SUMIF('CALL SHEET'!$C$2:$C$560,"ASSOCIACAO DE CARIDADE SANTA CASA DE RIO GRANDE",'CALL SHEET'!$AB$2:$AB$560)</f>
        <v/>
      </c>
      <c r="H27">
        <f>COUNTIFS('CALL SHEET'!$C$2:$C$560,"ASSOCIACAO DE CARIDADE SANTA CASA DE RIO GRANDE",'CALL SHEET'!$D$2:$D$560,"&lt;&gt;NEW")</f>
        <v/>
      </c>
      <c r="I27">
        <f>COUNTIFS('CALL SHEET'!$C$2:$C$560,"ASSOCIACAO DE CARIDADE SANTA CASA DE RIO GRANDE",'CALL SHEET'!$D$2:$D$560,"INTERESTED")+COUNTIFS('CALL SHEET'!$C$2:$C$560,"ASSOCIACAO DE CARIDADE SANTA CASA DE RIO GRANDE",'CALL SHEET'!$D$2:$D$560,"DEAL")</f>
        <v/>
      </c>
    </row>
    <row r="28">
      <c r="A28" s="9" t="inlineStr">
        <is>
          <t>A — Plan approved / homologation</t>
        </is>
      </c>
      <c r="B28">
        <f>COUNTIF('CALL SHEET'!$U$2:$U$560,"A")</f>
        <v/>
      </c>
      <c r="C28" s="6">
        <f>SUMIF('CALL SHEET'!$U$2:$U$560,"A",'CALL SHEET'!$AB$2:$AB$560)</f>
        <v/>
      </c>
      <c r="E28" t="inlineStr">
        <is>
          <t>ADVOCACIA WANDERLEI DE PAULA BARRETO</t>
        </is>
      </c>
      <c r="F28">
        <f>COUNTIF('CALL SHEET'!$C$2:$C$560,"ADVOCACIA WANDERLEI DE PAULA BARRETO")</f>
        <v/>
      </c>
      <c r="G28" s="6">
        <f>SUMIF('CALL SHEET'!$C$2:$C$560,"ADVOCACIA WANDERLEI DE PAULA BARRETO",'CALL SHEET'!$AB$2:$AB$560)</f>
        <v/>
      </c>
      <c r="H28">
        <f>COUNTIFS('CALL SHEET'!$C$2:$C$560,"ADVOCACIA WANDERLEI DE PAULA BARRETO",'CALL SHEET'!$D$2:$D$560,"&lt;&gt;NEW")</f>
        <v/>
      </c>
      <c r="I28">
        <f>COUNTIFS('CALL SHEET'!$C$2:$C$560,"ADVOCACIA WANDERLEI DE PAULA BARRETO",'CALL SHEET'!$D$2:$D$560,"INTERESTED")+COUNTIFS('CALL SHEET'!$C$2:$C$560,"ADVOCACIA WANDERLEI DE PAULA BARRETO",'CALL SHEET'!$D$2:$D$560,"DEAL")</f>
        <v/>
      </c>
    </row>
    <row r="29">
      <c r="A29" s="10" t="inlineStr">
        <is>
          <t xml:space="preserve">B — Live case, no plan document </t>
        </is>
      </c>
      <c r="B29">
        <f>COUNTIF('CALL SHEET'!$U$2:$U$560,"B")</f>
        <v/>
      </c>
      <c r="C29" s="6">
        <f>SUMIF('CALL SHEET'!$U$2:$U$560,"B",'CALL SHEET'!$AB$2:$AB$560)</f>
        <v/>
      </c>
      <c r="E29" t="inlineStr">
        <is>
          <t>NORTESUL COMERCIAL AGRICOLA LTDA EM RECUPERACAO JUDICIAL</t>
        </is>
      </c>
      <c r="F29">
        <f>COUNTIF('CALL SHEET'!$C$2:$C$560,"NORTESUL COMERCIAL AGRICOLA LTDA EM RECUPERACAO JUDICIAL")</f>
        <v/>
      </c>
      <c r="G29" s="6">
        <f>SUMIF('CALL SHEET'!$C$2:$C$560,"NORTESUL COMERCIAL AGRICOLA LTDA EM RECUPERACAO JUDICIAL",'CALL SHEET'!$AB$2:$AB$560)</f>
        <v/>
      </c>
      <c r="H29">
        <f>COUNTIFS('CALL SHEET'!$C$2:$C$560,"NORTESUL COMERCIAL AGRICOLA LTDA EM RECUPERACAO JUDICIAL",'CALL SHEET'!$D$2:$D$560,"&lt;&gt;NEW")</f>
        <v/>
      </c>
      <c r="I29">
        <f>COUNTIFS('CALL SHEET'!$C$2:$C$560,"NORTESUL COMERCIAL AGRICOLA LTDA EM RECUPERACAO JUDICIAL",'CALL SHEET'!$D$2:$D$560,"INTERESTED")+COUNTIFS('CALL SHEET'!$C$2:$C$560,"NORTESUL COMERCIAL AGRICOLA LTDA EM RECUPERACAO JUDICIAL",'CALL SHEET'!$D$2:$D$560,"DEAL")</f>
        <v/>
      </c>
    </row>
    <row r="30">
      <c r="A30" s="11" t="inlineStr">
        <is>
          <t>C — Stale: &gt;4 years since filing</t>
        </is>
      </c>
      <c r="B30">
        <f>COUNTIF('CALL SHEET'!$U$2:$U$560,"C")</f>
        <v/>
      </c>
      <c r="C30" s="6">
        <f>SUMIF('CALL SHEET'!$U$2:$U$560,"C",'CALL SHEET'!$AB$2:$AB$560)</f>
        <v/>
      </c>
      <c r="E30" t="inlineStr">
        <is>
          <t>CLUBE NAUTICO CAPIBARIBE - EM RECUPERACAO JUDICIAL</t>
        </is>
      </c>
      <c r="F30">
        <f>COUNTIF('CALL SHEET'!$C$2:$C$560,"CLUBE NAUTICO CAPIBARIBE - EM RECUPERACAO JUDICIAL")</f>
        <v/>
      </c>
      <c r="G30" s="6">
        <f>SUMIF('CALL SHEET'!$C$2:$C$560,"CLUBE NAUTICO CAPIBARIBE - EM RECUPERACAO JUDICIAL",'CALL SHEET'!$AB$2:$AB$560)</f>
        <v/>
      </c>
      <c r="H30">
        <f>COUNTIFS('CALL SHEET'!$C$2:$C$560,"CLUBE NAUTICO CAPIBARIBE - EM RECUPERACAO JUDICIAL",'CALL SHEET'!$D$2:$D$560,"&lt;&gt;NEW")</f>
        <v/>
      </c>
      <c r="I30">
        <f>COUNTIFS('CALL SHEET'!$C$2:$C$560,"CLUBE NAUTICO CAPIBARIBE - EM RECUPERACAO JUDICIAL",'CALL SHEET'!$D$2:$D$560,"INTERESTED")+COUNTIFS('CALL SHEET'!$C$2:$C$560,"CLUBE NAUTICO CAPIBARIBE - EM RECUPERACAO JUDICIAL",'CALL SHEET'!$D$2:$D$560,"DEAL")</f>
        <v/>
      </c>
    </row>
    <row r="31">
      <c r="A31" s="12" t="inlineStr">
        <is>
          <t xml:space="preserve">D — Avoid: falência decreed, or </t>
        </is>
      </c>
      <c r="B31">
        <f>COUNTIF('CALL SHEET'!$U$2:$U$560,"D")</f>
        <v/>
      </c>
      <c r="C31" s="6">
        <f>SUMIF('CALL SHEET'!$U$2:$U$560,"D",'CALL SHEET'!$AB$2:$AB$560)</f>
        <v/>
      </c>
      <c r="E31" t="inlineStr">
        <is>
          <t>Conduscabos Brasil Indústria Comércio de</t>
        </is>
      </c>
      <c r="F31">
        <f>COUNTIF('CALL SHEET'!$C$2:$C$560,"Conduscabos Brasil Indústria Comércio de")</f>
        <v/>
      </c>
      <c r="G31" s="6">
        <f>SUMIF('CALL SHEET'!$C$2:$C$560,"Conduscabos Brasil Indústria Comércio de",'CALL SHEET'!$AB$2:$AB$560)</f>
        <v/>
      </c>
      <c r="H31">
        <f>COUNTIFS('CALL SHEET'!$C$2:$C$560,"Conduscabos Brasil Indústria Comércio de",'CALL SHEET'!$D$2:$D$560,"&lt;&gt;NEW")</f>
        <v/>
      </c>
      <c r="I31">
        <f>COUNTIFS('CALL SHEET'!$C$2:$C$560,"Conduscabos Brasil Indústria Comércio de",'CALL SHEET'!$D$2:$D$560,"INTERESTED")+COUNTIFS('CALL SHEET'!$C$2:$C$560,"Conduscabos Brasil Indústria Comércio de",'CALL SHEET'!$D$2:$D$560,"DEAL")</f>
        <v/>
      </c>
    </row>
    <row r="32">
      <c r="A32" s="13" t="inlineStr">
        <is>
          <t>? — Debtor could not be resolved</t>
        </is>
      </c>
      <c r="B32">
        <f>COUNTIF('CALL SHEET'!$U$2:$U$560,"?")</f>
        <v/>
      </c>
      <c r="C32" s="6">
        <f>SUMIF('CALL SHEET'!$U$2:$U$560,"?",'CALL SHEET'!$AB$2:$AB$560)</f>
        <v/>
      </c>
      <c r="E32" t="inlineStr">
        <is>
          <t>Grupo Arnon de Mello — Lindoso e Araujo</t>
        </is>
      </c>
      <c r="F32">
        <f>COUNTIF('CALL SHEET'!$C$2:$C$560,"Grupo Arnon de Mello — Lindoso e Araujo")</f>
        <v/>
      </c>
      <c r="G32" s="6">
        <f>SUMIF('CALL SHEET'!$C$2:$C$560,"Grupo Arnon de Mello — Lindoso e Araujo",'CALL SHEET'!$AB$2:$AB$560)</f>
        <v/>
      </c>
      <c r="H32">
        <f>COUNTIFS('CALL SHEET'!$C$2:$C$560,"Grupo Arnon de Mello — Lindoso e Araujo",'CALL SHEET'!$D$2:$D$560,"&lt;&gt;NEW")</f>
        <v/>
      </c>
      <c r="I32">
        <f>COUNTIFS('CALL SHEET'!$C$2:$C$560,"Grupo Arnon de Mello — Lindoso e Araujo",'CALL SHEET'!$D$2:$D$560,"INTERESTED")+COUNTIFS('CALL SHEET'!$C$2:$C$560,"Grupo Arnon de Mello — Lindoso e Araujo",'CALL SHEET'!$D$2:$D$560,"DEAL")</f>
        <v/>
      </c>
    </row>
    <row r="33">
      <c r="E33" t="inlineStr">
        <is>
          <t>REAL DISTRIBUIDORA ÚNICA RIO COMÉRCIO DE REFRIGERAÇÃO LTDA</t>
        </is>
      </c>
      <c r="F33">
        <f>COUNTIF('CALL SHEET'!$C$2:$C$560,"REAL DISTRIBUIDORA ÚNICA RIO COMÉRCIO DE REFRIGERAÇÃO LTDA")</f>
        <v/>
      </c>
      <c r="G33" s="6">
        <f>SUMIF('CALL SHEET'!$C$2:$C$560,"REAL DISTRIBUIDORA ÚNICA RIO COMÉRCIO DE REFRIGERAÇÃO LTDA",'CALL SHEET'!$AB$2:$AB$560)</f>
        <v/>
      </c>
      <c r="H33">
        <f>COUNTIFS('CALL SHEET'!$C$2:$C$560,"REAL DISTRIBUIDORA ÚNICA RIO COMÉRCIO DE REFRIGERAÇÃO LTDA",'CALL SHEET'!$D$2:$D$560,"&lt;&gt;NEW")</f>
        <v/>
      </c>
      <c r="I33">
        <f>COUNTIFS('CALL SHEET'!$C$2:$C$560,"REAL DISTRIBUIDORA ÚNICA RIO COMÉRCIO DE REFRIGERAÇÃO LTDA",'CALL SHEET'!$D$2:$D$560,"INTERESTED")+COUNTIFS('CALL SHEET'!$C$2:$C$560,"REAL DISTRIBUIDORA ÚNICA RIO COMÉRCIO DE REFRIGERAÇÃO LTDA",'CALL SHEET'!$D$2:$D$560,"DEAL")</f>
        <v/>
      </c>
    </row>
    <row r="34">
      <c r="A34" t="inlineStr">
        <is>
          <t>How to use: work the CALL SHEET top-down (it is sorted by our ágio). Set STATUS and NEXT DATE on every touch; this tab updates itself.</t>
        </is>
      </c>
    </row>
    <row r="35">
      <c r="A35" t="inlineStr">
        <is>
          <t>Bands: A plan approved · B live · C stale · D avoid. Quotes are a model off the Assumptions tab; the FACE VALUE and the PROOF link are court data.</t>
        </is>
      </c>
      <c r="E35" s="3" t="inlineStr">
        <is>
          <t>BY STATE</t>
        </is>
      </c>
      <c r="F35" s="3" t="inlineStr">
        <is>
          <t>leads</t>
        </is>
      </c>
      <c r="G35" s="3" t="inlineStr">
        <is>
          <t>ágio (R$)</t>
        </is>
      </c>
    </row>
    <row r="36">
      <c r="E36" t="inlineStr">
        <is>
          <t>SP</t>
        </is>
      </c>
      <c r="F36">
        <f>COUNTIF('CALL SHEET'!$AQ$2:$AQ$560,"SP")</f>
        <v/>
      </c>
      <c r="G36" s="6">
        <f>SUMIF('CALL SHEET'!$AQ$2:$AQ$560,"SP",'CALL SHEET'!$AB$2:$AB$560)</f>
        <v/>
      </c>
    </row>
    <row r="37">
      <c r="E37" t="inlineStr">
        <is>
          <t>PR</t>
        </is>
      </c>
      <c r="F37">
        <f>COUNTIF('CALL SHEET'!$AQ$2:$AQ$560,"PR")</f>
        <v/>
      </c>
      <c r="G37" s="6">
        <f>SUMIF('CALL SHEET'!$AQ$2:$AQ$560,"PR",'CALL SHEET'!$AB$2:$AB$560)</f>
        <v/>
      </c>
    </row>
    <row r="38">
      <c r="E38" t="inlineStr">
        <is>
          <t>SC</t>
        </is>
      </c>
      <c r="F38">
        <f>COUNTIF('CALL SHEET'!$AQ$2:$AQ$560,"SC")</f>
        <v/>
      </c>
      <c r="G38" s="6">
        <f>SUMIF('CALL SHEET'!$AQ$2:$AQ$560,"SC",'CALL SHEET'!$AB$2:$AB$560)</f>
        <v/>
      </c>
    </row>
    <row r="39">
      <c r="E39" t="inlineStr">
        <is>
          <t>RS</t>
        </is>
      </c>
      <c r="F39">
        <f>COUNTIF('CALL SHEET'!$AQ$2:$AQ$560,"RS")</f>
        <v/>
      </c>
      <c r="G39" s="6">
        <f>SUMIF('CALL SHEET'!$AQ$2:$AQ$560,"RS",'CALL SHEET'!$AB$2:$AB$560)</f>
        <v/>
      </c>
    </row>
    <row r="40">
      <c r="E40" t="inlineStr">
        <is>
          <t>PE</t>
        </is>
      </c>
      <c r="F40">
        <f>COUNTIF('CALL SHEET'!$AQ$2:$AQ$560,"PE")</f>
        <v/>
      </c>
      <c r="G40" s="6">
        <f>SUMIF('CALL SHEET'!$AQ$2:$AQ$560,"PE",'CALL SHEET'!$AB$2:$AB$560)</f>
        <v/>
      </c>
    </row>
    <row r="41">
      <c r="E41" t="inlineStr">
        <is>
          <t>GO</t>
        </is>
      </c>
      <c r="F41">
        <f>COUNTIF('CALL SHEET'!$AQ$2:$AQ$560,"GO")</f>
        <v/>
      </c>
      <c r="G41" s="6">
        <f>SUMIF('CALL SHEET'!$AQ$2:$AQ$560,"GO",'CALL SHEET'!$AB$2:$AB$560)</f>
        <v/>
      </c>
    </row>
    <row r="42">
      <c r="E42" t="inlineStr">
        <is>
          <t>MG</t>
        </is>
      </c>
      <c r="F42">
        <f>COUNTIF('CALL SHEET'!$AQ$2:$AQ$560,"MG")</f>
        <v/>
      </c>
      <c r="G42" s="6">
        <f>SUMIF('CALL SHEET'!$AQ$2:$AQ$560,"MG",'CALL SHEET'!$AB$2:$AB$560)</f>
        <v/>
      </c>
    </row>
    <row r="43">
      <c r="E43" t="inlineStr">
        <is>
          <t>RJ</t>
        </is>
      </c>
      <c r="F43">
        <f>COUNTIF('CALL SHEET'!$AQ$2:$AQ$560,"RJ")</f>
        <v/>
      </c>
      <c r="G43" s="6">
        <f>SUMIF('CALL SHEET'!$AQ$2:$AQ$560,"RJ",'CALL SHEET'!$AB$2:$AB$560)</f>
        <v/>
      </c>
    </row>
    <row r="44">
      <c r="E44" t="inlineStr">
        <is>
          <t>BA</t>
        </is>
      </c>
      <c r="F44">
        <f>COUNTIF('CALL SHEET'!$AQ$2:$AQ$560,"BA")</f>
        <v/>
      </c>
      <c r="G44" s="6">
        <f>SUMIF('CALL SHEET'!$AQ$2:$AQ$560,"BA",'CALL SHEET'!$AB$2:$AB$560)</f>
        <v/>
      </c>
    </row>
    <row r="45">
      <c r="E45" t="inlineStr">
        <is>
          <t>AM</t>
        </is>
      </c>
      <c r="F45">
        <f>COUNTIF('CALL SHEET'!$AQ$2:$AQ$560,"AM")</f>
        <v/>
      </c>
      <c r="G45" s="6">
        <f>SUMIF('CALL SHEET'!$AQ$2:$AQ$560,"AM",'CALL SHEET'!$AB$2:$AB$560)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56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0" customWidth="1" min="1" max="1"/>
    <col width="17" customWidth="1" min="2" max="2"/>
    <col width="36" customWidth="1" min="3" max="3"/>
    <col width="15" customWidth="1" min="4" max="4"/>
    <col width="11" customWidth="1" min="5" max="5"/>
    <col width="22" customWidth="1" min="6" max="6"/>
    <col width="11" customWidth="1" min="7" max="7"/>
    <col width="38" customWidth="1" min="8" max="8"/>
    <col width="30" customWidth="1" min="9" max="9"/>
    <col width="18" customWidth="1" min="10" max="10"/>
    <col width="16" customWidth="1" min="11" max="11"/>
    <col width="16" customWidth="1" min="12" max="12"/>
    <col width="16" customWidth="1" min="13" max="13"/>
    <col width="30" customWidth="1" min="14" max="14"/>
    <col width="26" customWidth="1" min="15" max="15"/>
    <col width="28" customWidth="1" min="16" max="16"/>
    <col width="18" customWidth="1" min="17" max="17"/>
    <col width="16" customWidth="1" min="18" max="18"/>
    <col width="28" customWidth="1" min="19" max="19"/>
    <col width="17" customWidth="1" min="20" max="20"/>
    <col width="8" customWidth="1" min="21" max="21"/>
    <col width="9" customWidth="1" min="22" max="22"/>
    <col width="8" customWidth="1" min="23" max="23"/>
    <col width="17" customWidth="1" min="24" max="24"/>
    <col width="7" customWidth="1" min="25" max="25"/>
    <col width="17" customWidth="1" min="26" max="26"/>
    <col width="7" customWidth="1" min="27" max="27"/>
    <col width="16" customWidth="1" min="28" max="28"/>
    <col width="8" customWidth="1" min="29" max="29"/>
    <col width="12" customWidth="1" min="30" max="30"/>
    <col width="50" customWidth="1" min="31" max="31"/>
    <col width="16" customWidth="1" min="32" max="32"/>
    <col width="30" customWidth="1" min="33" max="33"/>
    <col width="11" customWidth="1" min="34" max="34"/>
    <col width="11" customWidth="1" min="35" max="35"/>
    <col width="13" customWidth="1" min="36" max="36"/>
    <col width="26" customWidth="1" min="37" max="37"/>
    <col width="7" customWidth="1" min="38" max="38"/>
    <col width="11" customWidth="1" min="39" max="39"/>
    <col width="7" customWidth="1" min="40" max="40"/>
    <col width="40" customWidth="1" min="41" max="41"/>
    <col width="18" customWidth="1" min="42" max="42"/>
    <col width="5" customWidth="1" min="43" max="43"/>
    <col width="34" customWidth="1" min="44" max="44"/>
    <col width="10" customWidth="1" min="45" max="45"/>
    <col width="13" customWidth="1" min="46" max="46"/>
    <col width="10" customWidth="1" min="47" max="47"/>
    <col width="6" customWidth="1" min="48" max="48"/>
    <col width="30" customWidth="1" min="49" max="49"/>
  </cols>
  <sheetData>
    <row r="1" ht="34" customHeight="1">
      <c r="A1" s="14" t="inlineStr">
        <is>
          <t>CREDITOR — company owed money</t>
        </is>
      </c>
      <c r="B1" s="14" t="inlineStr">
        <is>
          <t>AMOUNT OWED (R$)</t>
        </is>
      </c>
      <c r="C1" s="14" t="inlineStr">
        <is>
          <t>DEBTOR — company in RJ</t>
        </is>
      </c>
      <c r="D1" s="14" t="inlineStr">
        <is>
          <t>STATUS</t>
        </is>
      </c>
      <c r="E1" s="14" t="inlineStr">
        <is>
          <t>LAST TOUCH</t>
        </is>
      </c>
      <c r="F1" s="14" t="inlineStr">
        <is>
          <t>NEXT ACTION</t>
        </is>
      </c>
      <c r="G1" s="14" t="inlineStr">
        <is>
          <t>NEXT DATE</t>
        </is>
      </c>
      <c r="H1" s="14" t="inlineStr">
        <is>
          <t>NOTES</t>
        </is>
      </c>
      <c r="I1" s="14" t="inlineStr">
        <is>
          <t>DECISION MAKER</t>
        </is>
      </c>
      <c r="J1" s="14" t="inlineStr">
        <is>
          <t>Role</t>
        </is>
      </c>
      <c r="K1" s="14" t="inlineStr">
        <is>
          <t>Phone 1</t>
        </is>
      </c>
      <c r="L1" s="14" t="inlineStr">
        <is>
          <t>Phone 2</t>
        </is>
      </c>
      <c r="M1" s="14" t="inlineStr">
        <is>
          <t>Mobile (Apollo)</t>
        </is>
      </c>
      <c r="N1" s="14" t="inlineStr">
        <is>
          <t>Email</t>
        </is>
      </c>
      <c r="O1" s="14" t="inlineStr">
        <is>
          <t>Email 2</t>
        </is>
      </c>
      <c r="P1" s="14" t="inlineStr">
        <is>
          <t>BACKUP CONTACT</t>
        </is>
      </c>
      <c r="Q1" s="14" t="inlineStr">
        <is>
          <t>Backup role</t>
        </is>
      </c>
      <c r="R1" s="14" t="inlineStr">
        <is>
          <t>Backup phone</t>
        </is>
      </c>
      <c r="S1" s="14" t="inlineStr">
        <is>
          <t>Backup email</t>
        </is>
      </c>
      <c r="T1" s="14" t="inlineStr">
        <is>
          <t>FACE VALUE (as printed)</t>
        </is>
      </c>
      <c r="U1" s="14" t="inlineStr">
        <is>
          <t>DEBTOR BAND</t>
        </is>
      </c>
      <c r="V1" s="14" t="inlineStr">
        <is>
          <t>Exp. recovery %</t>
        </is>
      </c>
      <c r="W1" s="14" t="inlineStr">
        <is>
          <t>Years to payment</t>
        </is>
      </c>
      <c r="X1" s="14" t="inlineStr">
        <is>
          <t>FUND PRICE @ IRR (R$)</t>
        </is>
      </c>
      <c r="Y1" s="14" t="inlineStr">
        <is>
          <t>cents</t>
        </is>
      </c>
      <c r="Z1" s="14" t="inlineStr">
        <is>
          <t>OUR QUOTE (R$)</t>
        </is>
      </c>
      <c r="AA1" s="14" t="inlineStr">
        <is>
          <t>cents</t>
        </is>
      </c>
      <c r="AB1" s="14" t="inlineStr">
        <is>
          <t>OUR ÁGIO (R$)</t>
        </is>
      </c>
      <c r="AC1" s="14" t="inlineStr">
        <is>
          <t>Ágio pts of face</t>
        </is>
      </c>
      <c r="AD1" s="14" t="inlineStr">
        <is>
          <t>Plan status</t>
        </is>
      </c>
      <c r="AE1" s="14" t="inlineStr">
        <is>
          <t>PROOF: source document</t>
        </is>
      </c>
      <c r="AF1" s="14" t="inlineStr">
        <is>
          <t>Page / row</t>
        </is>
      </c>
      <c r="AG1" s="14" t="inlineStr">
        <is>
          <t>Value as printed</t>
        </is>
      </c>
      <c r="AH1" s="14" t="inlineStr">
        <is>
          <t>Which list</t>
        </is>
      </c>
      <c r="AI1" s="14" t="inlineStr">
        <is>
          <t>Published</t>
        </is>
      </c>
      <c r="AJ1" s="14" t="inlineStr">
        <is>
          <t>Reconciled</t>
        </is>
      </c>
      <c r="AK1" s="14" t="inlineStr">
        <is>
          <t>Case number</t>
        </is>
      </c>
      <c r="AL1" s="14" t="inlineStr">
        <is>
          <t>Court</t>
        </is>
      </c>
      <c r="AM1" s="14" t="inlineStr">
        <is>
          <t>Stage</t>
        </is>
      </c>
      <c r="AN1" s="14" t="inlineStr">
        <is>
          <t>Filed</t>
        </is>
      </c>
      <c r="AO1" s="14" t="inlineStr">
        <is>
          <t>Band reason</t>
        </is>
      </c>
      <c r="AP1" s="14" t="inlineStr">
        <is>
          <t>City</t>
        </is>
      </c>
      <c r="AQ1" s="14" t="inlineStr">
        <is>
          <t>UF</t>
        </is>
      </c>
      <c r="AR1" s="14" t="inlineStr">
        <is>
          <t>Sector</t>
        </is>
      </c>
      <c r="AS1" s="14" t="inlineStr">
        <is>
          <t>Size</t>
        </is>
      </c>
      <c r="AT1" s="14" t="inlineStr">
        <is>
          <t>Seller fit</t>
        </is>
      </c>
      <c r="AU1" s="14" t="inlineStr">
        <is>
          <t>CNPJ root</t>
        </is>
      </c>
      <c r="AV1" s="14" t="inlineStr">
        <is>
          <t>Claims</t>
        </is>
      </c>
      <c r="AW1" s="14" t="inlineStr">
        <is>
          <t>Flags</t>
        </is>
      </c>
    </row>
    <row r="2">
      <c r="A2" s="15" t="inlineStr">
        <is>
          <t>DM CONSTRUTORA DE OBRAS LTDA</t>
        </is>
      </c>
      <c r="B2" s="16" t="n">
        <v>178052183.86</v>
      </c>
      <c r="C2" s="17" t="inlineStr">
        <is>
          <t>KADIMA EMPREENDIMENTOS E PARTICIPACOES EM RECUPERACAO JUDICIAL</t>
        </is>
      </c>
      <c r="D2" s="18" t="inlineStr">
        <is>
          <t>NEW</t>
        </is>
      </c>
      <c r="E2" s="19" t="inlineStr"/>
      <c r="F2" s="18" t="inlineStr"/>
      <c r="G2" s="19" t="inlineStr"/>
      <c r="H2" s="18" t="inlineStr"/>
      <c r="I2" s="20" t="inlineStr">
        <is>
          <t>Giovano Fantin</t>
        </is>
      </c>
      <c r="J2" s="20" t="inlineStr">
        <is>
          <t>VP</t>
        </is>
      </c>
      <c r="K2" s="20" t="inlineStr">
        <is>
          <t>(41) 3313-8000</t>
        </is>
      </c>
      <c r="L2" s="20" t="inlineStr">
        <is>
          <t>(41) 3313-8090</t>
        </is>
      </c>
      <c r="M2" s="20" t="inlineStr"/>
      <c r="N2" s="20" t="inlineStr">
        <is>
          <t>giovano@dmconstrutora.com.br</t>
        </is>
      </c>
      <c r="O2" s="20" t="inlineStr"/>
      <c r="P2" s="20" t="inlineStr"/>
      <c r="Q2" s="20" t="inlineStr"/>
      <c r="R2" s="20" t="inlineStr"/>
      <c r="S2" s="20" t="inlineStr"/>
      <c r="T2" s="21" t="n">
        <v>178052183.86</v>
      </c>
      <c r="U2" s="22" t="inlineStr">
        <is>
          <t>B</t>
        </is>
      </c>
      <c r="V2" s="23">
        <f>IFERROR(VLOOKUP(U2,Assumptions!$A$7:$D$11,2,FALSE),0)</f>
        <v/>
      </c>
      <c r="W2" s="24">
        <f>MAX(0.5,IFERROR(VLOOKUP(U2,Assumptions!$A$7:$D$11,3,FALSE),3)+IFERROR(VLOOKUP(U2,Assumptions!$A$7:$D$11,4,FALSE),8)/2-IF(AN2="",0,YEAR(TODAY())-AN2))</f>
        <v/>
      </c>
      <c r="X2" s="21">
        <f>T2*V2/(1+Assumptions!$B$3)^W2</f>
        <v/>
      </c>
      <c r="Y2" s="25">
        <f>IF(T2=0,"",ROUND(X2/T2*100,1))</f>
        <v/>
      </c>
      <c r="Z2" s="26">
        <f>X2*Assumptions!$B$4</f>
        <v/>
      </c>
      <c r="AA2" s="25">
        <f>IF(T2=0,"",ROUND(Z2/T2*100,1))</f>
        <v/>
      </c>
      <c r="AB2" s="26">
        <f>X2-Z2</f>
        <v/>
      </c>
      <c r="AC2" s="25">
        <f>IF(T2=0,"",ROUND((X2-Z2)/T2*100,1))</f>
        <v/>
      </c>
      <c r="AD2" s="27" t="inlineStr">
        <is>
          <t>ESTIMATED</t>
        </is>
      </c>
      <c r="AE2" s="28" t="inlineStr">
        <is>
          <t>https://marquesadmjudicial.com.br/sgc/download.php?file=files/processo_documento/processo_documento19270817122025_1_.pdf&amp;nome=Relação Nominal de Credores AJ</t>
        </is>
      </c>
      <c r="AF2" s="27" t="inlineStr">
        <is>
          <t>p4 r8</t>
        </is>
      </c>
      <c r="AG2" s="27" t="inlineStr">
        <is>
          <t>p4: R$ 178.052.183,86</t>
        </is>
      </c>
      <c r="AH2" s="27" t="inlineStr">
        <is>
          <t>AJ_LIST</t>
        </is>
      </c>
      <c r="AI2" s="27" t="inlineStr">
        <is>
          <t>2025-12-17</t>
        </is>
      </c>
      <c r="AJ2" s="27" t="inlineStr">
        <is>
          <t>OK</t>
        </is>
      </c>
      <c r="AK2" s="29" t="inlineStr">
        <is>
          <t>0016033-22.2025.8.16.0017</t>
        </is>
      </c>
      <c r="AL2" s="29" t="inlineStr">
        <is>
          <t>TJPR</t>
        </is>
      </c>
      <c r="AM2" s="29" t="inlineStr">
        <is>
          <t>ACTIVE</t>
        </is>
      </c>
      <c r="AN2" s="29" t="n">
        <v>2025</v>
      </c>
      <c r="AO2" s="29" t="inlineStr">
        <is>
          <t>live case, no plan document yet</t>
        </is>
      </c>
      <c r="AP2" s="29" t="inlineStr">
        <is>
          <t>CURITIBA</t>
        </is>
      </c>
      <c r="AQ2" s="29" t="inlineStr">
        <is>
          <t>PR</t>
        </is>
      </c>
      <c r="AR2" s="29" t="inlineStr">
        <is>
          <t>Construção de rodovias e ferrovias</t>
        </is>
      </c>
      <c r="AS2" s="29" t="inlineStr">
        <is>
          <t>DEMAIS</t>
        </is>
      </c>
      <c r="AT2" s="29" t="inlineStr">
        <is>
          <t>MID-MARKET</t>
        </is>
      </c>
      <c r="AU2" s="29" t="inlineStr">
        <is>
          <t>76483726</t>
        </is>
      </c>
      <c r="AV2" s="29" t="n">
        <v>1</v>
      </c>
      <c r="AW2" s="29" t="inlineStr">
        <is>
          <t>ROWS:p4r8</t>
        </is>
      </c>
    </row>
    <row r="3">
      <c r="A3" s="15" t="inlineStr">
        <is>
          <t>PETROLEO BRASILEIRO S A PETROBRAS</t>
        </is>
      </c>
      <c r="B3" s="16" t="n">
        <v>330054762.86</v>
      </c>
      <c r="C3" s="17" t="inlineStr">
        <is>
          <t>EGESA ENGENHARIA S/A (Consórcio ETDI)</t>
        </is>
      </c>
      <c r="D3" s="18" t="inlineStr">
        <is>
          <t>NEW</t>
        </is>
      </c>
      <c r="E3" s="19" t="inlineStr"/>
      <c r="F3" s="18" t="inlineStr"/>
      <c r="G3" s="19" t="inlineStr"/>
      <c r="H3" s="18" t="inlineStr"/>
      <c r="I3" s="20" t="inlineStr">
        <is>
          <t>MAGDA MARIA DE REGINA CHAMBRIARD</t>
        </is>
      </c>
      <c r="J3" s="20" t="inlineStr">
        <is>
          <t>Presidente</t>
        </is>
      </c>
      <c r="K3" s="20" t="inlineStr">
        <is>
          <t>(21) 2166-0000</t>
        </is>
      </c>
      <c r="L3" s="20" t="inlineStr"/>
      <c r="M3" s="20" t="inlineStr"/>
      <c r="N3" s="20" t="inlineStr"/>
      <c r="O3" s="20" t="inlineStr"/>
      <c r="P3" s="20" t="inlineStr">
        <is>
          <t>ANGELICA GARCIA COBAS LAUREANO</t>
        </is>
      </c>
      <c r="Q3" s="20" t="inlineStr">
        <is>
          <t>Diretor</t>
        </is>
      </c>
      <c r="R3" s="20" t="inlineStr">
        <is>
          <t>(21) 2166-0000</t>
        </is>
      </c>
      <c r="S3" s="20" t="inlineStr"/>
      <c r="T3" s="21" t="n">
        <v>330054762.86</v>
      </c>
      <c r="U3" s="30" t="inlineStr">
        <is>
          <t>?</t>
        </is>
      </c>
      <c r="V3" s="23">
        <f>IFERROR(VLOOKUP(U3,Assumptions!$A$7:$D$11,2,FALSE),0)</f>
        <v/>
      </c>
      <c r="W3" s="24">
        <f>MAX(0.5,IFERROR(VLOOKUP(U3,Assumptions!$A$7:$D$11,3,FALSE),3)+IFERROR(VLOOKUP(U3,Assumptions!$A$7:$D$11,4,FALSE),8)/2-IF(AN3="",0,YEAR(TODAY())-AN3))</f>
        <v/>
      </c>
      <c r="X3" s="21">
        <f>T3*V3/(1+Assumptions!$B$3)^W3</f>
        <v/>
      </c>
      <c r="Y3" s="25">
        <f>IF(T3=0,"",ROUND(X3/T3*100,1))</f>
        <v/>
      </c>
      <c r="Z3" s="26">
        <f>X3*Assumptions!$B$4</f>
        <v/>
      </c>
      <c r="AA3" s="25">
        <f>IF(T3=0,"",ROUND(Z3/T3*100,1))</f>
        <v/>
      </c>
      <c r="AB3" s="26">
        <f>X3-Z3</f>
        <v/>
      </c>
      <c r="AC3" s="25">
        <f>IF(T3=0,"",ROUND((X3-Z3)/T3*100,1))</f>
        <v/>
      </c>
      <c r="AD3" s="27" t="inlineStr">
        <is>
          <t>UNKNOWN</t>
        </is>
      </c>
      <c r="AE3" s="28" t="inlineStr">
        <is>
          <t>https://scalzilliaj.com.br/sgc/download.php?file=files/processo_documento/processo_documento09514021082025_1_.pdf&amp;nome=04 - Relação de credores das Recuperandas</t>
        </is>
      </c>
      <c r="AF3" s="27" t="inlineStr">
        <is>
          <t>p71 r9</t>
        </is>
      </c>
      <c r="AG3" s="27" t="inlineStr">
        <is>
          <t>p71: R$ 330.054.762,86</t>
        </is>
      </c>
      <c r="AH3" s="27" t="inlineStr">
        <is>
          <t>DEBTOR_LIST</t>
        </is>
      </c>
      <c r="AI3" s="27" t="inlineStr"/>
      <c r="AJ3" s="27" t="inlineStr">
        <is>
          <t>OK</t>
        </is>
      </c>
      <c r="AK3" s="29" t="inlineStr">
        <is>
          <t>(not printed)</t>
        </is>
      </c>
      <c r="AL3" s="29" t="inlineStr"/>
      <c r="AM3" s="29" t="inlineStr"/>
      <c r="AN3" s="29" t="inlineStr"/>
      <c r="AO3" s="29" t="inlineStr">
        <is>
          <t>RJ case number not identified on the document</t>
        </is>
      </c>
      <c r="AP3" s="29" t="inlineStr">
        <is>
          <t>RIO DE JANEIRO</t>
        </is>
      </c>
      <c r="AQ3" s="29" t="inlineStr">
        <is>
          <t>RJ</t>
        </is>
      </c>
      <c r="AR3" s="29" t="inlineStr">
        <is>
          <t>Extração de petróleo e gás natural</t>
        </is>
      </c>
      <c r="AS3" s="29" t="inlineStr">
        <is>
          <t>DEMAIS</t>
        </is>
      </c>
      <c r="AT3" s="29" t="inlineStr">
        <is>
          <t>LARGE CORP</t>
        </is>
      </c>
      <c r="AU3" s="29" t="inlineStr">
        <is>
          <t>33000167</t>
        </is>
      </c>
      <c r="AV3" s="29" t="n">
        <v>1</v>
      </c>
      <c r="AW3" s="29" t="inlineStr">
        <is>
          <t>ROWS:p71r9 VALUE_COL:Valor_Atualizado CASE_NUMBER_CORRECTED</t>
        </is>
      </c>
    </row>
    <row r="4">
      <c r="A4" s="15" t="inlineStr">
        <is>
          <t>TAG INDUSTRIA E LAMINACAO LTDA</t>
        </is>
      </c>
      <c r="B4" s="16" t="n">
        <v>64713515.06</v>
      </c>
      <c r="C4" s="17" t="inlineStr">
        <is>
          <t>Conduscabos Brasil Indústria Comércio de</t>
        </is>
      </c>
      <c r="D4" s="18" t="inlineStr">
        <is>
          <t>NEW</t>
        </is>
      </c>
      <c r="E4" s="19" t="inlineStr"/>
      <c r="F4" s="18" t="inlineStr"/>
      <c r="G4" s="19" t="inlineStr"/>
      <c r="H4" s="18" t="inlineStr"/>
      <c r="I4" s="20" t="inlineStr">
        <is>
          <t>TIAGO RODRIGO DETTILIO</t>
        </is>
      </c>
      <c r="J4" s="20" t="inlineStr">
        <is>
          <t>Administrador</t>
        </is>
      </c>
      <c r="K4" s="20" t="inlineStr">
        <is>
          <t>(11) 4463-4833</t>
        </is>
      </c>
      <c r="L4" s="20" t="inlineStr"/>
      <c r="M4" s="20" t="inlineStr"/>
      <c r="N4" s="20" t="inlineStr"/>
      <c r="O4" s="20" t="inlineStr"/>
      <c r="P4" s="20" t="inlineStr">
        <is>
          <t>WEBER MICAEL DA SILVA</t>
        </is>
      </c>
      <c r="Q4" s="20" t="inlineStr">
        <is>
          <t>Administrador</t>
        </is>
      </c>
      <c r="R4" s="20" t="inlineStr">
        <is>
          <t>(11) 4463-4833</t>
        </is>
      </c>
      <c r="S4" s="20" t="inlineStr"/>
      <c r="T4" s="21" t="n">
        <v>64713515.06</v>
      </c>
      <c r="U4" s="22" t="inlineStr">
        <is>
          <t>B</t>
        </is>
      </c>
      <c r="V4" s="23">
        <f>IFERROR(VLOOKUP(U4,Assumptions!$A$7:$D$11,2,FALSE),0)</f>
        <v/>
      </c>
      <c r="W4" s="24">
        <f>MAX(0.5,IFERROR(VLOOKUP(U4,Assumptions!$A$7:$D$11,3,FALSE),3)+IFERROR(VLOOKUP(U4,Assumptions!$A$7:$D$11,4,FALSE),8)/2-IF(AN4="",0,YEAR(TODAY())-AN4))</f>
        <v/>
      </c>
      <c r="X4" s="21">
        <f>T4*V4/(1+Assumptions!$B$3)^W4</f>
        <v/>
      </c>
      <c r="Y4" s="25">
        <f>IF(T4=0,"",ROUND(X4/T4*100,1))</f>
        <v/>
      </c>
      <c r="Z4" s="26">
        <f>X4*Assumptions!$B$4</f>
        <v/>
      </c>
      <c r="AA4" s="25">
        <f>IF(T4=0,"",ROUND(Z4/T4*100,1))</f>
        <v/>
      </c>
      <c r="AB4" s="26">
        <f>X4-Z4</f>
        <v/>
      </c>
      <c r="AC4" s="25">
        <f>IF(T4=0,"",ROUND((X4-Z4)/T4*100,1))</f>
        <v/>
      </c>
      <c r="AD4" s="27" t="inlineStr">
        <is>
          <t>ESTIMATED</t>
        </is>
      </c>
      <c r="AE4" s="28" t="inlineStr">
        <is>
          <t>https://assistjud.com.br/wp-content/uploads/elementor/forms/65098c80a5824.pdf</t>
        </is>
      </c>
      <c r="AF4" s="27" t="inlineStr">
        <is>
          <t>p10 r4; p19 r8</t>
        </is>
      </c>
      <c r="AG4" s="27" t="inlineStr">
        <is>
          <t>p10: R$ 32.731.819,08; p19: R$ 31.981.695,98</t>
        </is>
      </c>
      <c r="AH4" s="27" t="inlineStr">
        <is>
          <t>AJ_LIST</t>
        </is>
      </c>
      <c r="AI4" s="27" t="inlineStr">
        <is>
          <t>2023-09-18</t>
        </is>
      </c>
      <c r="AJ4" s="27" t="inlineStr">
        <is>
          <t>OK_NO_TOTALS</t>
        </is>
      </c>
      <c r="AK4" s="29" t="inlineStr">
        <is>
          <t>8005129-09.2023.8.05.0039</t>
        </is>
      </c>
      <c r="AL4" s="29" t="inlineStr">
        <is>
          <t>TJBA</t>
        </is>
      </c>
      <c r="AM4" s="29" t="inlineStr">
        <is>
          <t>ACTIVE</t>
        </is>
      </c>
      <c r="AN4" s="29" t="n">
        <v>2023</v>
      </c>
      <c r="AO4" s="29" t="inlineStr">
        <is>
          <t>live case, no plan document yet</t>
        </is>
      </c>
      <c r="AP4" s="29" t="inlineStr">
        <is>
          <t>SAO PAULO</t>
        </is>
      </c>
      <c r="AQ4" s="29" t="inlineStr">
        <is>
          <t>SP</t>
        </is>
      </c>
      <c r="AR4" s="29" t="inlineStr">
        <is>
          <t>Outras atividades profissionais, científicas e técnicas não especificadas anteriormente</t>
        </is>
      </c>
      <c r="AS4" s="29" t="inlineStr">
        <is>
          <t>DEMAIS</t>
        </is>
      </c>
      <c r="AT4" s="29" t="inlineStr">
        <is>
          <t>MID-MARKET</t>
        </is>
      </c>
      <c r="AU4" s="29" t="inlineStr">
        <is>
          <t>33233778</t>
        </is>
      </c>
      <c r="AV4" s="29" t="n">
        <v>2</v>
      </c>
      <c r="AW4" s="29" t="inlineStr">
        <is>
          <t>ROWS:p10r4,p19r8 UNRECONCILED_SOURCE</t>
        </is>
      </c>
    </row>
    <row r="5">
      <c r="A5" s="15" t="inlineStr">
        <is>
          <t>COMPANHIA ESTADUAL DE DISTRIBUICAO DE ENERGIA ELETRICA - CEEE-D</t>
        </is>
      </c>
      <c r="B5" s="16" t="n">
        <v>31446843.91</v>
      </c>
      <c r="C5" s="17" t="inlineStr">
        <is>
          <t>ASSOCIACAO DE CARIDADE SANTA CASA DE RIO GRANDE</t>
        </is>
      </c>
      <c r="D5" s="18" t="inlineStr">
        <is>
          <t>NEW</t>
        </is>
      </c>
      <c r="E5" s="19" t="inlineStr"/>
      <c r="F5" s="18" t="inlineStr"/>
      <c r="G5" s="19" t="inlineStr"/>
      <c r="H5" s="18" t="inlineStr"/>
      <c r="I5" s="20" t="inlineStr">
        <is>
          <t>Willian Maeda</t>
        </is>
      </c>
      <c r="J5" s="20" t="inlineStr">
        <is>
          <t>Gerente de Planejamento e Controle Financeiro - CEEE Equatorial</t>
        </is>
      </c>
      <c r="K5" s="20" t="inlineStr">
        <is>
          <t>(98) 3217-8000</t>
        </is>
      </c>
      <c r="L5" s="20" t="inlineStr"/>
      <c r="M5" s="20" t="inlineStr"/>
      <c r="N5" s="20" t="inlineStr">
        <is>
          <t>willian.maeda@equatorialenergia.com.br</t>
        </is>
      </c>
      <c r="O5" s="20" t="inlineStr"/>
      <c r="P5" s="20" t="inlineStr">
        <is>
          <t>Nairton Iwen</t>
        </is>
      </c>
      <c r="Q5" s="20" t="inlineStr">
        <is>
          <t>Controller IOP</t>
        </is>
      </c>
      <c r="R5" s="20" t="inlineStr"/>
      <c r="S5" s="20" t="inlineStr"/>
      <c r="T5" s="21" t="n">
        <v>31446843.91</v>
      </c>
      <c r="U5" s="22" t="inlineStr">
        <is>
          <t>B</t>
        </is>
      </c>
      <c r="V5" s="23">
        <f>IFERROR(VLOOKUP(U5,Assumptions!$A$7:$D$11,2,FALSE),0)</f>
        <v/>
      </c>
      <c r="W5" s="24">
        <f>MAX(0.5,IFERROR(VLOOKUP(U5,Assumptions!$A$7:$D$11,3,FALSE),3)+IFERROR(VLOOKUP(U5,Assumptions!$A$7:$D$11,4,FALSE),8)/2-IF(AN5="",0,YEAR(TODAY())-AN5))</f>
        <v/>
      </c>
      <c r="X5" s="21">
        <f>T5*V5/(1+Assumptions!$B$3)^W5</f>
        <v/>
      </c>
      <c r="Y5" s="25">
        <f>IF(T5=0,"",ROUND(X5/T5*100,1))</f>
        <v/>
      </c>
      <c r="Z5" s="26">
        <f>X5*Assumptions!$B$4</f>
        <v/>
      </c>
      <c r="AA5" s="25">
        <f>IF(T5=0,"",ROUND(Z5/T5*100,1))</f>
        <v/>
      </c>
      <c r="AB5" s="26">
        <f>X5-Z5</f>
        <v/>
      </c>
      <c r="AC5" s="25">
        <f>IF(T5=0,"",ROUND((X5-Z5)/T5*100,1))</f>
        <v/>
      </c>
      <c r="AD5" s="27" t="inlineStr">
        <is>
          <t>ESTIMATED</t>
        </is>
      </c>
      <c r="AE5" s="28" t="inlineStr">
        <is>
          <t>https://scalzilliaj.com.br/sgc/download.php?file=files/processo_documento/processo_documento09120721032023_1_.pdf&amp;nome=15 - Edital do art. 7º, §2º e 53 da Lei 11.101/2005 (segunda lista de credores e recebimento do plano))</t>
        </is>
      </c>
      <c r="AF5" s="27" t="inlineStr">
        <is>
          <t>p26 r26</t>
        </is>
      </c>
      <c r="AG5" s="27" t="inlineStr">
        <is>
          <t>p26: R$ 31.446.843,91</t>
        </is>
      </c>
      <c r="AH5" s="27" t="inlineStr">
        <is>
          <t>AJ_LIST</t>
        </is>
      </c>
      <c r="AI5" s="27" t="inlineStr">
        <is>
          <t>2023-03-21</t>
        </is>
      </c>
      <c r="AJ5" s="27" t="inlineStr">
        <is>
          <t>OK_NO_TOTALS</t>
        </is>
      </c>
      <c r="AK5" s="29" t="inlineStr">
        <is>
          <t>5012306-16.2022.8.21.0023</t>
        </is>
      </c>
      <c r="AL5" s="29" t="inlineStr">
        <is>
          <t>TJRS</t>
        </is>
      </c>
      <c r="AM5" s="29" t="inlineStr">
        <is>
          <t>ACTIVE</t>
        </is>
      </c>
      <c r="AN5" s="29" t="n">
        <v>2022</v>
      </c>
      <c r="AO5" s="29" t="inlineStr">
        <is>
          <t>live case, no plan document yet</t>
        </is>
      </c>
      <c r="AP5" s="29" t="inlineStr">
        <is>
          <t>PORTO ALEGRE</t>
        </is>
      </c>
      <c r="AQ5" s="29" t="inlineStr">
        <is>
          <t>RS</t>
        </is>
      </c>
      <c r="AR5" s="29" t="inlineStr">
        <is>
          <t>Distribuição de energia elétrica</t>
        </is>
      </c>
      <c r="AS5" s="29" t="inlineStr">
        <is>
          <t>DEMAIS</t>
        </is>
      </c>
      <c r="AT5" s="29" t="inlineStr">
        <is>
          <t>LARGE CORP</t>
        </is>
      </c>
      <c r="AU5" s="29" t="inlineStr">
        <is>
          <t>08467115</t>
        </is>
      </c>
      <c r="AV5" s="29" t="n">
        <v>1</v>
      </c>
      <c r="AW5" s="29" t="inlineStr">
        <is>
          <t>ROWS:p26r26 UNRECONCILED_SOURCE</t>
        </is>
      </c>
    </row>
    <row r="6">
      <c r="A6" s="15" t="inlineStr">
        <is>
          <t>HYPERA S.A.</t>
        </is>
      </c>
      <c r="B6" s="16" t="n">
        <v>25912507.68</v>
      </c>
      <c r="C6" s="17" t="inlineStr">
        <is>
          <t>VEV COMERCIO DE MEDICAMENTOS LTDA EM RECUPERACAO JUDICIAL</t>
        </is>
      </c>
      <c r="D6" s="18" t="inlineStr">
        <is>
          <t>NEW</t>
        </is>
      </c>
      <c r="E6" s="19" t="inlineStr"/>
      <c r="F6" s="18" t="inlineStr"/>
      <c r="G6" s="19" t="inlineStr"/>
      <c r="H6" s="18" t="inlineStr"/>
      <c r="I6" s="20" t="inlineStr">
        <is>
          <t>BRENO TOLEDO PIRES DE OLIVEIRA</t>
        </is>
      </c>
      <c r="J6" s="20" t="inlineStr">
        <is>
          <t>Presidente</t>
        </is>
      </c>
      <c r="K6" s="20" t="inlineStr">
        <is>
          <t>(62) 3878-8150</t>
        </is>
      </c>
      <c r="L6" s="20" t="inlineStr"/>
      <c r="M6" s="20" t="inlineStr"/>
      <c r="N6" s="20" t="inlineStr"/>
      <c r="O6" s="20" t="inlineStr"/>
      <c r="P6" s="20" t="inlineStr">
        <is>
          <t>ADALMARIO GHOVATTO SATHELER DO COUTO</t>
        </is>
      </c>
      <c r="Q6" s="20" t="inlineStr">
        <is>
          <t>Diretor</t>
        </is>
      </c>
      <c r="R6" s="20" t="inlineStr">
        <is>
          <t>(62) 3878-8150</t>
        </is>
      </c>
      <c r="S6" s="20" t="inlineStr"/>
      <c r="T6" s="21" t="n">
        <v>25912507.68</v>
      </c>
      <c r="U6" s="22" t="inlineStr">
        <is>
          <t>B</t>
        </is>
      </c>
      <c r="V6" s="23">
        <f>IFERROR(VLOOKUP(U6,Assumptions!$A$7:$D$11,2,FALSE),0)</f>
        <v/>
      </c>
      <c r="W6" s="24">
        <f>MAX(0.5,IFERROR(VLOOKUP(U6,Assumptions!$A$7:$D$11,3,FALSE),3)+IFERROR(VLOOKUP(U6,Assumptions!$A$7:$D$11,4,FALSE),8)/2-IF(AN6="",0,YEAR(TODAY())-AN6))</f>
        <v/>
      </c>
      <c r="X6" s="21">
        <f>T6*V6/(1+Assumptions!$B$3)^W6</f>
        <v/>
      </c>
      <c r="Y6" s="25">
        <f>IF(T6=0,"",ROUND(X6/T6*100,1))</f>
        <v/>
      </c>
      <c r="Z6" s="26">
        <f>X6*Assumptions!$B$4</f>
        <v/>
      </c>
      <c r="AA6" s="25">
        <f>IF(T6=0,"",ROUND(Z6/T6*100,1))</f>
        <v/>
      </c>
      <c r="AB6" s="26">
        <f>X6-Z6</f>
        <v/>
      </c>
      <c r="AC6" s="25">
        <f>IF(T6=0,"",ROUND((X6-Z6)/T6*100,1))</f>
        <v/>
      </c>
      <c r="AD6" s="27" t="inlineStr">
        <is>
          <t>ESTIMATED</t>
        </is>
      </c>
      <c r="AE6" s="28" t="inlineStr">
        <is>
          <t>https://marquesadmjudicial.com.br/sgc/download.php?file=files/processo_documento/processo_documento15293208032024_1_.pdf&amp;nome=Relação Nominal de Credores da AJ-Sintética</t>
        </is>
      </c>
      <c r="AF6" s="27" t="inlineStr">
        <is>
          <t>p26 r9</t>
        </is>
      </c>
      <c r="AG6" s="27" t="inlineStr">
        <is>
          <t>p26: R$ 25.912.507,68</t>
        </is>
      </c>
      <c r="AH6" s="27" t="inlineStr">
        <is>
          <t>AJ_LIST</t>
        </is>
      </c>
      <c r="AI6" s="27" t="inlineStr">
        <is>
          <t>2023-03-02</t>
        </is>
      </c>
      <c r="AJ6" s="27" t="inlineStr">
        <is>
          <t>QUARANTINED</t>
        </is>
      </c>
      <c r="AK6" s="29" t="inlineStr">
        <is>
          <t>0005010-98.2023.8.16.0001</t>
        </is>
      </c>
      <c r="AL6" s="29" t="inlineStr">
        <is>
          <t>TJPR</t>
        </is>
      </c>
      <c r="AM6" s="29" t="inlineStr">
        <is>
          <t>ACTIVE</t>
        </is>
      </c>
      <c r="AN6" s="29" t="n">
        <v>2023</v>
      </c>
      <c r="AO6" s="29" t="inlineStr">
        <is>
          <t>live case, no plan document yet</t>
        </is>
      </c>
      <c r="AP6" s="29" t="inlineStr">
        <is>
          <t>SAO PAULO</t>
        </is>
      </c>
      <c r="AQ6" s="29" t="inlineStr">
        <is>
          <t>SP</t>
        </is>
      </c>
      <c r="AR6" s="29" t="inlineStr">
        <is>
          <t>Comércio atacadista de medicamentos e drogas de uso humano</t>
        </is>
      </c>
      <c r="AS6" s="29" t="inlineStr">
        <is>
          <t>DEMAIS</t>
        </is>
      </c>
      <c r="AT6" s="29" t="inlineStr">
        <is>
          <t>LARGE CORP</t>
        </is>
      </c>
      <c r="AU6" s="29" t="inlineStr">
        <is>
          <t>02932074</t>
        </is>
      </c>
      <c r="AV6" s="29" t="n">
        <v>1</v>
      </c>
      <c r="AW6" s="29" t="inlineStr">
        <is>
          <t>PARTIAL_DOC_CLASS_III_RECONCILED ROWS:p26r9</t>
        </is>
      </c>
    </row>
    <row r="7">
      <c r="A7" s="15" t="inlineStr">
        <is>
          <t>COMPANHIA RIOGRANDENSE DE SANEAMENTO - CORSAN</t>
        </is>
      </c>
      <c r="B7" s="16" t="n">
        <v>18555954.55</v>
      </c>
      <c r="C7" s="17" t="inlineStr">
        <is>
          <t>ASSOCIACAO DE CARIDADE SANTA CASA DE RIO GRANDE</t>
        </is>
      </c>
      <c r="D7" s="18" t="inlineStr">
        <is>
          <t>NEW</t>
        </is>
      </c>
      <c r="E7" s="19" t="inlineStr"/>
      <c r="F7" s="18" t="inlineStr"/>
      <c r="G7" s="19" t="inlineStr"/>
      <c r="H7" s="18" t="inlineStr"/>
      <c r="I7" s="20" t="inlineStr">
        <is>
          <t>Luiz Pereira</t>
        </is>
      </c>
      <c r="J7" s="20" t="inlineStr">
        <is>
          <t>Financial Planning Manager</t>
        </is>
      </c>
      <c r="K7" s="20" t="inlineStr">
        <is>
          <t>(05) 1215-5789</t>
        </is>
      </c>
      <c r="L7" s="20" t="inlineStr"/>
      <c r="M7" s="20" t="inlineStr"/>
      <c r="N7" s="20" t="inlineStr"/>
      <c r="O7" s="20" t="inlineStr">
        <is>
          <t>rafaela.milione@corsan.com.br</t>
        </is>
      </c>
      <c r="P7" s="20" t="inlineStr">
        <is>
          <t>Rafaela Milione</t>
        </is>
      </c>
      <c r="Q7" s="20" t="inlineStr">
        <is>
          <t>Especialista de Tesouraria</t>
        </is>
      </c>
      <c r="R7" s="20" t="inlineStr"/>
      <c r="S7" s="20" t="inlineStr">
        <is>
          <t>rafaela.milione@corsan.com.br</t>
        </is>
      </c>
      <c r="T7" s="21" t="n">
        <v>18555954.55</v>
      </c>
      <c r="U7" s="22" t="inlineStr">
        <is>
          <t>B</t>
        </is>
      </c>
      <c r="V7" s="23">
        <f>IFERROR(VLOOKUP(U7,Assumptions!$A$7:$D$11,2,FALSE),0)</f>
        <v/>
      </c>
      <c r="W7" s="24">
        <f>MAX(0.5,IFERROR(VLOOKUP(U7,Assumptions!$A$7:$D$11,3,FALSE),3)+IFERROR(VLOOKUP(U7,Assumptions!$A$7:$D$11,4,FALSE),8)/2-IF(AN7="",0,YEAR(TODAY())-AN7))</f>
        <v/>
      </c>
      <c r="X7" s="21">
        <f>T7*V7/(1+Assumptions!$B$3)^W7</f>
        <v/>
      </c>
      <c r="Y7" s="25">
        <f>IF(T7=0,"",ROUND(X7/T7*100,1))</f>
        <v/>
      </c>
      <c r="Z7" s="26">
        <f>X7*Assumptions!$B$4</f>
        <v/>
      </c>
      <c r="AA7" s="25">
        <f>IF(T7=0,"",ROUND(Z7/T7*100,1))</f>
        <v/>
      </c>
      <c r="AB7" s="26">
        <f>X7-Z7</f>
        <v/>
      </c>
      <c r="AC7" s="25">
        <f>IF(T7=0,"",ROUND((X7-Z7)/T7*100,1))</f>
        <v/>
      </c>
      <c r="AD7" s="27" t="inlineStr">
        <is>
          <t>ESTIMATED</t>
        </is>
      </c>
      <c r="AE7" s="28" t="inlineStr">
        <is>
          <t>https://scalzilliaj.com.br/sgc/download.php?file=files/processo_documento/processo_documento09120721032023_1_.pdf&amp;nome=15 - Edital do art. 7º, §2º e 53 da Lei 11.101/2005 (segunda lista de credores e recebimento do plano))</t>
        </is>
      </c>
      <c r="AF7" s="27" t="inlineStr">
        <is>
          <t>p26 r27</t>
        </is>
      </c>
      <c r="AG7" s="27" t="inlineStr">
        <is>
          <t>p26: R$ 18.555.954,55</t>
        </is>
      </c>
      <c r="AH7" s="27" t="inlineStr">
        <is>
          <t>AJ_LIST</t>
        </is>
      </c>
      <c r="AI7" s="27" t="inlineStr">
        <is>
          <t>2023-03-21</t>
        </is>
      </c>
      <c r="AJ7" s="27" t="inlineStr">
        <is>
          <t>OK_NO_TOTALS</t>
        </is>
      </c>
      <c r="AK7" s="29" t="inlineStr">
        <is>
          <t>5012306-16.2022.8.21.0023</t>
        </is>
      </c>
      <c r="AL7" s="29" t="inlineStr">
        <is>
          <t>TJRS</t>
        </is>
      </c>
      <c r="AM7" s="29" t="inlineStr">
        <is>
          <t>ACTIVE</t>
        </is>
      </c>
      <c r="AN7" s="29" t="n">
        <v>2022</v>
      </c>
      <c r="AO7" s="29" t="inlineStr">
        <is>
          <t>live case, no plan document yet</t>
        </is>
      </c>
      <c r="AP7" s="29" t="inlineStr">
        <is>
          <t>PORTO ALEGRE</t>
        </is>
      </c>
      <c r="AQ7" s="29" t="inlineStr">
        <is>
          <t>RS</t>
        </is>
      </c>
      <c r="AR7" s="29" t="inlineStr">
        <is>
          <t>Captação, tratamento e distribuição de água</t>
        </is>
      </c>
      <c r="AS7" s="29" t="inlineStr">
        <is>
          <t>DEMAIS</t>
        </is>
      </c>
      <c r="AT7" s="29" t="inlineStr">
        <is>
          <t>LARGE CORP</t>
        </is>
      </c>
      <c r="AU7" s="29" t="inlineStr">
        <is>
          <t>92802784</t>
        </is>
      </c>
      <c r="AV7" s="29" t="n">
        <v>1</v>
      </c>
      <c r="AW7" s="29" t="inlineStr">
        <is>
          <t>ROWS:p26r27 UNRECONCILED_SOURCE</t>
        </is>
      </c>
    </row>
    <row r="8">
      <c r="A8" s="15" t="inlineStr">
        <is>
          <t>ADLIM-TERCEIRIZACAO EM SERVICOS LTDA - EM RECUPERACAO JUDICIAL</t>
        </is>
      </c>
      <c r="B8" s="16" t="n">
        <v>20647588.14</v>
      </c>
      <c r="C8" s="17" t="inlineStr">
        <is>
          <t>GRUPO ADLIM – LRF Líderes em Recuperação Judicial e Falência</t>
        </is>
      </c>
      <c r="D8" s="18" t="inlineStr">
        <is>
          <t>NEW</t>
        </is>
      </c>
      <c r="E8" s="19" t="inlineStr"/>
      <c r="F8" s="18" t="inlineStr"/>
      <c r="G8" s="19" t="inlineStr"/>
      <c r="H8" s="18" t="inlineStr"/>
      <c r="I8" s="20" t="inlineStr">
        <is>
          <t>Santana Leoterio</t>
        </is>
      </c>
      <c r="J8" s="20" t="inlineStr">
        <is>
          <t>Analyst</t>
        </is>
      </c>
      <c r="K8" s="20" t="inlineStr"/>
      <c r="L8" s="20" t="inlineStr"/>
      <c r="M8" s="20" t="inlineStr"/>
      <c r="N8" s="20" t="inlineStr">
        <is>
          <t>santana.leoterio@adlim.com.br</t>
        </is>
      </c>
      <c r="O8" s="20" t="inlineStr"/>
      <c r="P8" s="20" t="inlineStr"/>
      <c r="Q8" s="20" t="inlineStr"/>
      <c r="R8" s="20" t="inlineStr"/>
      <c r="S8" s="20" t="inlineStr"/>
      <c r="T8" s="21" t="n">
        <v>20647588.14</v>
      </c>
      <c r="U8" s="22" t="inlineStr">
        <is>
          <t>B</t>
        </is>
      </c>
      <c r="V8" s="23">
        <f>IFERROR(VLOOKUP(U8,Assumptions!$A$7:$D$11,2,FALSE),0)</f>
        <v/>
      </c>
      <c r="W8" s="24">
        <f>MAX(0.5,IFERROR(VLOOKUP(U8,Assumptions!$A$7:$D$11,3,FALSE),3)+IFERROR(VLOOKUP(U8,Assumptions!$A$7:$D$11,4,FALSE),8)/2-IF(AN8="",0,YEAR(TODAY())-AN8))</f>
        <v/>
      </c>
      <c r="X8" s="21">
        <f>T8*V8/(1+Assumptions!$B$3)^W8</f>
        <v/>
      </c>
      <c r="Y8" s="25">
        <f>IF(T8=0,"",ROUND(X8/T8*100,1))</f>
        <v/>
      </c>
      <c r="Z8" s="26">
        <f>X8*Assumptions!$B$4</f>
        <v/>
      </c>
      <c r="AA8" s="25">
        <f>IF(T8=0,"",ROUND(Z8/T8*100,1))</f>
        <v/>
      </c>
      <c r="AB8" s="26">
        <f>X8-Z8</f>
        <v/>
      </c>
      <c r="AC8" s="25">
        <f>IF(T8=0,"",ROUND((X8-Z8)/T8*100,1))</f>
        <v/>
      </c>
      <c r="AD8" s="27" t="inlineStr">
        <is>
          <t>ESTIMATED</t>
        </is>
      </c>
      <c r="AE8" s="28" t="inlineStr">
        <is>
          <t>https://lrflideres.com.br/wp-content/plugins/download-attachments/includes/download.php?id=6051</t>
        </is>
      </c>
      <c r="AF8" s="27" t="inlineStr">
        <is>
          <t>p85 r37; p97 r26</t>
        </is>
      </c>
      <c r="AG8" s="27" t="inlineStr">
        <is>
          <t>p85: R$ 13674501,07; p97: R$ 6973087,07</t>
        </is>
      </c>
      <c r="AH8" s="27" t="inlineStr">
        <is>
          <t>AJ_LIST</t>
        </is>
      </c>
      <c r="AI8" s="27" t="inlineStr">
        <is>
          <t>2024-08-12</t>
        </is>
      </c>
      <c r="AJ8" s="27" t="inlineStr">
        <is>
          <t>QUARANTINED</t>
        </is>
      </c>
      <c r="AK8" s="29" t="inlineStr">
        <is>
          <t>0019761-43.2024.8.17.2001</t>
        </is>
      </c>
      <c r="AL8" s="29" t="inlineStr">
        <is>
          <t>TJPE</t>
        </is>
      </c>
      <c r="AM8" s="29" t="inlineStr">
        <is>
          <t>ACTIVE</t>
        </is>
      </c>
      <c r="AN8" s="29" t="n">
        <v>2024</v>
      </c>
      <c r="AO8" s="29" t="inlineStr">
        <is>
          <t>live case, no plan document yet</t>
        </is>
      </c>
      <c r="AP8" s="29" t="inlineStr">
        <is>
          <t>BEZERROS</t>
        </is>
      </c>
      <c r="AQ8" s="29" t="inlineStr">
        <is>
          <t>PE</t>
        </is>
      </c>
      <c r="AR8" s="29" t="inlineStr">
        <is>
          <t>Fornecimento e gestão de recursos humanos para terceiros</t>
        </is>
      </c>
      <c r="AS8" s="29" t="inlineStr">
        <is>
          <t>DEMAIS</t>
        </is>
      </c>
      <c r="AT8" s="29" t="inlineStr">
        <is>
          <t>MID-MARKET</t>
        </is>
      </c>
      <c r="AU8" s="29" t="inlineStr">
        <is>
          <t>11436813</t>
        </is>
      </c>
      <c r="AV8" s="29" t="n">
        <v>2</v>
      </c>
      <c r="AW8" s="29" t="inlineStr">
        <is>
          <t>PARTIAL_DOC_CLASS_III_RECONCILED ROWS:p85r37,p97r26</t>
        </is>
      </c>
    </row>
    <row r="9">
      <c r="A9" s="15" t="inlineStr">
        <is>
          <t>IBIPORA NEGOCIOS IMOBILIARIOS S.A.</t>
        </is>
      </c>
      <c r="B9" s="16" t="n">
        <v>45075482.57</v>
      </c>
      <c r="C9" s="17" t="inlineStr">
        <is>
          <t>EGESA ENGENHARIA S/A (Consórcio ETDI)</t>
        </is>
      </c>
      <c r="D9" s="18" t="inlineStr">
        <is>
          <t>NEW</t>
        </is>
      </c>
      <c r="E9" s="19" t="inlineStr"/>
      <c r="F9" s="18" t="inlineStr"/>
      <c r="G9" s="19" t="inlineStr"/>
      <c r="H9" s="18" t="inlineStr"/>
      <c r="I9" s="20" t="inlineStr">
        <is>
          <t>JOSE JULIO COSTA NETO</t>
        </is>
      </c>
      <c r="J9" s="20" t="inlineStr">
        <is>
          <t>Presidente</t>
        </is>
      </c>
      <c r="K9" s="20" t="inlineStr">
        <is>
          <t>(31) 3586-9418</t>
        </is>
      </c>
      <c r="L9" s="20" t="inlineStr"/>
      <c r="M9" s="20" t="inlineStr"/>
      <c r="N9" s="20" t="inlineStr"/>
      <c r="O9" s="20" t="inlineStr"/>
      <c r="P9" s="20" t="inlineStr">
        <is>
          <t>BRUNA GODINHO RESENDE FERREIRA</t>
        </is>
      </c>
      <c r="Q9" s="20" t="inlineStr">
        <is>
          <t>Diretor</t>
        </is>
      </c>
      <c r="R9" s="20" t="inlineStr">
        <is>
          <t>(31) 3586-9418</t>
        </is>
      </c>
      <c r="S9" s="20" t="inlineStr"/>
      <c r="T9" s="21" t="n">
        <v>45075482.57</v>
      </c>
      <c r="U9" s="30" t="inlineStr">
        <is>
          <t>?</t>
        </is>
      </c>
      <c r="V9" s="23">
        <f>IFERROR(VLOOKUP(U9,Assumptions!$A$7:$D$11,2,FALSE),0)</f>
        <v/>
      </c>
      <c r="W9" s="24">
        <f>MAX(0.5,IFERROR(VLOOKUP(U9,Assumptions!$A$7:$D$11,3,FALSE),3)+IFERROR(VLOOKUP(U9,Assumptions!$A$7:$D$11,4,FALSE),8)/2-IF(AN9="",0,YEAR(TODAY())-AN9))</f>
        <v/>
      </c>
      <c r="X9" s="21">
        <f>T9*V9/(1+Assumptions!$B$3)^W9</f>
        <v/>
      </c>
      <c r="Y9" s="25">
        <f>IF(T9=0,"",ROUND(X9/T9*100,1))</f>
        <v/>
      </c>
      <c r="Z9" s="26">
        <f>X9*Assumptions!$B$4</f>
        <v/>
      </c>
      <c r="AA9" s="25">
        <f>IF(T9=0,"",ROUND(Z9/T9*100,1))</f>
        <v/>
      </c>
      <c r="AB9" s="26">
        <f>X9-Z9</f>
        <v/>
      </c>
      <c r="AC9" s="25">
        <f>IF(T9=0,"",ROUND((X9-Z9)/T9*100,1))</f>
        <v/>
      </c>
      <c r="AD9" s="27" t="inlineStr">
        <is>
          <t>UNKNOWN</t>
        </is>
      </c>
      <c r="AE9" s="28" t="inlineStr">
        <is>
          <t>https://scalzilliaj.com.br/sgc/download.php?file=files/processo_documento/processo_documento09514021082025_1_.pdf&amp;nome=04 - Relação de credores das Recuperandas</t>
        </is>
      </c>
      <c r="AF9" s="27" t="inlineStr">
        <is>
          <t>p68 r4</t>
        </is>
      </c>
      <c r="AG9" s="27" t="inlineStr">
        <is>
          <t>p68: R$ 45.075.482,57</t>
        </is>
      </c>
      <c r="AH9" s="27" t="inlineStr">
        <is>
          <t>DEBTOR_LIST</t>
        </is>
      </c>
      <c r="AI9" s="27" t="inlineStr"/>
      <c r="AJ9" s="27" t="inlineStr">
        <is>
          <t>OK</t>
        </is>
      </c>
      <c r="AK9" s="29" t="inlineStr">
        <is>
          <t>(not printed)</t>
        </is>
      </c>
      <c r="AL9" s="29" t="inlineStr"/>
      <c r="AM9" s="29" t="inlineStr"/>
      <c r="AN9" s="29" t="inlineStr"/>
      <c r="AO9" s="29" t="inlineStr">
        <is>
          <t>RJ case number not identified on the document</t>
        </is>
      </c>
      <c r="AP9" s="29" t="inlineStr">
        <is>
          <t>NOVA LIMA</t>
        </is>
      </c>
      <c r="AQ9" s="29" t="inlineStr">
        <is>
          <t>MG</t>
        </is>
      </c>
      <c r="AR9" s="29" t="inlineStr">
        <is>
          <t>Compra e venda de imóveis próprios</t>
        </is>
      </c>
      <c r="AS9" s="29" t="inlineStr">
        <is>
          <t>DEMAIS</t>
        </is>
      </c>
      <c r="AT9" s="29" t="inlineStr">
        <is>
          <t>MID-MARKET</t>
        </is>
      </c>
      <c r="AU9" s="29" t="inlineStr">
        <is>
          <t>19256534</t>
        </is>
      </c>
      <c r="AV9" s="29" t="n">
        <v>1</v>
      </c>
      <c r="AW9" s="29" t="inlineStr">
        <is>
          <t>ROWS:p68r4 VALUE_COL:Valor_Atualizado CASE_NUMBER_CORRECTED</t>
        </is>
      </c>
    </row>
    <row r="10">
      <c r="A10" s="15" t="inlineStr">
        <is>
          <t>DC COMERCIO, REPRESENTACOES, INVESTIMENTOS E PARTICIPACOES LTDA.</t>
        </is>
      </c>
      <c r="B10" s="16" t="n">
        <v>11125000</v>
      </c>
      <c r="C10" s="17" t="inlineStr">
        <is>
          <t>R W CONSTRUCOES LTDA</t>
        </is>
      </c>
      <c r="D10" s="18" t="inlineStr">
        <is>
          <t>NEW</t>
        </is>
      </c>
      <c r="E10" s="19" t="inlineStr"/>
      <c r="F10" s="18" t="inlineStr"/>
      <c r="G10" s="19" t="inlineStr"/>
      <c r="H10" s="18" t="inlineStr"/>
      <c r="I10" s="20" t="inlineStr">
        <is>
          <t>FERNANDO MELO CATAO</t>
        </is>
      </c>
      <c r="J10" s="20" t="inlineStr">
        <is>
          <t>Sócio-Administrador</t>
        </is>
      </c>
      <c r="K10" s="20" t="inlineStr">
        <is>
          <t>(81) 3032-8400</t>
        </is>
      </c>
      <c r="L10" s="20" t="inlineStr">
        <is>
          <t>(81) 3419-8550</t>
        </is>
      </c>
      <c r="M10" s="20" t="inlineStr"/>
      <c r="N10" s="20" t="inlineStr"/>
      <c r="O10" s="20" t="inlineStr"/>
      <c r="P10" s="20" t="inlineStr"/>
      <c r="Q10" s="20" t="inlineStr"/>
      <c r="R10" s="20" t="inlineStr"/>
      <c r="S10" s="20" t="inlineStr"/>
      <c r="T10" s="21" t="n">
        <v>11125000</v>
      </c>
      <c r="U10" s="22" t="inlineStr">
        <is>
          <t>B</t>
        </is>
      </c>
      <c r="V10" s="23">
        <f>IFERROR(VLOOKUP(U10,Assumptions!$A$7:$D$11,2,FALSE),0)</f>
        <v/>
      </c>
      <c r="W10" s="24">
        <f>MAX(0.5,IFERROR(VLOOKUP(U10,Assumptions!$A$7:$D$11,3,FALSE),3)+IFERROR(VLOOKUP(U10,Assumptions!$A$7:$D$11,4,FALSE),8)/2-IF(AN10="",0,YEAR(TODAY())-AN10))</f>
        <v/>
      </c>
      <c r="X10" s="21">
        <f>T10*V10/(1+Assumptions!$B$3)^W10</f>
        <v/>
      </c>
      <c r="Y10" s="25">
        <f>IF(T10=0,"",ROUND(X10/T10*100,1))</f>
        <v/>
      </c>
      <c r="Z10" s="26">
        <f>X10*Assumptions!$B$4</f>
        <v/>
      </c>
      <c r="AA10" s="25">
        <f>IF(T10=0,"",ROUND(Z10/T10*100,1))</f>
        <v/>
      </c>
      <c r="AB10" s="26">
        <f>X10-Z10</f>
        <v/>
      </c>
      <c r="AC10" s="25">
        <f>IF(T10=0,"",ROUND((X10-Z10)/T10*100,1))</f>
        <v/>
      </c>
      <c r="AD10" s="27" t="inlineStr">
        <is>
          <t>ESTIMATED</t>
        </is>
      </c>
      <c r="AE10" s="28" t="inlineStr">
        <is>
          <t>https://lrflideres.com.br/wp-content/plugins/download-attachments/includes/download.php?id=4023</t>
        </is>
      </c>
      <c r="AF10" s="27" t="inlineStr">
        <is>
          <t>p4 r68; p7 r92; p9 r68</t>
        </is>
      </c>
      <c r="AG10" s="27" t="inlineStr">
        <is>
          <t>p4: R$ 1.150.000,00; p7: R$ 9.715.000,00; p9: R$ 260.000,00</t>
        </is>
      </c>
      <c r="AH10" s="27" t="inlineStr">
        <is>
          <t>DEBTOR_LIST</t>
        </is>
      </c>
      <c r="AI10" s="27" t="inlineStr"/>
      <c r="AJ10" s="27" t="inlineStr">
        <is>
          <t>QUARANTINED</t>
        </is>
      </c>
      <c r="AK10" s="29" t="inlineStr">
        <is>
          <t>0002484-82.2022.8.17.2001</t>
        </is>
      </c>
      <c r="AL10" s="29" t="inlineStr">
        <is>
          <t>TJPE</t>
        </is>
      </c>
      <c r="AM10" s="29" t="inlineStr">
        <is>
          <t>ACTIVE</t>
        </is>
      </c>
      <c r="AN10" s="29" t="n">
        <v>2022</v>
      </c>
      <c r="AO10" s="29" t="inlineStr">
        <is>
          <t>live case, no plan document yet</t>
        </is>
      </c>
      <c r="AP10" s="29" t="inlineStr">
        <is>
          <t>RECIFE</t>
        </is>
      </c>
      <c r="AQ10" s="29" t="inlineStr">
        <is>
          <t>PE</t>
        </is>
      </c>
      <c r="AR10" s="29" t="inlineStr">
        <is>
          <t>Aluguel de imóveis próprios</t>
        </is>
      </c>
      <c r="AS10" s="29" t="inlineStr">
        <is>
          <t>DEMAIS</t>
        </is>
      </c>
      <c r="AT10" s="29" t="inlineStr">
        <is>
          <t>MID-MARKET</t>
        </is>
      </c>
      <c r="AU10" s="29" t="inlineStr">
        <is>
          <t>09036221</t>
        </is>
      </c>
      <c r="AV10" s="29" t="n">
        <v>3</v>
      </c>
      <c r="AW10" s="29" t="inlineStr">
        <is>
          <t>PARTIAL_DOC_CLASS_III_RECONCILED ROWS:p4r68,p7r92,p9r68</t>
        </is>
      </c>
    </row>
    <row r="11">
      <c r="A11" s="15" t="inlineStr">
        <is>
          <t>GREE ELECTRIC APPLIANCES DO BRASIL LTDA.</t>
        </is>
      </c>
      <c r="B11" s="16" t="n">
        <v>13499976.37</v>
      </c>
      <c r="C11" s="17" t="inlineStr">
        <is>
          <t>REAL DISTRIBUIDORA ÚNICA RIO COMÉRCIO DE REFRIGERAÇÃO LTDA</t>
        </is>
      </c>
      <c r="D11" s="18" t="inlineStr">
        <is>
          <t>NEW</t>
        </is>
      </c>
      <c r="E11" s="19" t="inlineStr"/>
      <c r="F11" s="18" t="inlineStr"/>
      <c r="G11" s="19" t="inlineStr"/>
      <c r="H11" s="18" t="inlineStr"/>
      <c r="I11" s="20" t="inlineStr">
        <is>
          <t>Nicolaus Cheng</t>
        </is>
      </c>
      <c r="J11" s="20" t="inlineStr">
        <is>
          <t>Commercial Director</t>
        </is>
      </c>
      <c r="K11" s="20" t="inlineStr">
        <is>
          <t>(92) 2123-6900</t>
        </is>
      </c>
      <c r="L11" s="20" t="inlineStr"/>
      <c r="M11" s="20" t="inlineStr"/>
      <c r="N11" s="20" t="inlineStr">
        <is>
          <t>nicolaus@gree.com.br</t>
        </is>
      </c>
      <c r="O11" s="20" t="inlineStr">
        <is>
          <t>carlos.murano@gree-am.com.br</t>
        </is>
      </c>
      <c r="P11" s="20" t="inlineStr">
        <is>
          <t>Carlos Murano</t>
        </is>
      </c>
      <c r="Q11" s="20" t="inlineStr">
        <is>
          <t>Executive Sales Manager</t>
        </is>
      </c>
      <c r="R11" s="20" t="inlineStr"/>
      <c r="S11" s="20" t="inlineStr">
        <is>
          <t>carlos.murano@gree-am.com.br</t>
        </is>
      </c>
      <c r="T11" s="21" t="n">
        <v>13499976.37</v>
      </c>
      <c r="U11" s="22" t="inlineStr">
        <is>
          <t>B</t>
        </is>
      </c>
      <c r="V11" s="23">
        <f>IFERROR(VLOOKUP(U11,Assumptions!$A$7:$D$11,2,FALSE),0)</f>
        <v/>
      </c>
      <c r="W11" s="24">
        <f>MAX(0.5,IFERROR(VLOOKUP(U11,Assumptions!$A$7:$D$11,3,FALSE),3)+IFERROR(VLOOKUP(U11,Assumptions!$A$7:$D$11,4,FALSE),8)/2-IF(AN11="",0,YEAR(TODAY())-AN11))</f>
        <v/>
      </c>
      <c r="X11" s="21">
        <f>T11*V11/(1+Assumptions!$B$3)^W11</f>
        <v/>
      </c>
      <c r="Y11" s="25">
        <f>IF(T11=0,"",ROUND(X11/T11*100,1))</f>
        <v/>
      </c>
      <c r="Z11" s="26">
        <f>X11*Assumptions!$B$4</f>
        <v/>
      </c>
      <c r="AA11" s="25">
        <f>IF(T11=0,"",ROUND(Z11/T11*100,1))</f>
        <v/>
      </c>
      <c r="AB11" s="26">
        <f>X11-Z11</f>
        <v/>
      </c>
      <c r="AC11" s="25">
        <f>IF(T11=0,"",ROUND((X11-Z11)/T11*100,1))</f>
        <v/>
      </c>
      <c r="AD11" s="27" t="inlineStr">
        <is>
          <t>UNKNOWN</t>
        </is>
      </c>
      <c r="AE11" s="28" t="inlineStr">
        <is>
          <t>https://inova-aj.com.br/wp-content/uploads/2026/08/1a-Relacao-de-Credores-Real.pdf</t>
        </is>
      </c>
      <c r="AF11" s="27" t="inlineStr">
        <is>
          <t>p1 r32</t>
        </is>
      </c>
      <c r="AG11" s="27" t="inlineStr">
        <is>
          <t>p1: R$ 13.499.976,37</t>
        </is>
      </c>
      <c r="AH11" s="27" t="inlineStr">
        <is>
          <t>AJ_LIST</t>
        </is>
      </c>
      <c r="AI11" s="27" t="inlineStr">
        <is>
          <t>2023-06-05</t>
        </is>
      </c>
      <c r="AJ11" s="27" t="inlineStr">
        <is>
          <t>OK</t>
        </is>
      </c>
      <c r="AK11" s="29" t="inlineStr">
        <is>
          <t>0873061-47.2023.8.19.0001</t>
        </is>
      </c>
      <c r="AL11" s="29" t="inlineStr">
        <is>
          <t>TJ</t>
        </is>
      </c>
      <c r="AM11" s="29" t="inlineStr"/>
      <c r="AN11" s="29" t="n">
        <v>2023</v>
      </c>
      <c r="AO11" s="29" t="inlineStr">
        <is>
          <t>live case, no plan document yet</t>
        </is>
      </c>
      <c r="AP11" s="29" t="inlineStr">
        <is>
          <t>MANAUS</t>
        </is>
      </c>
      <c r="AQ11" s="29" t="inlineStr">
        <is>
          <t>AM</t>
        </is>
      </c>
      <c r="AR11" s="29" t="inlineStr">
        <is>
          <t>Fabricação de aparelhos e equipamentos de ar condicionado para uso não-industrial</t>
        </is>
      </c>
      <c r="AS11" s="29" t="inlineStr">
        <is>
          <t>DEMAIS</t>
        </is>
      </c>
      <c r="AT11" s="29" t="inlineStr">
        <is>
          <t>LARGE CORP</t>
        </is>
      </c>
      <c r="AU11" s="29" t="inlineStr">
        <is>
          <t>03519135</t>
        </is>
      </c>
      <c r="AV11" s="29" t="n">
        <v>1</v>
      </c>
      <c r="AW11" s="29" t="inlineStr">
        <is>
          <t>ALT_VALUE:R$9.815.941,50 ROWS:p1r32</t>
        </is>
      </c>
    </row>
    <row r="12">
      <c r="A12" s="15" t="inlineStr">
        <is>
          <t>LOUIS DREYFUS COMPANY SUCOS S.A</t>
        </is>
      </c>
      <c r="B12" s="16" t="n">
        <v>13129217.8</v>
      </c>
      <c r="C12" s="17" t="inlineStr"/>
      <c r="D12" s="18" t="inlineStr">
        <is>
          <t>NEW</t>
        </is>
      </c>
      <c r="E12" s="19" t="inlineStr"/>
      <c r="F12" s="18" t="inlineStr"/>
      <c r="G12" s="19" t="inlineStr"/>
      <c r="H12" s="18" t="inlineStr"/>
      <c r="I12" s="20" t="inlineStr">
        <is>
          <t>Paula Peixoto</t>
        </is>
      </c>
      <c r="J12" s="20" t="inlineStr">
        <is>
          <t>Gerente Adm Controladoria - Originação Sucos</t>
        </is>
      </c>
      <c r="K12" s="20" t="inlineStr">
        <is>
          <t>(11) 3039-7160</t>
        </is>
      </c>
      <c r="L12" s="20" t="inlineStr">
        <is>
          <t>(13) 2127-9893</t>
        </is>
      </c>
      <c r="M12" s="20" t="inlineStr"/>
      <c r="N12" s="20" t="inlineStr">
        <is>
          <t>paula.peixoto@ldc.com</t>
        </is>
      </c>
      <c r="O12" s="20" t="inlineStr">
        <is>
          <t>bruno.nunes@ldc.com</t>
        </is>
      </c>
      <c r="P12" s="20" t="inlineStr">
        <is>
          <t>Bruno Nunes</t>
        </is>
      </c>
      <c r="Q12" s="20" t="inlineStr">
        <is>
          <t>Gerente Executivo de Engenharia &amp; Projetos - Plataforma Sucos</t>
        </is>
      </c>
      <c r="R12" s="20" t="inlineStr"/>
      <c r="S12" s="20" t="inlineStr">
        <is>
          <t>bruno.nunes@ldc.com</t>
        </is>
      </c>
      <c r="T12" s="21" t="n">
        <v>13129217.8</v>
      </c>
      <c r="U12" s="31" t="inlineStr">
        <is>
          <t>C</t>
        </is>
      </c>
      <c r="V12" s="23">
        <f>IFERROR(VLOOKUP(U12,Assumptions!$A$7:$D$11,2,FALSE),0)</f>
        <v/>
      </c>
      <c r="W12" s="24">
        <f>MAX(0.5,IFERROR(VLOOKUP(U12,Assumptions!$A$7:$D$11,3,FALSE),3)+IFERROR(VLOOKUP(U12,Assumptions!$A$7:$D$11,4,FALSE),8)/2-IF(AN12="",0,YEAR(TODAY())-AN12))</f>
        <v/>
      </c>
      <c r="X12" s="21">
        <f>T12*V12/(1+Assumptions!$B$3)^W12</f>
        <v/>
      </c>
      <c r="Y12" s="25">
        <f>IF(T12=0,"",ROUND(X12/T12*100,1))</f>
        <v/>
      </c>
      <c r="Z12" s="26">
        <f>X12*Assumptions!$B$4</f>
        <v/>
      </c>
      <c r="AA12" s="25">
        <f>IF(T12=0,"",ROUND(Z12/T12*100,1))</f>
        <v/>
      </c>
      <c r="AB12" s="26">
        <f>X12-Z12</f>
        <v/>
      </c>
      <c r="AC12" s="25">
        <f>IF(T12=0,"",ROUND((X12-Z12)/T12*100,1))</f>
        <v/>
      </c>
      <c r="AD12" s="27" t="inlineStr">
        <is>
          <t>UNKNOWN</t>
        </is>
      </c>
      <c r="AE12" s="28" t="inlineStr">
        <is>
          <t>https://violet-wolf-754008.hostingersite.com/wp-content/uploads/2022/10/Primeiro-Edital-de-Credores-Integral-com-creditos.pdf</t>
        </is>
      </c>
      <c r="AF12" s="27" t="inlineStr">
        <is>
          <t>p4 r1</t>
        </is>
      </c>
      <c r="AG12" s="27" t="inlineStr">
        <is>
          <t>p4: R$ 13.129.217,80</t>
        </is>
      </c>
      <c r="AH12" s="27" t="inlineStr">
        <is>
          <t>UNKNOWN</t>
        </is>
      </c>
      <c r="AI12" s="27" t="inlineStr"/>
      <c r="AJ12" s="27" t="inlineStr">
        <is>
          <t>OK</t>
        </is>
      </c>
      <c r="AK12" s="29" t="inlineStr">
        <is>
          <t>0000941-21.2012.8.26.0101</t>
        </is>
      </c>
      <c r="AL12" s="29" t="inlineStr">
        <is>
          <t>TJ</t>
        </is>
      </c>
      <c r="AM12" s="29" t="inlineStr"/>
      <c r="AN12" s="29" t="n">
        <v>2012</v>
      </c>
      <c r="AO12" s="29" t="inlineStr">
        <is>
          <t>14y since filing, no plan document</t>
        </is>
      </c>
      <c r="AP12" s="29" t="inlineStr">
        <is>
          <t>SAO PAULO</t>
        </is>
      </c>
      <c r="AQ12" s="29" t="inlineStr">
        <is>
          <t>SP</t>
        </is>
      </c>
      <c r="AR12" s="29" t="inlineStr">
        <is>
          <t>Fabricação de sucos concentrados de frutas, hortaliças e legumes</t>
        </is>
      </c>
      <c r="AS12" s="29" t="inlineStr">
        <is>
          <t>DEMAIS</t>
        </is>
      </c>
      <c r="AT12" s="29" t="inlineStr">
        <is>
          <t>LARGE CORP</t>
        </is>
      </c>
      <c r="AU12" s="29" t="inlineStr">
        <is>
          <t>00831373</t>
        </is>
      </c>
      <c r="AV12" s="29" t="n">
        <v>1</v>
      </c>
      <c r="AW12" s="29" t="inlineStr">
        <is>
          <t>ROWS:p4r1 VALUE_COL:Valor</t>
        </is>
      </c>
    </row>
    <row r="13">
      <c r="A13" s="15" t="inlineStr">
        <is>
          <t>AGUIA SERVICOS DE VIGILANCIA LTDA - EM RECUPERACAO JUDICIAL</t>
        </is>
      </c>
      <c r="B13" s="16" t="n">
        <v>13645091.92</v>
      </c>
      <c r="C13" s="17" t="inlineStr">
        <is>
          <t>GRUPO ADLIM – LRF Líderes em Recuperação Judicial e Falência</t>
        </is>
      </c>
      <c r="D13" s="18" t="inlineStr">
        <is>
          <t>NEW</t>
        </is>
      </c>
      <c r="E13" s="19" t="inlineStr"/>
      <c r="F13" s="18" t="inlineStr"/>
      <c r="G13" s="19" t="inlineStr"/>
      <c r="H13" s="18" t="inlineStr"/>
      <c r="I13" s="20" t="inlineStr">
        <is>
          <t>JONAS ALVARENGA DA SILVA</t>
        </is>
      </c>
      <c r="J13" s="20" t="inlineStr">
        <is>
          <t>Sócio-Administrador</t>
        </is>
      </c>
      <c r="K13" s="20" t="inlineStr">
        <is>
          <t>(81) 3252-6115</t>
        </is>
      </c>
      <c r="L13" s="20" t="inlineStr">
        <is>
          <t>(81) 3252-6117</t>
        </is>
      </c>
      <c r="M13" s="20" t="inlineStr"/>
      <c r="N13" s="20" t="inlineStr"/>
      <c r="O13" s="20" t="inlineStr"/>
      <c r="P13" s="20" t="inlineStr"/>
      <c r="Q13" s="20" t="inlineStr"/>
      <c r="R13" s="20" t="inlineStr"/>
      <c r="S13" s="20" t="inlineStr"/>
      <c r="T13" s="21" t="n">
        <v>13645091.92</v>
      </c>
      <c r="U13" s="22" t="inlineStr">
        <is>
          <t>B</t>
        </is>
      </c>
      <c r="V13" s="23">
        <f>IFERROR(VLOOKUP(U13,Assumptions!$A$7:$D$11,2,FALSE),0)</f>
        <v/>
      </c>
      <c r="W13" s="24">
        <f>MAX(0.5,IFERROR(VLOOKUP(U13,Assumptions!$A$7:$D$11,3,FALSE),3)+IFERROR(VLOOKUP(U13,Assumptions!$A$7:$D$11,4,FALSE),8)/2-IF(AN13="",0,YEAR(TODAY())-AN13))</f>
        <v/>
      </c>
      <c r="X13" s="21">
        <f>T13*V13/(1+Assumptions!$B$3)^W13</f>
        <v/>
      </c>
      <c r="Y13" s="25">
        <f>IF(T13=0,"",ROUND(X13/T13*100,1))</f>
        <v/>
      </c>
      <c r="Z13" s="26">
        <f>X13*Assumptions!$B$4</f>
        <v/>
      </c>
      <c r="AA13" s="25">
        <f>IF(T13=0,"",ROUND(Z13/T13*100,1))</f>
        <v/>
      </c>
      <c r="AB13" s="26">
        <f>X13-Z13</f>
        <v/>
      </c>
      <c r="AC13" s="25">
        <f>IF(T13=0,"",ROUND((X13-Z13)/T13*100,1))</f>
        <v/>
      </c>
      <c r="AD13" s="27" t="inlineStr">
        <is>
          <t>ESTIMATED</t>
        </is>
      </c>
      <c r="AE13" s="28" t="inlineStr">
        <is>
          <t>https://lrflideres.com.br/wp-content/plugins/download-attachments/includes/download.php?id=6051</t>
        </is>
      </c>
      <c r="AF13" s="27" t="inlineStr">
        <is>
          <t>p97 r27</t>
        </is>
      </c>
      <c r="AG13" s="27" t="inlineStr">
        <is>
          <t>p97: R$ 13645091,92</t>
        </is>
      </c>
      <c r="AH13" s="27" t="inlineStr">
        <is>
          <t>AJ_LIST</t>
        </is>
      </c>
      <c r="AI13" s="27" t="inlineStr">
        <is>
          <t>2024-08-12</t>
        </is>
      </c>
      <c r="AJ13" s="27" t="inlineStr">
        <is>
          <t>QUARANTINED</t>
        </is>
      </c>
      <c r="AK13" s="29" t="inlineStr">
        <is>
          <t>0019761-43.2024.8.17.2001</t>
        </is>
      </c>
      <c r="AL13" s="29" t="inlineStr">
        <is>
          <t>TJPE</t>
        </is>
      </c>
      <c r="AM13" s="29" t="inlineStr">
        <is>
          <t>ACTIVE</t>
        </is>
      </c>
      <c r="AN13" s="29" t="n">
        <v>2024</v>
      </c>
      <c r="AO13" s="29" t="inlineStr">
        <is>
          <t>live case, no plan document yet</t>
        </is>
      </c>
      <c r="AP13" s="29" t="inlineStr">
        <is>
          <t>RECIFE</t>
        </is>
      </c>
      <c r="AQ13" s="29" t="inlineStr">
        <is>
          <t>PE</t>
        </is>
      </c>
      <c r="AR13" s="29" t="inlineStr">
        <is>
          <t>Atividades de vigilância e segurança privada</t>
        </is>
      </c>
      <c r="AS13" s="29" t="inlineStr">
        <is>
          <t>DEMAIS</t>
        </is>
      </c>
      <c r="AT13" s="29" t="inlineStr">
        <is>
          <t>MID-MARKET</t>
        </is>
      </c>
      <c r="AU13" s="29" t="inlineStr">
        <is>
          <t>11516861</t>
        </is>
      </c>
      <c r="AV13" s="29" t="n">
        <v>1</v>
      </c>
      <c r="AW13" s="29" t="inlineStr">
        <is>
          <t>PARTIAL_DOC_CLASS_III_RECONCILED ROWS:p97r27</t>
        </is>
      </c>
    </row>
    <row r="14">
      <c r="A14" s="15" t="inlineStr">
        <is>
          <t>SANDOZ DO BRASIL INDUSTRIA FARMACEUTICA LTDA.</t>
        </is>
      </c>
      <c r="B14" s="16" t="n">
        <v>10696833.99</v>
      </c>
      <c r="C14" s="17" t="inlineStr">
        <is>
          <t>VEV COMERCIO DE MEDICAMENTOS LTDA EM RECUPERACAO JUDICIAL</t>
        </is>
      </c>
      <c r="D14" s="18" t="inlineStr">
        <is>
          <t>NEW</t>
        </is>
      </c>
      <c r="E14" s="19" t="inlineStr"/>
      <c r="F14" s="18" t="inlineStr"/>
      <c r="G14" s="19" t="inlineStr"/>
      <c r="H14" s="18" t="inlineStr"/>
      <c r="I14" s="20" t="inlineStr">
        <is>
          <t>BRUNO PETENUCI</t>
        </is>
      </c>
      <c r="J14" s="20" t="inlineStr">
        <is>
          <t>Administrador</t>
        </is>
      </c>
      <c r="K14" s="20" t="inlineStr">
        <is>
          <t>(43) 3174-8000</t>
        </is>
      </c>
      <c r="L14" s="20" t="inlineStr"/>
      <c r="M14" s="20" t="inlineStr"/>
      <c r="N14" s="20" t="inlineStr"/>
      <c r="O14" s="20" t="inlineStr"/>
      <c r="P14" s="20" t="inlineStr">
        <is>
          <t>DANIELA DE ALMEIDA COUTO BONCIANI</t>
        </is>
      </c>
      <c r="Q14" s="20" t="inlineStr">
        <is>
          <t>Administrador</t>
        </is>
      </c>
      <c r="R14" s="20" t="inlineStr">
        <is>
          <t>(43) 3174-8000</t>
        </is>
      </c>
      <c r="S14" s="20" t="inlineStr"/>
      <c r="T14" s="21" t="n">
        <v>10696833.99</v>
      </c>
      <c r="U14" s="22" t="inlineStr">
        <is>
          <t>B</t>
        </is>
      </c>
      <c r="V14" s="23">
        <f>IFERROR(VLOOKUP(U14,Assumptions!$A$7:$D$11,2,FALSE),0)</f>
        <v/>
      </c>
      <c r="W14" s="24">
        <f>MAX(0.5,IFERROR(VLOOKUP(U14,Assumptions!$A$7:$D$11,3,FALSE),3)+IFERROR(VLOOKUP(U14,Assumptions!$A$7:$D$11,4,FALSE),8)/2-IF(AN14="",0,YEAR(TODAY())-AN14))</f>
        <v/>
      </c>
      <c r="X14" s="21">
        <f>T14*V14/(1+Assumptions!$B$3)^W14</f>
        <v/>
      </c>
      <c r="Y14" s="25">
        <f>IF(T14=0,"",ROUND(X14/T14*100,1))</f>
        <v/>
      </c>
      <c r="Z14" s="26">
        <f>X14*Assumptions!$B$4</f>
        <v/>
      </c>
      <c r="AA14" s="25">
        <f>IF(T14=0,"",ROUND(Z14/T14*100,1))</f>
        <v/>
      </c>
      <c r="AB14" s="26">
        <f>X14-Z14</f>
        <v/>
      </c>
      <c r="AC14" s="25">
        <f>IF(T14=0,"",ROUND((X14-Z14)/T14*100,1))</f>
        <v/>
      </c>
      <c r="AD14" s="27" t="inlineStr">
        <is>
          <t>ESTIMATED</t>
        </is>
      </c>
      <c r="AE14" s="28" t="inlineStr">
        <is>
          <t>https://marquesadmjudicial.com.br/sgc/download.php?file=files/processo_documento/processo_documento15293208032024_1_.pdf&amp;nome=Relação Nominal de Credores da AJ-Sintética</t>
        </is>
      </c>
      <c r="AF14" s="27" t="inlineStr">
        <is>
          <t>p31 r4</t>
        </is>
      </c>
      <c r="AG14" s="27" t="inlineStr">
        <is>
          <t>p31: R$ 10.696.833,99</t>
        </is>
      </c>
      <c r="AH14" s="27" t="inlineStr">
        <is>
          <t>AJ_LIST</t>
        </is>
      </c>
      <c r="AI14" s="27" t="inlineStr">
        <is>
          <t>2023-03-02</t>
        </is>
      </c>
      <c r="AJ14" s="27" t="inlineStr">
        <is>
          <t>QUARANTINED</t>
        </is>
      </c>
      <c r="AK14" s="29" t="inlineStr">
        <is>
          <t>0005010-98.2023.8.16.0001</t>
        </is>
      </c>
      <c r="AL14" s="29" t="inlineStr">
        <is>
          <t>TJPR</t>
        </is>
      </c>
      <c r="AM14" s="29" t="inlineStr">
        <is>
          <t>ACTIVE</t>
        </is>
      </c>
      <c r="AN14" s="29" t="n">
        <v>2023</v>
      </c>
      <c r="AO14" s="29" t="inlineStr">
        <is>
          <t>live case, no plan document yet</t>
        </is>
      </c>
      <c r="AP14" s="29" t="inlineStr">
        <is>
          <t>CAMBE</t>
        </is>
      </c>
      <c r="AQ14" s="29" t="inlineStr">
        <is>
          <t>PR</t>
        </is>
      </c>
      <c r="AR14" s="29" t="inlineStr">
        <is>
          <t>Fabricação de medicamentos alopáticos para uso humano</t>
        </is>
      </c>
      <c r="AS14" s="29" t="inlineStr">
        <is>
          <t>DEMAIS</t>
        </is>
      </c>
      <c r="AT14" s="29" t="inlineStr">
        <is>
          <t>LARGE CORP</t>
        </is>
      </c>
      <c r="AU14" s="29" t="inlineStr">
        <is>
          <t>61286647</t>
        </is>
      </c>
      <c r="AV14" s="29" t="n">
        <v>1</v>
      </c>
      <c r="AW14" s="29" t="inlineStr">
        <is>
          <t>PARTIAL_DOC_CLASS_III_RECONCILED ROWS:p31r4</t>
        </is>
      </c>
    </row>
    <row r="15">
      <c r="A15" s="15" t="inlineStr">
        <is>
          <t>BASTON INDUSTRIA DE AEROSSOIS LTDA</t>
        </is>
      </c>
      <c r="B15" s="16" t="n">
        <v>10636330.31</v>
      </c>
      <c r="C15" s="17" t="inlineStr">
        <is>
          <t>VEV COMERCIO DE MEDICAMENTOS LTDA EM RECUPERACAO JUDICIAL</t>
        </is>
      </c>
      <c r="D15" s="18" t="inlineStr">
        <is>
          <t>NEW</t>
        </is>
      </c>
      <c r="E15" s="19" t="inlineStr"/>
      <c r="F15" s="18" t="inlineStr"/>
      <c r="G15" s="19" t="inlineStr"/>
      <c r="H15" s="18" t="inlineStr"/>
      <c r="I15" s="20" t="inlineStr">
        <is>
          <t>Ronaldo Santos</t>
        </is>
      </c>
      <c r="J15" s="20" t="inlineStr">
        <is>
          <t>Chief Financial Officer</t>
        </is>
      </c>
      <c r="K15" s="20" t="inlineStr">
        <is>
          <t>(42) 3252-8120</t>
        </is>
      </c>
      <c r="L15" s="20" t="inlineStr">
        <is>
          <t>(42) 3252-1705</t>
        </is>
      </c>
      <c r="M15" s="20" t="inlineStr"/>
      <c r="N15" s="20" t="inlineStr"/>
      <c r="O15" s="20" t="inlineStr">
        <is>
          <t>filipe.lusana@baston.com.br</t>
        </is>
      </c>
      <c r="P15" s="20" t="inlineStr">
        <is>
          <t>Filipe Lusana</t>
        </is>
      </c>
      <c r="Q15" s="20" t="inlineStr">
        <is>
          <t>Vice Presidente Comercial</t>
        </is>
      </c>
      <c r="R15" s="20" t="inlineStr"/>
      <c r="S15" s="20" t="inlineStr">
        <is>
          <t>filipe.lusana@baston.com.br</t>
        </is>
      </c>
      <c r="T15" s="21" t="n">
        <v>10636330.31</v>
      </c>
      <c r="U15" s="22" t="inlineStr">
        <is>
          <t>B</t>
        </is>
      </c>
      <c r="V15" s="23">
        <f>IFERROR(VLOOKUP(U15,Assumptions!$A$7:$D$11,2,FALSE),0)</f>
        <v/>
      </c>
      <c r="W15" s="24">
        <f>MAX(0.5,IFERROR(VLOOKUP(U15,Assumptions!$A$7:$D$11,3,FALSE),3)+IFERROR(VLOOKUP(U15,Assumptions!$A$7:$D$11,4,FALSE),8)/2-IF(AN15="",0,YEAR(TODAY())-AN15))</f>
        <v/>
      </c>
      <c r="X15" s="21">
        <f>T15*V15/(1+Assumptions!$B$3)^W15</f>
        <v/>
      </c>
      <c r="Y15" s="25">
        <f>IF(T15=0,"",ROUND(X15/T15*100,1))</f>
        <v/>
      </c>
      <c r="Z15" s="26">
        <f>X15*Assumptions!$B$4</f>
        <v/>
      </c>
      <c r="AA15" s="25">
        <f>IF(T15=0,"",ROUND(Z15/T15*100,1))</f>
        <v/>
      </c>
      <c r="AB15" s="26">
        <f>X15-Z15</f>
        <v/>
      </c>
      <c r="AC15" s="25">
        <f>IF(T15=0,"",ROUND((X15-Z15)/T15*100,1))</f>
        <v/>
      </c>
      <c r="AD15" s="27" t="inlineStr">
        <is>
          <t>ESTIMATED</t>
        </is>
      </c>
      <c r="AE15" s="28" t="inlineStr">
        <is>
          <t>https://marquesadmjudicial.com.br/sgc/download.php?file=files/processo_documento/processo_documento15293208032024_1_.pdf&amp;nome=Relação Nominal de Credores da AJ-Sintética</t>
        </is>
      </c>
      <c r="AF15" s="27" t="inlineStr">
        <is>
          <t>p21 r8</t>
        </is>
      </c>
      <c r="AG15" s="27" t="inlineStr">
        <is>
          <t>p21: R$ 10.636.330,31</t>
        </is>
      </c>
      <c r="AH15" s="27" t="inlineStr">
        <is>
          <t>AJ_LIST</t>
        </is>
      </c>
      <c r="AI15" s="27" t="inlineStr">
        <is>
          <t>2023-03-02</t>
        </is>
      </c>
      <c r="AJ15" s="27" t="inlineStr">
        <is>
          <t>QUARANTINED</t>
        </is>
      </c>
      <c r="AK15" s="29" t="inlineStr">
        <is>
          <t>0005010-98.2023.8.16.0001</t>
        </is>
      </c>
      <c r="AL15" s="29" t="inlineStr">
        <is>
          <t>TJPR</t>
        </is>
      </c>
      <c r="AM15" s="29" t="inlineStr">
        <is>
          <t>ACTIVE</t>
        </is>
      </c>
      <c r="AN15" s="29" t="n">
        <v>2023</v>
      </c>
      <c r="AO15" s="29" t="inlineStr">
        <is>
          <t>live case, no plan document yet</t>
        </is>
      </c>
      <c r="AP15" s="29" t="inlineStr">
        <is>
          <t>PALMEIRA</t>
        </is>
      </c>
      <c r="AQ15" s="29" t="inlineStr">
        <is>
          <t>PR</t>
        </is>
      </c>
      <c r="AR15" s="29" t="inlineStr">
        <is>
          <t>Fabricação de outros produtos químicos não especificados anteriormente</t>
        </is>
      </c>
      <c r="AS15" s="29" t="inlineStr">
        <is>
          <t>DEMAIS</t>
        </is>
      </c>
      <c r="AT15" s="29" t="inlineStr">
        <is>
          <t>LARGE CORP</t>
        </is>
      </c>
      <c r="AU15" s="29" t="inlineStr">
        <is>
          <t>05855974</t>
        </is>
      </c>
      <c r="AV15" s="29" t="n">
        <v>1</v>
      </c>
      <c r="AW15" s="29" t="inlineStr">
        <is>
          <t>PARTIAL_DOC_CLASS_III_RECONCILED ROWS:p21r8</t>
        </is>
      </c>
    </row>
    <row r="16">
      <c r="A16" s="15" t="inlineStr">
        <is>
          <t>SPC BRASIL S.A.</t>
        </is>
      </c>
      <c r="B16" s="16" t="n">
        <v>18875473.82</v>
      </c>
      <c r="C16" s="17" t="inlineStr">
        <is>
          <t>E FALENCIA</t>
        </is>
      </c>
      <c r="D16" s="18" t="inlineStr">
        <is>
          <t>NEW</t>
        </is>
      </c>
      <c r="E16" s="19" t="inlineStr"/>
      <c r="F16" s="18" t="inlineStr"/>
      <c r="G16" s="19" t="inlineStr"/>
      <c r="H16" s="18" t="inlineStr"/>
      <c r="I16" s="20" t="inlineStr">
        <is>
          <t>Yago Nunes</t>
        </is>
      </c>
      <c r="J16" s="20" t="inlineStr">
        <is>
          <t>Analista de Controladoria e Pricing Sênior</t>
        </is>
      </c>
      <c r="K16" s="20" t="inlineStr">
        <is>
          <t>(11) 3549-6800</t>
        </is>
      </c>
      <c r="L16" s="20" t="inlineStr"/>
      <c r="M16" s="20" t="inlineStr"/>
      <c r="N16" s="20" t="inlineStr">
        <is>
          <t>yago.nunes@spcbrasil.com.br</t>
        </is>
      </c>
      <c r="O16" s="20" t="inlineStr">
        <is>
          <t>marcio.bauer@spcbrasil.com.br</t>
        </is>
      </c>
      <c r="P16" s="20" t="inlineStr">
        <is>
          <t>Marcio Bauer</t>
        </is>
      </c>
      <c r="Q16" s="20" t="inlineStr">
        <is>
          <t>Head Comercial Sul no SPC Brasil</t>
        </is>
      </c>
      <c r="R16" s="20" t="inlineStr"/>
      <c r="S16" s="20" t="inlineStr">
        <is>
          <t>marcio.bauer@spcbrasil.com.br</t>
        </is>
      </c>
      <c r="T16" s="21" t="n">
        <v>18875473.82</v>
      </c>
      <c r="U16" s="22" t="inlineStr">
        <is>
          <t>B</t>
        </is>
      </c>
      <c r="V16" s="23">
        <f>IFERROR(VLOOKUP(U16,Assumptions!$A$7:$D$11,2,FALSE),0)</f>
        <v/>
      </c>
      <c r="W16" s="24">
        <f>MAX(0.5,IFERROR(VLOOKUP(U16,Assumptions!$A$7:$D$11,3,FALSE),3)+IFERROR(VLOOKUP(U16,Assumptions!$A$7:$D$11,4,FALSE),8)/2-IF(AN16="",0,YEAR(TODAY())-AN16))</f>
        <v/>
      </c>
      <c r="X16" s="21">
        <f>T16*V16/(1+Assumptions!$B$3)^W16</f>
        <v/>
      </c>
      <c r="Y16" s="25">
        <f>IF(T16=0,"",ROUND(X16/T16*100,1))</f>
        <v/>
      </c>
      <c r="Z16" s="26">
        <f>X16*Assumptions!$B$4</f>
        <v/>
      </c>
      <c r="AA16" s="25">
        <f>IF(T16=0,"",ROUND(Z16/T16*100,1))</f>
        <v/>
      </c>
      <c r="AB16" s="26">
        <f>X16-Z16</f>
        <v/>
      </c>
      <c r="AC16" s="25">
        <f>IF(T16=0,"",ROUND((X16-Z16)/T16*100,1))</f>
        <v/>
      </c>
      <c r="AD16" s="27" t="inlineStr">
        <is>
          <t>ESTIMATED</t>
        </is>
      </c>
      <c r="AE16" s="28" t="inlineStr">
        <is>
          <t>https://recuperasolucoes.com/wp-content/plugins/download-attachments/includes/download.php?id=1597</t>
        </is>
      </c>
      <c r="AF16" s="27" t="inlineStr">
        <is>
          <t>p13 r8</t>
        </is>
      </c>
      <c r="AG16" s="27" t="inlineStr">
        <is>
          <t>p13: R$ 18.875.473,82</t>
        </is>
      </c>
      <c r="AH16" s="27" t="inlineStr">
        <is>
          <t>DEBTOR_LIST</t>
        </is>
      </c>
      <c r="AI16" s="27" t="inlineStr">
        <is>
          <t>2026-05-21</t>
        </is>
      </c>
      <c r="AJ16" s="27" t="inlineStr">
        <is>
          <t>OK</t>
        </is>
      </c>
      <c r="AK16" s="29" t="inlineStr">
        <is>
          <t>0001639-09.2026.8.17.2810</t>
        </is>
      </c>
      <c r="AL16" s="29" t="inlineStr">
        <is>
          <t>TJPE</t>
        </is>
      </c>
      <c r="AM16" s="29" t="inlineStr">
        <is>
          <t>ACTIVE</t>
        </is>
      </c>
      <c r="AN16" s="29" t="n">
        <v>2026</v>
      </c>
      <c r="AO16" s="29" t="inlineStr">
        <is>
          <t>live case, no plan document yet</t>
        </is>
      </c>
      <c r="AP16" s="29" t="inlineStr">
        <is>
          <t>BARUERI</t>
        </is>
      </c>
      <c r="AQ16" s="29" t="inlineStr">
        <is>
          <t>SP</t>
        </is>
      </c>
      <c r="AR16" s="29" t="inlineStr">
        <is>
          <t>Portais, provedores de conteúdo e outros serviços de informação na internet</t>
        </is>
      </c>
      <c r="AS16" s="29" t="inlineStr">
        <is>
          <t>DEMAIS</t>
        </is>
      </c>
      <c r="AT16" s="29" t="inlineStr">
        <is>
          <t>MID-MARKET</t>
        </is>
      </c>
      <c r="AU16" s="29" t="inlineStr">
        <is>
          <t>29341643</t>
        </is>
      </c>
      <c r="AV16" s="29" t="n">
        <v>1</v>
      </c>
      <c r="AW16" s="29" t="inlineStr">
        <is>
          <t>ROWS:p13r8</t>
        </is>
      </c>
    </row>
    <row r="17">
      <c r="A17" s="15" t="inlineStr">
        <is>
          <t>DANONE LTDA</t>
        </is>
      </c>
      <c r="B17" s="16" t="n">
        <v>9093937.710000001</v>
      </c>
      <c r="C17" s="17" t="inlineStr">
        <is>
          <t>VEV COMERCIO DE MEDICAMENTOS LTDA EM RECUPERACAO JUDICIAL</t>
        </is>
      </c>
      <c r="D17" s="18" t="inlineStr">
        <is>
          <t>NEW</t>
        </is>
      </c>
      <c r="E17" s="19" t="inlineStr"/>
      <c r="F17" s="18" t="inlineStr"/>
      <c r="G17" s="19" t="inlineStr"/>
      <c r="H17" s="18" t="inlineStr"/>
      <c r="I17" s="20" t="inlineStr">
        <is>
          <t>GEOVANI VIEIRA MANZANO</t>
        </is>
      </c>
      <c r="J17" s="20" t="inlineStr">
        <is>
          <t>Administrador</t>
        </is>
      </c>
      <c r="K17" s="20" t="inlineStr">
        <is>
          <t>(35) 3729-7901</t>
        </is>
      </c>
      <c r="L17" s="20" t="inlineStr"/>
      <c r="M17" s="20" t="inlineStr"/>
      <c r="N17" s="20" t="inlineStr"/>
      <c r="O17" s="20" t="inlineStr"/>
      <c r="P17" s="20" t="inlineStr">
        <is>
          <t>TIAGO CARNEIRO DOS SANTOS</t>
        </is>
      </c>
      <c r="Q17" s="20" t="inlineStr">
        <is>
          <t>Administrador</t>
        </is>
      </c>
      <c r="R17" s="20" t="inlineStr">
        <is>
          <t>(35) 3729-7901</t>
        </is>
      </c>
      <c r="S17" s="20" t="inlineStr"/>
      <c r="T17" s="21" t="n">
        <v>9093937.710000001</v>
      </c>
      <c r="U17" s="22" t="inlineStr">
        <is>
          <t>B</t>
        </is>
      </c>
      <c r="V17" s="23">
        <f>IFERROR(VLOOKUP(U17,Assumptions!$A$7:$D$11,2,FALSE),0)</f>
        <v/>
      </c>
      <c r="W17" s="24">
        <f>MAX(0.5,IFERROR(VLOOKUP(U17,Assumptions!$A$7:$D$11,3,FALSE),3)+IFERROR(VLOOKUP(U17,Assumptions!$A$7:$D$11,4,FALSE),8)/2-IF(AN17="",0,YEAR(TODAY())-AN17))</f>
        <v/>
      </c>
      <c r="X17" s="21">
        <f>T17*V17/(1+Assumptions!$B$3)^W17</f>
        <v/>
      </c>
      <c r="Y17" s="25">
        <f>IF(T17=0,"",ROUND(X17/T17*100,1))</f>
        <v/>
      </c>
      <c r="Z17" s="26">
        <f>X17*Assumptions!$B$4</f>
        <v/>
      </c>
      <c r="AA17" s="25">
        <f>IF(T17=0,"",ROUND(Z17/T17*100,1))</f>
        <v/>
      </c>
      <c r="AB17" s="26">
        <f>X17-Z17</f>
        <v/>
      </c>
      <c r="AC17" s="25">
        <f>IF(T17=0,"",ROUND((X17-Z17)/T17*100,1))</f>
        <v/>
      </c>
      <c r="AD17" s="27" t="inlineStr">
        <is>
          <t>ESTIMATED</t>
        </is>
      </c>
      <c r="AE17" s="28" t="inlineStr">
        <is>
          <t>https://marquesadmjudicial.com.br/sgc/download.php?file=files/processo_documento/processo_documento15293208032024_1_.pdf&amp;nome=Relação Nominal de Credores da AJ-Sintética</t>
        </is>
      </c>
      <c r="AF17" s="27" t="inlineStr">
        <is>
          <t>p24 r6</t>
        </is>
      </c>
      <c r="AG17" s="27" t="inlineStr">
        <is>
          <t>p24: R$ 9.093.937,71</t>
        </is>
      </c>
      <c r="AH17" s="27" t="inlineStr">
        <is>
          <t>AJ_LIST</t>
        </is>
      </c>
      <c r="AI17" s="27" t="inlineStr">
        <is>
          <t>2023-03-02</t>
        </is>
      </c>
      <c r="AJ17" s="27" t="inlineStr">
        <is>
          <t>QUARANTINED</t>
        </is>
      </c>
      <c r="AK17" s="29" t="inlineStr">
        <is>
          <t>0005010-98.2023.8.16.0001</t>
        </is>
      </c>
      <c r="AL17" s="29" t="inlineStr">
        <is>
          <t>TJPR</t>
        </is>
      </c>
      <c r="AM17" s="29" t="inlineStr">
        <is>
          <t>ACTIVE</t>
        </is>
      </c>
      <c r="AN17" s="29" t="n">
        <v>2023</v>
      </c>
      <c r="AO17" s="29" t="inlineStr">
        <is>
          <t>live case, no plan document yet</t>
        </is>
      </c>
      <c r="AP17" s="29" t="inlineStr">
        <is>
          <t>SAO PAULO</t>
        </is>
      </c>
      <c r="AQ17" s="29" t="inlineStr">
        <is>
          <t>SP</t>
        </is>
      </c>
      <c r="AR17" s="29" t="inlineStr">
        <is>
          <t>Fabricação de laticínios</t>
        </is>
      </c>
      <c r="AS17" s="29" t="inlineStr">
        <is>
          <t>DEMAIS</t>
        </is>
      </c>
      <c r="AT17" s="29" t="inlineStr">
        <is>
          <t>LARGE CORP</t>
        </is>
      </c>
      <c r="AU17" s="29" t="inlineStr">
        <is>
          <t>23643315</t>
        </is>
      </c>
      <c r="AV17" s="29" t="n">
        <v>1</v>
      </c>
      <c r="AW17" s="29" t="inlineStr">
        <is>
          <t>PARTIAL_DOC_CLASS_III_RECONCILED ROWS:p24r6</t>
        </is>
      </c>
    </row>
    <row r="18">
      <c r="A18" s="15" t="inlineStr">
        <is>
          <t>VINICOLA CAMPESTRE LTDA</t>
        </is>
      </c>
      <c r="B18" s="16" t="n">
        <v>13980345.5</v>
      </c>
      <c r="C18" s="17" t="inlineStr">
        <is>
          <t>ARRUDA &amp; MELO COMERCIO E DISTRIBUICAO DE ALIMENTOS E BEBIDAS LTDA</t>
        </is>
      </c>
      <c r="D18" s="18" t="inlineStr">
        <is>
          <t>NEW</t>
        </is>
      </c>
      <c r="E18" s="19" t="inlineStr"/>
      <c r="F18" s="18" t="inlineStr"/>
      <c r="G18" s="19" t="inlineStr"/>
      <c r="H18" s="18" t="inlineStr"/>
      <c r="I18" s="20" t="inlineStr">
        <is>
          <t>Carlos Quintus</t>
        </is>
      </c>
      <c r="J18" s="20" t="inlineStr">
        <is>
          <t>Commercial Director</t>
        </is>
      </c>
      <c r="K18" s="20" t="inlineStr">
        <is>
          <t>(54) 3511-6050</t>
        </is>
      </c>
      <c r="L18" s="20" t="inlineStr">
        <is>
          <t>(54) 3511-6052</t>
        </is>
      </c>
      <c r="M18" s="20" t="inlineStr"/>
      <c r="N18" s="20" t="inlineStr">
        <is>
          <t>carlos.quintus@pergola.com.br</t>
        </is>
      </c>
      <c r="O18" s="20" t="inlineStr"/>
      <c r="P18" s="20" t="inlineStr">
        <is>
          <t>Camila Treptow</t>
        </is>
      </c>
      <c r="Q18" s="20" t="inlineStr">
        <is>
          <t>Financial Analyst</t>
        </is>
      </c>
      <c r="R18" s="20" t="inlineStr"/>
      <c r="S18" s="20" t="inlineStr"/>
      <c r="T18" s="21" t="n">
        <v>13980345.5</v>
      </c>
      <c r="U18" s="22" t="inlineStr">
        <is>
          <t>B</t>
        </is>
      </c>
      <c r="V18" s="23">
        <f>IFERROR(VLOOKUP(U18,Assumptions!$A$7:$D$11,2,FALSE),0)</f>
        <v/>
      </c>
      <c r="W18" s="24">
        <f>MAX(0.5,IFERROR(VLOOKUP(U18,Assumptions!$A$7:$D$11,3,FALSE),3)+IFERROR(VLOOKUP(U18,Assumptions!$A$7:$D$11,4,FALSE),8)/2-IF(AN18="",0,YEAR(TODAY())-AN18))</f>
        <v/>
      </c>
      <c r="X18" s="21">
        <f>T18*V18/(1+Assumptions!$B$3)^W18</f>
        <v/>
      </c>
      <c r="Y18" s="25">
        <f>IF(T18=0,"",ROUND(X18/T18*100,1))</f>
        <v/>
      </c>
      <c r="Z18" s="26">
        <f>X18*Assumptions!$B$4</f>
        <v/>
      </c>
      <c r="AA18" s="25">
        <f>IF(T18=0,"",ROUND(Z18/T18*100,1))</f>
        <v/>
      </c>
      <c r="AB18" s="26">
        <f>X18-Z18</f>
        <v/>
      </c>
      <c r="AC18" s="25">
        <f>IF(T18=0,"",ROUND((X18-Z18)/T18*100,1))</f>
        <v/>
      </c>
      <c r="AD18" s="27" t="inlineStr">
        <is>
          <t>ESTIMATED</t>
        </is>
      </c>
      <c r="AE18" s="28" t="inlineStr">
        <is>
          <t>https://diligence.adm.br/wp-content/uploads/2025/06/Edital-1a-Lista-de-Credores.pdf</t>
        </is>
      </c>
      <c r="AF18" s="27" t="inlineStr">
        <is>
          <t>p5 r60; p5 r61</t>
        </is>
      </c>
      <c r="AG18" s="27" t="inlineStr">
        <is>
          <t>p5: R$ 4.421.862,65; p5: R$ 9.558.482,85</t>
        </is>
      </c>
      <c r="AH18" s="27" t="inlineStr">
        <is>
          <t>DEBTOR_LIST</t>
        </is>
      </c>
      <c r="AI18" s="27" t="inlineStr">
        <is>
          <t>2025-06-10</t>
        </is>
      </c>
      <c r="AJ18" s="27" t="inlineStr">
        <is>
          <t>OK</t>
        </is>
      </c>
      <c r="AK18" s="29" t="inlineStr">
        <is>
          <t>0008526-45.2025.8.17.2001</t>
        </is>
      </c>
      <c r="AL18" s="29" t="inlineStr">
        <is>
          <t>TJPE</t>
        </is>
      </c>
      <c r="AM18" s="29" t="inlineStr">
        <is>
          <t>ACTIVE</t>
        </is>
      </c>
      <c r="AN18" s="29" t="n">
        <v>2025</v>
      </c>
      <c r="AO18" s="29" t="inlineStr">
        <is>
          <t>live case, no plan document yet</t>
        </is>
      </c>
      <c r="AP18" s="29" t="inlineStr">
        <is>
          <t>CAMPESTRE DA SERRA</t>
        </is>
      </c>
      <c r="AQ18" s="29" t="inlineStr">
        <is>
          <t>RS</t>
        </is>
      </c>
      <c r="AR18" s="29" t="inlineStr">
        <is>
          <t>Fabricação de vinho</t>
        </is>
      </c>
      <c r="AS18" s="29" t="inlineStr">
        <is>
          <t>DEMAIS</t>
        </is>
      </c>
      <c r="AT18" s="29" t="inlineStr">
        <is>
          <t>LARGE CORP</t>
        </is>
      </c>
      <c r="AU18" s="29" t="inlineStr">
        <is>
          <t>98521909</t>
        </is>
      </c>
      <c r="AV18" s="29" t="n">
        <v>2</v>
      </c>
      <c r="AW18" s="29" t="inlineStr">
        <is>
          <t>ROWS:p5r60,p5r61</t>
        </is>
      </c>
    </row>
    <row r="19">
      <c r="A19" s="15" t="inlineStr">
        <is>
          <t>CLIMAZON INDUSTRIAL LTDA</t>
        </is>
      </c>
      <c r="B19" s="16" t="n">
        <v>8012248.57</v>
      </c>
      <c r="C19" s="17" t="inlineStr">
        <is>
          <t>REAL DISTRIBUIDORA ÚNICA RIO COMÉRCIO DE REFRIGERAÇÃO LTDA</t>
        </is>
      </c>
      <c r="D19" s="18" t="inlineStr">
        <is>
          <t>NEW</t>
        </is>
      </c>
      <c r="E19" s="19" t="inlineStr"/>
      <c r="F19" s="18" t="inlineStr"/>
      <c r="G19" s="19" t="inlineStr"/>
      <c r="H19" s="18" t="inlineStr"/>
      <c r="I19" s="20" t="inlineStr">
        <is>
          <t>ADRIANO ZACCARI FORTUNA</t>
        </is>
      </c>
      <c r="J19" s="20" t="inlineStr">
        <is>
          <t>Administrador</t>
        </is>
      </c>
      <c r="K19" s="20" t="inlineStr">
        <is>
          <t>(51) 3477-9873</t>
        </is>
      </c>
      <c r="L19" s="20" t="inlineStr">
        <is>
          <t>(51) 3477-9684</t>
        </is>
      </c>
      <c r="M19" s="20" t="inlineStr"/>
      <c r="N19" s="20" t="inlineStr"/>
      <c r="O19" s="20" t="inlineStr"/>
      <c r="P19" s="20" t="inlineStr">
        <is>
          <t>LUCIANO FREITAS DE OLIVEIRA</t>
        </is>
      </c>
      <c r="Q19" s="20" t="inlineStr">
        <is>
          <t>Administrador</t>
        </is>
      </c>
      <c r="R19" s="20" t="inlineStr">
        <is>
          <t>(51) 3477-9684</t>
        </is>
      </c>
      <c r="S19" s="20" t="inlineStr"/>
      <c r="T19" s="21" t="n">
        <v>8012248.57</v>
      </c>
      <c r="U19" s="22" t="inlineStr">
        <is>
          <t>B</t>
        </is>
      </c>
      <c r="V19" s="23">
        <f>IFERROR(VLOOKUP(U19,Assumptions!$A$7:$D$11,2,FALSE),0)</f>
        <v/>
      </c>
      <c r="W19" s="24">
        <f>MAX(0.5,IFERROR(VLOOKUP(U19,Assumptions!$A$7:$D$11,3,FALSE),3)+IFERROR(VLOOKUP(U19,Assumptions!$A$7:$D$11,4,FALSE),8)/2-IF(AN19="",0,YEAR(TODAY())-AN19))</f>
        <v/>
      </c>
      <c r="X19" s="21">
        <f>T19*V19/(1+Assumptions!$B$3)^W19</f>
        <v/>
      </c>
      <c r="Y19" s="25">
        <f>IF(T19=0,"",ROUND(X19/T19*100,1))</f>
        <v/>
      </c>
      <c r="Z19" s="26">
        <f>X19*Assumptions!$B$4</f>
        <v/>
      </c>
      <c r="AA19" s="25">
        <f>IF(T19=0,"",ROUND(Z19/T19*100,1))</f>
        <v/>
      </c>
      <c r="AB19" s="26">
        <f>X19-Z19</f>
        <v/>
      </c>
      <c r="AC19" s="25">
        <f>IF(T19=0,"",ROUND((X19-Z19)/T19*100,1))</f>
        <v/>
      </c>
      <c r="AD19" s="27" t="inlineStr">
        <is>
          <t>UNKNOWN</t>
        </is>
      </c>
      <c r="AE19" s="28" t="inlineStr">
        <is>
          <t>https://inova-aj.com.br/wp-content/uploads/2026/08/1a-Relacao-de-Credores-Real.pdf</t>
        </is>
      </c>
      <c r="AF19" s="27" t="inlineStr">
        <is>
          <t>p1 r25</t>
        </is>
      </c>
      <c r="AG19" s="27" t="inlineStr">
        <is>
          <t>p1: R$ 8.012.248,57</t>
        </is>
      </c>
      <c r="AH19" s="27" t="inlineStr">
        <is>
          <t>AJ_LIST</t>
        </is>
      </c>
      <c r="AI19" s="27" t="inlineStr">
        <is>
          <t>2023-06-05</t>
        </is>
      </c>
      <c r="AJ19" s="27" t="inlineStr">
        <is>
          <t>OK</t>
        </is>
      </c>
      <c r="AK19" s="29" t="inlineStr">
        <is>
          <t>0873061-47.2023.8.19.0001</t>
        </is>
      </c>
      <c r="AL19" s="29" t="inlineStr">
        <is>
          <t>TJ</t>
        </is>
      </c>
      <c r="AM19" s="29" t="inlineStr"/>
      <c r="AN19" s="29" t="n">
        <v>2023</v>
      </c>
      <c r="AO19" s="29" t="inlineStr">
        <is>
          <t>live case, no plan document yet</t>
        </is>
      </c>
      <c r="AP19" s="29" t="inlineStr">
        <is>
          <t>MANAUS</t>
        </is>
      </c>
      <c r="AQ19" s="29" t="inlineStr">
        <is>
          <t>AM</t>
        </is>
      </c>
      <c r="AR19" s="29" t="inlineStr">
        <is>
          <t>Fabricação de aparelhos e equipamentos de ar condicionado para uso não-industrial</t>
        </is>
      </c>
      <c r="AS19" s="29" t="inlineStr">
        <is>
          <t>DEMAIS</t>
        </is>
      </c>
      <c r="AT19" s="29" t="inlineStr">
        <is>
          <t>MID-MARKET</t>
        </is>
      </c>
      <c r="AU19" s="29" t="inlineStr">
        <is>
          <t>04222931</t>
        </is>
      </c>
      <c r="AV19" s="29" t="n">
        <v>1</v>
      </c>
      <c r="AW19" s="29" t="inlineStr">
        <is>
          <t>ALT_VALUE:R$5.825.770,44 ROWS:p1r25</t>
        </is>
      </c>
    </row>
    <row r="20">
      <c r="A20" s="15" t="inlineStr">
        <is>
          <t>LEGRAND PHARMA INDUSTRIA FARMACEUTICA LTDA</t>
        </is>
      </c>
      <c r="B20" s="16" t="n">
        <v>7715049.72</v>
      </c>
      <c r="C20" s="17" t="inlineStr">
        <is>
          <t>VEV COMERCIO DE MEDICAMENTOS LTDA EM RECUPERACAO JUDICIAL</t>
        </is>
      </c>
      <c r="D20" s="18" t="inlineStr">
        <is>
          <t>NEW</t>
        </is>
      </c>
      <c r="E20" s="19" t="inlineStr"/>
      <c r="F20" s="18" t="inlineStr"/>
      <c r="G20" s="19" t="inlineStr"/>
      <c r="H20" s="18" t="inlineStr"/>
      <c r="I20" s="20" t="inlineStr">
        <is>
          <t>Edgar Figueiredo</t>
        </is>
      </c>
      <c r="J20" s="20" t="inlineStr">
        <is>
          <t>Gerente Nacional de Distribuição</t>
        </is>
      </c>
      <c r="K20" s="20" t="inlineStr">
        <is>
          <t>(19) 3887-9800</t>
        </is>
      </c>
      <c r="L20" s="20" t="inlineStr"/>
      <c r="M20" s="20" t="inlineStr"/>
      <c r="N20" s="20" t="inlineStr">
        <is>
          <t>edgar.figueiredo@legrandpharma.com.br</t>
        </is>
      </c>
      <c r="O20" s="20" t="inlineStr"/>
      <c r="P20" s="20" t="inlineStr">
        <is>
          <t>TATIANA AZEVEDO VILLELA SANTOS FONTES</t>
        </is>
      </c>
      <c r="Q20" s="20" t="inlineStr">
        <is>
          <t>Administrador</t>
        </is>
      </c>
      <c r="R20" s="20" t="inlineStr">
        <is>
          <t>(19) 3887-9800</t>
        </is>
      </c>
      <c r="S20" s="20" t="inlineStr"/>
      <c r="T20" s="21" t="n">
        <v>7715049.72</v>
      </c>
      <c r="U20" s="22" t="inlineStr">
        <is>
          <t>B</t>
        </is>
      </c>
      <c r="V20" s="23">
        <f>IFERROR(VLOOKUP(U20,Assumptions!$A$7:$D$11,2,FALSE),0)</f>
        <v/>
      </c>
      <c r="W20" s="24">
        <f>MAX(0.5,IFERROR(VLOOKUP(U20,Assumptions!$A$7:$D$11,3,FALSE),3)+IFERROR(VLOOKUP(U20,Assumptions!$A$7:$D$11,4,FALSE),8)/2-IF(AN20="",0,YEAR(TODAY())-AN20))</f>
        <v/>
      </c>
      <c r="X20" s="21">
        <f>T20*V20/(1+Assumptions!$B$3)^W20</f>
        <v/>
      </c>
      <c r="Y20" s="25">
        <f>IF(T20=0,"",ROUND(X20/T20*100,1))</f>
        <v/>
      </c>
      <c r="Z20" s="26">
        <f>X20*Assumptions!$B$4</f>
        <v/>
      </c>
      <c r="AA20" s="25">
        <f>IF(T20=0,"",ROUND(Z20/T20*100,1))</f>
        <v/>
      </c>
      <c r="AB20" s="26">
        <f>X20-Z20</f>
        <v/>
      </c>
      <c r="AC20" s="25">
        <f>IF(T20=0,"",ROUND((X20-Z20)/T20*100,1))</f>
        <v/>
      </c>
      <c r="AD20" s="27" t="inlineStr">
        <is>
          <t>ESTIMATED</t>
        </is>
      </c>
      <c r="AE20" s="28" t="inlineStr">
        <is>
          <t>https://marquesadmjudicial.com.br/sgc/download.php?file=files/processo_documento/processo_documento15293208032024_1_.pdf&amp;nome=Relação Nominal de Credores da AJ-Sintética</t>
        </is>
      </c>
      <c r="AF20" s="27" t="inlineStr">
        <is>
          <t>p28 r5</t>
        </is>
      </c>
      <c r="AG20" s="27" t="inlineStr">
        <is>
          <t>p28: R$ 7.715.049,72</t>
        </is>
      </c>
      <c r="AH20" s="27" t="inlineStr">
        <is>
          <t>AJ_LIST</t>
        </is>
      </c>
      <c r="AI20" s="27" t="inlineStr">
        <is>
          <t>2023-03-02</t>
        </is>
      </c>
      <c r="AJ20" s="27" t="inlineStr">
        <is>
          <t>QUARANTINED</t>
        </is>
      </c>
      <c r="AK20" s="29" t="inlineStr">
        <is>
          <t>0005010-98.2023.8.16.0001</t>
        </is>
      </c>
      <c r="AL20" s="29" t="inlineStr">
        <is>
          <t>TJPR</t>
        </is>
      </c>
      <c r="AM20" s="29" t="inlineStr">
        <is>
          <t>ACTIVE</t>
        </is>
      </c>
      <c r="AN20" s="29" t="n">
        <v>2023</v>
      </c>
      <c r="AO20" s="29" t="inlineStr">
        <is>
          <t>live case, no plan document yet</t>
        </is>
      </c>
      <c r="AP20" s="29" t="inlineStr">
        <is>
          <t>HORTOLANDIA</t>
        </is>
      </c>
      <c r="AQ20" s="29" t="inlineStr">
        <is>
          <t>SP</t>
        </is>
      </c>
      <c r="AR20" s="29" t="inlineStr">
        <is>
          <t>Fabricação de medicamentos alopáticos para uso humano</t>
        </is>
      </c>
      <c r="AS20" s="29" t="inlineStr">
        <is>
          <t>DEMAIS</t>
        </is>
      </c>
      <c r="AT20" s="29" t="inlineStr">
        <is>
          <t>MID-MARKET</t>
        </is>
      </c>
      <c r="AU20" s="29" t="inlineStr">
        <is>
          <t>05044984</t>
        </is>
      </c>
      <c r="AV20" s="29" t="n">
        <v>1</v>
      </c>
      <c r="AW20" s="29" t="inlineStr">
        <is>
          <t>PARTIAL_DOC_CLASS_III_RECONCILED ROWS:p28r5</t>
        </is>
      </c>
    </row>
    <row r="21">
      <c r="A21" s="15" t="inlineStr">
        <is>
          <t>ALBAUGH AGRO BRASIL LTDA.</t>
        </is>
      </c>
      <c r="B21" s="16" t="n">
        <v>11525550.26</v>
      </c>
      <c r="C21" s="17" t="inlineStr">
        <is>
          <t>NORTESUL COMERCIAL AGRICOLA LTDA EM RECUPERACAO JUDICIAL</t>
        </is>
      </c>
      <c r="D21" s="18" t="inlineStr">
        <is>
          <t>NEW</t>
        </is>
      </c>
      <c r="E21" s="19" t="inlineStr"/>
      <c r="F21" s="18" t="inlineStr"/>
      <c r="G21" s="19" t="inlineStr"/>
      <c r="H21" s="18" t="inlineStr"/>
      <c r="I21" s="20" t="inlineStr">
        <is>
          <t>CESAR EMILIANO ROJAS RUIZ</t>
        </is>
      </c>
      <c r="J21" s="20" t="inlineStr">
        <is>
          <t>Administrador</t>
        </is>
      </c>
      <c r="K21" s="20" t="inlineStr">
        <is>
          <t>(11) 3076-4243</t>
        </is>
      </c>
      <c r="L21" s="20" t="inlineStr"/>
      <c r="M21" s="20" t="inlineStr"/>
      <c r="N21" s="20" t="inlineStr"/>
      <c r="O21" s="20" t="inlineStr"/>
      <c r="P21" s="20" t="inlineStr">
        <is>
          <t>MARCELO PACE</t>
        </is>
      </c>
      <c r="Q21" s="20" t="inlineStr">
        <is>
          <t>Administrador</t>
        </is>
      </c>
      <c r="R21" s="20" t="inlineStr">
        <is>
          <t>(11) 3076-4243</t>
        </is>
      </c>
      <c r="S21" s="20" t="inlineStr"/>
      <c r="T21" s="21" t="n">
        <v>11525550.26</v>
      </c>
      <c r="U21" s="22" t="inlineStr">
        <is>
          <t>B</t>
        </is>
      </c>
      <c r="V21" s="23">
        <f>IFERROR(VLOOKUP(U21,Assumptions!$A$7:$D$11,2,FALSE),0)</f>
        <v/>
      </c>
      <c r="W21" s="24">
        <f>MAX(0.5,IFERROR(VLOOKUP(U21,Assumptions!$A$7:$D$11,3,FALSE),3)+IFERROR(VLOOKUP(U21,Assumptions!$A$7:$D$11,4,FALSE),8)/2-IF(AN21="",0,YEAR(TODAY())-AN21))</f>
        <v/>
      </c>
      <c r="X21" s="21">
        <f>T21*V21/(1+Assumptions!$B$3)^W21</f>
        <v/>
      </c>
      <c r="Y21" s="25">
        <f>IF(T21=0,"",ROUND(X21/T21*100,1))</f>
        <v/>
      </c>
      <c r="Z21" s="26">
        <f>X21*Assumptions!$B$4</f>
        <v/>
      </c>
      <c r="AA21" s="25">
        <f>IF(T21=0,"",ROUND(Z21/T21*100,1))</f>
        <v/>
      </c>
      <c r="AB21" s="26">
        <f>X21-Z21</f>
        <v/>
      </c>
      <c r="AC21" s="25">
        <f>IF(T21=0,"",ROUND((X21-Z21)/T21*100,1))</f>
        <v/>
      </c>
      <c r="AD21" s="27" t="inlineStr">
        <is>
          <t>ESTIMATED</t>
        </is>
      </c>
      <c r="AE21" s="28" t="inlineStr">
        <is>
          <t>https://lrflideres.com.br/wp-content/plugins/download-attachments/includes/download.php?id=6879</t>
        </is>
      </c>
      <c r="AF21" s="27" t="inlineStr">
        <is>
          <t>p1 r4</t>
        </is>
      </c>
      <c r="AG21" s="27" t="inlineStr">
        <is>
          <t>p1: R$ 11.525.550,26</t>
        </is>
      </c>
      <c r="AH21" s="27" t="inlineStr">
        <is>
          <t>AJ_LIST</t>
        </is>
      </c>
      <c r="AI21" s="27" t="inlineStr">
        <is>
          <t>2026-01-15</t>
        </is>
      </c>
      <c r="AJ21" s="27" t="inlineStr">
        <is>
          <t>OK</t>
        </is>
      </c>
      <c r="AK21" s="29" t="inlineStr">
        <is>
          <t>0804401-51.2025.8.14.0039</t>
        </is>
      </c>
      <c r="AL21" s="29" t="inlineStr">
        <is>
          <t>TJPA</t>
        </is>
      </c>
      <c r="AM21" s="29" t="inlineStr">
        <is>
          <t>ACTIVE</t>
        </is>
      </c>
      <c r="AN21" s="29" t="n">
        <v>2025</v>
      </c>
      <c r="AO21" s="29" t="inlineStr">
        <is>
          <t>live case, no plan document yet</t>
        </is>
      </c>
      <c r="AP21" s="29" t="inlineStr">
        <is>
          <t>SAO PAULO</t>
        </is>
      </c>
      <c r="AQ21" s="29" t="inlineStr">
        <is>
          <t>SP</t>
        </is>
      </c>
      <c r="AR21" s="29" t="inlineStr">
        <is>
          <t>Fabricação de defensivos agrícolas</t>
        </is>
      </c>
      <c r="AS21" s="29" t="inlineStr">
        <is>
          <t>DEMAIS</t>
        </is>
      </c>
      <c r="AT21" s="29" t="inlineStr">
        <is>
          <t>LARGE CORP</t>
        </is>
      </c>
      <c r="AU21" s="29" t="inlineStr">
        <is>
          <t>01789121</t>
        </is>
      </c>
      <c r="AV21" s="29" t="n">
        <v>1</v>
      </c>
      <c r="AW21" s="29" t="inlineStr">
        <is>
          <t>ROWS:p1r4</t>
        </is>
      </c>
    </row>
    <row r="22">
      <c r="A22" s="15" t="inlineStr">
        <is>
          <t>CATAO CONFECCOES LTDA - EM RECUPERACAO JUDICIAL</t>
        </is>
      </c>
      <c r="B22" s="16" t="n">
        <v>5843155.75</v>
      </c>
      <c r="C22" s="17" t="inlineStr">
        <is>
          <t>R W CONSTRUCOES LTDA</t>
        </is>
      </c>
      <c r="D22" s="18" t="inlineStr">
        <is>
          <t>NEW</t>
        </is>
      </c>
      <c r="E22" s="19" t="inlineStr"/>
      <c r="F22" s="18" t="inlineStr"/>
      <c r="G22" s="19" t="inlineStr"/>
      <c r="H22" s="18" t="inlineStr"/>
      <c r="I22" s="20" t="inlineStr">
        <is>
          <t>FLAVIO DANTAS CATAO</t>
        </is>
      </c>
      <c r="J22" s="20" t="inlineStr">
        <is>
          <t>Sócio-Administrador</t>
        </is>
      </c>
      <c r="K22" s="20" t="inlineStr">
        <is>
          <t>000000000000</t>
        </is>
      </c>
      <c r="L22" s="20" t="inlineStr"/>
      <c r="M22" s="20" t="inlineStr"/>
      <c r="N22" s="20" t="inlineStr"/>
      <c r="O22" s="20" t="inlineStr"/>
      <c r="P22" s="20" t="inlineStr"/>
      <c r="Q22" s="20" t="inlineStr"/>
      <c r="R22" s="20" t="inlineStr"/>
      <c r="S22" s="20" t="inlineStr"/>
      <c r="T22" s="21" t="n">
        <v>5843155.75</v>
      </c>
      <c r="U22" s="22" t="inlineStr">
        <is>
          <t>B</t>
        </is>
      </c>
      <c r="V22" s="23">
        <f>IFERROR(VLOOKUP(U22,Assumptions!$A$7:$D$11,2,FALSE),0)</f>
        <v/>
      </c>
      <c r="W22" s="24">
        <f>MAX(0.5,IFERROR(VLOOKUP(U22,Assumptions!$A$7:$D$11,3,FALSE),3)+IFERROR(VLOOKUP(U22,Assumptions!$A$7:$D$11,4,FALSE),8)/2-IF(AN22="",0,YEAR(TODAY())-AN22))</f>
        <v/>
      </c>
      <c r="X22" s="21">
        <f>T22*V22/(1+Assumptions!$B$3)^W22</f>
        <v/>
      </c>
      <c r="Y22" s="25">
        <f>IF(T22=0,"",ROUND(X22/T22*100,1))</f>
        <v/>
      </c>
      <c r="Z22" s="26">
        <f>X22*Assumptions!$B$4</f>
        <v/>
      </c>
      <c r="AA22" s="25">
        <f>IF(T22=0,"",ROUND(Z22/T22*100,1))</f>
        <v/>
      </c>
      <c r="AB22" s="26">
        <f>X22-Z22</f>
        <v/>
      </c>
      <c r="AC22" s="25">
        <f>IF(T22=0,"",ROUND((X22-Z22)/T22*100,1))</f>
        <v/>
      </c>
      <c r="AD22" s="27" t="inlineStr">
        <is>
          <t>ESTIMATED</t>
        </is>
      </c>
      <c r="AE22" s="28" t="inlineStr">
        <is>
          <t>https://lrflideres.com.br/wp-content/plugins/download-attachments/includes/download.php?id=4023</t>
        </is>
      </c>
      <c r="AF22" s="27" t="inlineStr">
        <is>
          <t>p4 r60; p9 r62</t>
        </is>
      </c>
      <c r="AG22" s="27" t="inlineStr">
        <is>
          <t>p4: R$ 1.447.463,41; p9: R$ 4.395.692,34</t>
        </is>
      </c>
      <c r="AH22" s="27" t="inlineStr">
        <is>
          <t>DEBTOR_LIST</t>
        </is>
      </c>
      <c r="AI22" s="27" t="inlineStr"/>
      <c r="AJ22" s="27" t="inlineStr">
        <is>
          <t>QUARANTINED</t>
        </is>
      </c>
      <c r="AK22" s="29" t="inlineStr">
        <is>
          <t>0002484-82.2022.8.17.2001</t>
        </is>
      </c>
      <c r="AL22" s="29" t="inlineStr">
        <is>
          <t>TJPE</t>
        </is>
      </c>
      <c r="AM22" s="29" t="inlineStr">
        <is>
          <t>ACTIVE</t>
        </is>
      </c>
      <c r="AN22" s="29" t="n">
        <v>2022</v>
      </c>
      <c r="AO22" s="29" t="inlineStr">
        <is>
          <t>live case, no plan document yet</t>
        </is>
      </c>
      <c r="AP22" s="29" t="inlineStr">
        <is>
          <t>RECIFE</t>
        </is>
      </c>
      <c r="AQ22" s="29" t="inlineStr">
        <is>
          <t>PE</t>
        </is>
      </c>
      <c r="AR22" s="29" t="inlineStr">
        <is>
          <t>Comércio varejista de artigos do vestuário e acessórios</t>
        </is>
      </c>
      <c r="AS22" s="29" t="inlineStr">
        <is>
          <t>DEMAIS</t>
        </is>
      </c>
      <c r="AT22" s="29" t="inlineStr">
        <is>
          <t>MID-MARKET</t>
        </is>
      </c>
      <c r="AU22" s="29" t="inlineStr">
        <is>
          <t>10775286</t>
        </is>
      </c>
      <c r="AV22" s="29" t="n">
        <v>2</v>
      </c>
      <c r="AW22" s="29" t="inlineStr">
        <is>
          <t>PARTIAL_DOC_CLASS_III_RECONCILED ROWS:p4r60,p9r62</t>
        </is>
      </c>
    </row>
    <row r="23">
      <c r="A23" s="15" t="inlineStr">
        <is>
          <t>FEDERACAO PERNAMBUCANA DE FUTEBOL</t>
        </is>
      </c>
      <c r="B23" s="16" t="n">
        <v>7251967.09</v>
      </c>
      <c r="C23" s="17" t="inlineStr">
        <is>
          <t>CLUBE NAUTICO CAPIBARIBE - EM RECUPERACAO JUDICIAL</t>
        </is>
      </c>
      <c r="D23" s="18" t="inlineStr">
        <is>
          <t>NEW</t>
        </is>
      </c>
      <c r="E23" s="19" t="inlineStr"/>
      <c r="F23" s="18" t="inlineStr"/>
      <c r="G23" s="19" t="inlineStr"/>
      <c r="H23" s="18" t="inlineStr"/>
      <c r="I23" s="20" t="inlineStr">
        <is>
          <t>Pedro Lacerda</t>
        </is>
      </c>
      <c r="J23" s="20" t="inlineStr">
        <is>
          <t>Diretor de Governança e Compliance</t>
        </is>
      </c>
      <c r="K23" s="20" t="inlineStr"/>
      <c r="L23" s="20" t="inlineStr"/>
      <c r="M23" s="20" t="inlineStr"/>
      <c r="N23" s="20" t="inlineStr">
        <is>
          <t>pedro.lacerda@fpf-pe.com.br</t>
        </is>
      </c>
      <c r="O23" s="20" t="inlineStr"/>
      <c r="P23" s="20" t="inlineStr"/>
      <c r="Q23" s="20" t="inlineStr"/>
      <c r="R23" s="20" t="inlineStr"/>
      <c r="S23" s="20" t="inlineStr"/>
      <c r="T23" s="21" t="n">
        <v>7251967.09</v>
      </c>
      <c r="U23" s="22" t="inlineStr">
        <is>
          <t>B</t>
        </is>
      </c>
      <c r="V23" s="23">
        <f>IFERROR(VLOOKUP(U23,Assumptions!$A$7:$D$11,2,FALSE),0)</f>
        <v/>
      </c>
      <c r="W23" s="24">
        <f>MAX(0.5,IFERROR(VLOOKUP(U23,Assumptions!$A$7:$D$11,3,FALSE),3)+IFERROR(VLOOKUP(U23,Assumptions!$A$7:$D$11,4,FALSE),8)/2-IF(AN23="",0,YEAR(TODAY())-AN23))</f>
        <v/>
      </c>
      <c r="X23" s="21">
        <f>T23*V23/(1+Assumptions!$B$3)^W23</f>
        <v/>
      </c>
      <c r="Y23" s="25">
        <f>IF(T23=0,"",ROUND(X23/T23*100,1))</f>
        <v/>
      </c>
      <c r="Z23" s="26">
        <f>X23*Assumptions!$B$4</f>
        <v/>
      </c>
      <c r="AA23" s="25">
        <f>IF(T23=0,"",ROUND(Z23/T23*100,1))</f>
        <v/>
      </c>
      <c r="AB23" s="26">
        <f>X23-Z23</f>
        <v/>
      </c>
      <c r="AC23" s="25">
        <f>IF(T23=0,"",ROUND((X23-Z23)/T23*100,1))</f>
        <v/>
      </c>
      <c r="AD23" s="27" t="inlineStr">
        <is>
          <t>ESTIMATED</t>
        </is>
      </c>
      <c r="AE23" s="28" t="inlineStr">
        <is>
          <t>https://lrflideres.com.br/wp-content/plugins/download-attachments/includes/download.php?id=5589</t>
        </is>
      </c>
      <c r="AF23" s="27" t="inlineStr">
        <is>
          <t>p12 r9</t>
        </is>
      </c>
      <c r="AG23" s="27" t="inlineStr">
        <is>
          <t>p12: R$ 7.251.967,09</t>
        </is>
      </c>
      <c r="AH23" s="27" t="inlineStr">
        <is>
          <t>AJ_LIST</t>
        </is>
      </c>
      <c r="AI23" s="27" t="inlineStr">
        <is>
          <t>2023-11-27</t>
        </is>
      </c>
      <c r="AJ23" s="27" t="inlineStr">
        <is>
          <t>QUARANTINED</t>
        </is>
      </c>
      <c r="AK23" s="29" t="inlineStr">
        <is>
          <t>0011283-80.2023.8.17.2001</t>
        </is>
      </c>
      <c r="AL23" s="29" t="inlineStr">
        <is>
          <t>TJPE</t>
        </is>
      </c>
      <c r="AM23" s="29" t="inlineStr">
        <is>
          <t>ACTIVE</t>
        </is>
      </c>
      <c r="AN23" s="29" t="n">
        <v>2023</v>
      </c>
      <c r="AO23" s="29" t="inlineStr">
        <is>
          <t>live case, no plan document yet</t>
        </is>
      </c>
      <c r="AP23" s="29" t="inlineStr">
        <is>
          <t>RECIFE</t>
        </is>
      </c>
      <c r="AQ23" s="29" t="inlineStr">
        <is>
          <t>PE</t>
        </is>
      </c>
      <c r="AR23" s="29" t="inlineStr">
        <is>
          <t>Produção e promoção de eventos esportivos</t>
        </is>
      </c>
      <c r="AS23" s="29" t="inlineStr">
        <is>
          <t>DEMAIS</t>
        </is>
      </c>
      <c r="AT23" s="29" t="inlineStr">
        <is>
          <t>MID-MARKET</t>
        </is>
      </c>
      <c r="AU23" s="29" t="inlineStr">
        <is>
          <t>10956258</t>
        </is>
      </c>
      <c r="AV23" s="29" t="n">
        <v>1</v>
      </c>
      <c r="AW23" s="29" t="inlineStr">
        <is>
          <t>PARTIAL_DOC_CLASS_III_RECONCILED ROWS:p12r9</t>
        </is>
      </c>
    </row>
    <row r="24">
      <c r="A24" s="15" t="inlineStr">
        <is>
          <t>TABLEROS IND. E COM. DE PAINEIS LTDA</t>
        </is>
      </c>
      <c r="B24" s="16" t="n">
        <v>12966349.62</v>
      </c>
      <c r="C24" s="17" t="inlineStr">
        <is>
          <t>FORMAPLAN FORMAS PLANEJADAS INDUSTRIA E COMERCIO LTDA EM RECUPERACAO JUDICIAL</t>
        </is>
      </c>
      <c r="D24" s="18" t="inlineStr">
        <is>
          <t>NEW</t>
        </is>
      </c>
      <c r="E24" s="19" t="inlineStr"/>
      <c r="F24" s="18" t="inlineStr"/>
      <c r="G24" s="19" t="inlineStr"/>
      <c r="H24" s="18" t="inlineStr"/>
      <c r="I24" s="20" t="inlineStr">
        <is>
          <t>MARCIO GERALDO ROSA</t>
        </is>
      </c>
      <c r="J24" s="20" t="inlineStr">
        <is>
          <t>Sócio-Administrador</t>
        </is>
      </c>
      <c r="K24" s="20" t="inlineStr">
        <is>
          <t>(46) 3263-8500</t>
        </is>
      </c>
      <c r="L24" s="20" t="inlineStr"/>
      <c r="M24" s="20" t="inlineStr"/>
      <c r="N24" s="20" t="inlineStr"/>
      <c r="O24" s="20" t="inlineStr"/>
      <c r="P24" s="20" t="inlineStr"/>
      <c r="Q24" s="20" t="inlineStr"/>
      <c r="R24" s="20" t="inlineStr"/>
      <c r="S24" s="20" t="inlineStr"/>
      <c r="T24" s="21" t="n">
        <v>12966349.62</v>
      </c>
      <c r="U24" s="31" t="inlineStr">
        <is>
          <t>C</t>
        </is>
      </c>
      <c r="V24" s="23">
        <f>IFERROR(VLOOKUP(U24,Assumptions!$A$7:$D$11,2,FALSE),0)</f>
        <v/>
      </c>
      <c r="W24" s="24">
        <f>MAX(0.5,IFERROR(VLOOKUP(U24,Assumptions!$A$7:$D$11,3,FALSE),3)+IFERROR(VLOOKUP(U24,Assumptions!$A$7:$D$11,4,FALSE),8)/2-IF(AN24="",0,YEAR(TODAY())-AN24))</f>
        <v/>
      </c>
      <c r="X24" s="21">
        <f>T24*V24/(1+Assumptions!$B$3)^W24</f>
        <v/>
      </c>
      <c r="Y24" s="25">
        <f>IF(T24=0,"",ROUND(X24/T24*100,1))</f>
        <v/>
      </c>
      <c r="Z24" s="26">
        <f>X24*Assumptions!$B$4</f>
        <v/>
      </c>
      <c r="AA24" s="25">
        <f>IF(T24=0,"",ROUND(Z24/T24*100,1))</f>
        <v/>
      </c>
      <c r="AB24" s="26">
        <f>X24-Z24</f>
        <v/>
      </c>
      <c r="AC24" s="25">
        <f>IF(T24=0,"",ROUND((X24-Z24)/T24*100,1))</f>
        <v/>
      </c>
      <c r="AD24" s="27" t="inlineStr">
        <is>
          <t>ESTIMATED</t>
        </is>
      </c>
      <c r="AE24" s="28" t="inlineStr">
        <is>
          <t>https://marquesadmjudicial.com.br/sgc/download.php?file=files/processo_documento/processo_documento15232121112024_1_.pdf&amp;nome=Relação de Credores</t>
        </is>
      </c>
      <c r="AF24" s="27" t="inlineStr">
        <is>
          <t>p16 r3</t>
        </is>
      </c>
      <c r="AG24" s="27" t="inlineStr">
        <is>
          <t>p16: R$ 12.966.349,62</t>
        </is>
      </c>
      <c r="AH24" s="27" t="inlineStr">
        <is>
          <t>AJ_LIST</t>
        </is>
      </c>
      <c r="AI24" s="27" t="inlineStr">
        <is>
          <t>2021-01-22</t>
        </is>
      </c>
      <c r="AJ24" s="27" t="inlineStr">
        <is>
          <t>QUARANTINED</t>
        </is>
      </c>
      <c r="AK24" s="29" t="inlineStr">
        <is>
          <t>0000410-68.2021.8.16.0174</t>
        </is>
      </c>
      <c r="AL24" s="29" t="inlineStr">
        <is>
          <t>TJPR</t>
        </is>
      </c>
      <c r="AM24" s="29" t="inlineStr">
        <is>
          <t>ACTIVE</t>
        </is>
      </c>
      <c r="AN24" s="29" t="n">
        <v>2021</v>
      </c>
      <c r="AO24" s="29" t="inlineStr">
        <is>
          <t>5y since filing, no plan document</t>
        </is>
      </c>
      <c r="AP24" s="29" t="inlineStr">
        <is>
          <t>PALMAS</t>
        </is>
      </c>
      <c r="AQ24" s="29" t="inlineStr">
        <is>
          <t>PR</t>
        </is>
      </c>
      <c r="AR24" s="29" t="inlineStr">
        <is>
          <t>Fabricação de madeira laminada e de chapas de madeira compensada, prensada e aglomerada</t>
        </is>
      </c>
      <c r="AS24" s="29" t="inlineStr">
        <is>
          <t>DEMAIS</t>
        </is>
      </c>
      <c r="AT24" s="29" t="inlineStr">
        <is>
          <t>MID-MARKET</t>
        </is>
      </c>
      <c r="AU24" s="29" t="inlineStr">
        <is>
          <t>09402999</t>
        </is>
      </c>
      <c r="AV24" s="29" t="n">
        <v>1</v>
      </c>
      <c r="AW24" s="29" t="inlineStr">
        <is>
          <t>PARTIAL_DOC_CLASS_III_RECONCILED ROWS:p16r3</t>
        </is>
      </c>
    </row>
    <row r="25">
      <c r="A25" s="15" t="inlineStr">
        <is>
          <t>L'OREAL BRASIL COMERCIAL DE COSMETICOS LTDA</t>
        </is>
      </c>
      <c r="B25" s="16" t="n">
        <v>5955264.1</v>
      </c>
      <c r="C25" s="17" t="inlineStr">
        <is>
          <t>VEV COMERCIO DE MEDICAMENTOS LTDA EM RECUPERACAO JUDICIAL</t>
        </is>
      </c>
      <c r="D25" s="18" t="inlineStr">
        <is>
          <t>NEW</t>
        </is>
      </c>
      <c r="E25" s="19" t="inlineStr"/>
      <c r="F25" s="18" t="inlineStr"/>
      <c r="G25" s="19" t="inlineStr"/>
      <c r="H25" s="18" t="inlineStr"/>
      <c r="I25" s="20" t="inlineStr">
        <is>
          <t>MARCELO ZIMET</t>
        </is>
      </c>
      <c r="J25" s="20" t="inlineStr">
        <is>
          <t>Administrador</t>
        </is>
      </c>
      <c r="K25" s="20" t="inlineStr">
        <is>
          <t>(21) 4505-9616</t>
        </is>
      </c>
      <c r="L25" s="20" t="inlineStr"/>
      <c r="M25" s="20" t="inlineStr"/>
      <c r="N25" s="20" t="inlineStr"/>
      <c r="O25" s="20" t="inlineStr"/>
      <c r="P25" s="20" t="inlineStr"/>
      <c r="Q25" s="20" t="inlineStr"/>
      <c r="R25" s="20" t="inlineStr"/>
      <c r="S25" s="20" t="inlineStr"/>
      <c r="T25" s="21" t="n">
        <v>5955264.1</v>
      </c>
      <c r="U25" s="22" t="inlineStr">
        <is>
          <t>B</t>
        </is>
      </c>
      <c r="V25" s="23">
        <f>IFERROR(VLOOKUP(U25,Assumptions!$A$7:$D$11,2,FALSE),0)</f>
        <v/>
      </c>
      <c r="W25" s="24">
        <f>MAX(0.5,IFERROR(VLOOKUP(U25,Assumptions!$A$7:$D$11,3,FALSE),3)+IFERROR(VLOOKUP(U25,Assumptions!$A$7:$D$11,4,FALSE),8)/2-IF(AN25="",0,YEAR(TODAY())-AN25))</f>
        <v/>
      </c>
      <c r="X25" s="21">
        <f>T25*V25/(1+Assumptions!$B$3)^W25</f>
        <v/>
      </c>
      <c r="Y25" s="25">
        <f>IF(T25=0,"",ROUND(X25/T25*100,1))</f>
        <v/>
      </c>
      <c r="Z25" s="26">
        <f>X25*Assumptions!$B$4</f>
        <v/>
      </c>
      <c r="AA25" s="25">
        <f>IF(T25=0,"",ROUND(Z25/T25*100,1))</f>
        <v/>
      </c>
      <c r="AB25" s="26">
        <f>X25-Z25</f>
        <v/>
      </c>
      <c r="AC25" s="25">
        <f>IF(T25=0,"",ROUND((X25-Z25)/T25*100,1))</f>
        <v/>
      </c>
      <c r="AD25" s="27" t="inlineStr">
        <is>
          <t>ESTIMATED</t>
        </is>
      </c>
      <c r="AE25" s="28" t="inlineStr">
        <is>
          <t>https://marquesadmjudicial.com.br/sgc/download.php?file=files/processo_documento/processo_documento15293208032024_1_.pdf&amp;nome=Relação Nominal de Credores da AJ-Sintética</t>
        </is>
      </c>
      <c r="AF25" s="27" t="inlineStr">
        <is>
          <t>p28 r10</t>
        </is>
      </c>
      <c r="AG25" s="27" t="inlineStr">
        <is>
          <t>p28: R$ 5.955.264,10</t>
        </is>
      </c>
      <c r="AH25" s="27" t="inlineStr">
        <is>
          <t>AJ_LIST</t>
        </is>
      </c>
      <c r="AI25" s="27" t="inlineStr">
        <is>
          <t>2023-03-02</t>
        </is>
      </c>
      <c r="AJ25" s="27" t="inlineStr">
        <is>
          <t>QUARANTINED</t>
        </is>
      </c>
      <c r="AK25" s="29" t="inlineStr">
        <is>
          <t>0005010-98.2023.8.16.0001</t>
        </is>
      </c>
      <c r="AL25" s="29" t="inlineStr">
        <is>
          <t>TJPR</t>
        </is>
      </c>
      <c r="AM25" s="29" t="inlineStr">
        <is>
          <t>ACTIVE</t>
        </is>
      </c>
      <c r="AN25" s="29" t="n">
        <v>2023</v>
      </c>
      <c r="AO25" s="29" t="inlineStr">
        <is>
          <t>live case, no plan document yet</t>
        </is>
      </c>
      <c r="AP25" s="29" t="inlineStr">
        <is>
          <t>RIO DE JANEIRO</t>
        </is>
      </c>
      <c r="AQ25" s="29" t="inlineStr">
        <is>
          <t>RJ</t>
        </is>
      </c>
      <c r="AR25" s="29" t="inlineStr">
        <is>
          <t>Comércio atacadista de cosméticos e produtos de perfumaria</t>
        </is>
      </c>
      <c r="AS25" s="29" t="inlineStr">
        <is>
          <t>DEMAIS</t>
        </is>
      </c>
      <c r="AT25" s="29" t="inlineStr">
        <is>
          <t>LARGE CORP</t>
        </is>
      </c>
      <c r="AU25" s="29" t="inlineStr">
        <is>
          <t>30278428</t>
        </is>
      </c>
      <c r="AV25" s="29" t="n">
        <v>1</v>
      </c>
      <c r="AW25" s="29" t="inlineStr">
        <is>
          <t>PARTIAL_DOC_CLASS_III_RECONCILED ROWS:p28r10</t>
        </is>
      </c>
    </row>
    <row r="26">
      <c r="A26" s="15" t="inlineStr">
        <is>
          <t>AGROFIELD ASSESSORIA ADMINISTRATIVA LTDA</t>
        </is>
      </c>
      <c r="B26" s="16" t="n">
        <v>6434083.18</v>
      </c>
      <c r="C26" s="17" t="inlineStr">
        <is>
          <t>E FALENCIA</t>
        </is>
      </c>
      <c r="D26" s="18" t="inlineStr">
        <is>
          <t>NEW</t>
        </is>
      </c>
      <c r="E26" s="19" t="inlineStr"/>
      <c r="F26" s="18" t="inlineStr"/>
      <c r="G26" s="19" t="inlineStr"/>
      <c r="H26" s="18" t="inlineStr"/>
      <c r="I26" s="20" t="inlineStr">
        <is>
          <t>SERGIO LUIZ SILVA DA FONSECA LINS</t>
        </is>
      </c>
      <c r="J26" s="20" t="inlineStr">
        <is>
          <t>Sócio-Administrador</t>
        </is>
      </c>
      <c r="K26" s="20" t="inlineStr">
        <is>
          <t>(81) 3339-1977</t>
        </is>
      </c>
      <c r="L26" s="20" t="inlineStr"/>
      <c r="M26" s="20" t="inlineStr"/>
      <c r="N26" s="20" t="inlineStr"/>
      <c r="O26" s="20" t="inlineStr"/>
      <c r="P26" s="20" t="inlineStr"/>
      <c r="Q26" s="20" t="inlineStr"/>
      <c r="R26" s="20" t="inlineStr"/>
      <c r="S26" s="20" t="inlineStr"/>
      <c r="T26" s="21" t="n">
        <v>6434083.18</v>
      </c>
      <c r="U26" s="31" t="inlineStr">
        <is>
          <t>C</t>
        </is>
      </c>
      <c r="V26" s="23">
        <f>IFERROR(VLOOKUP(U26,Assumptions!$A$7:$D$11,2,FALSE),0)</f>
        <v/>
      </c>
      <c r="W26" s="24">
        <f>MAX(0.5,IFERROR(VLOOKUP(U26,Assumptions!$A$7:$D$11,3,FALSE),3)+IFERROR(VLOOKUP(U26,Assumptions!$A$7:$D$11,4,FALSE),8)/2-IF(AN26="",0,YEAR(TODAY())-AN26))</f>
        <v/>
      </c>
      <c r="X26" s="21">
        <f>T26*V26/(1+Assumptions!$B$3)^W26</f>
        <v/>
      </c>
      <c r="Y26" s="25">
        <f>IF(T26=0,"",ROUND(X26/T26*100,1))</f>
        <v/>
      </c>
      <c r="Z26" s="26">
        <f>X26*Assumptions!$B$4</f>
        <v/>
      </c>
      <c r="AA26" s="25">
        <f>IF(T26=0,"",ROUND(Z26/T26*100,1))</f>
        <v/>
      </c>
      <c r="AB26" s="26">
        <f>X26-Z26</f>
        <v/>
      </c>
      <c r="AC26" s="25">
        <f>IF(T26=0,"",ROUND((X26-Z26)/T26*100,1))</f>
        <v/>
      </c>
      <c r="AD26" s="27" t="inlineStr">
        <is>
          <t>UNKNOWN</t>
        </is>
      </c>
      <c r="AE26" s="28" t="inlineStr">
        <is>
          <t>https://diligence.adm.br/wp-content/plugins/download-attachments/includes/download.php?id=4579</t>
        </is>
      </c>
      <c r="AF26" s="27" t="inlineStr">
        <is>
          <t>p8 r2</t>
        </is>
      </c>
      <c r="AG26" s="27" t="inlineStr">
        <is>
          <t>p8: R$ 6.434.083,18</t>
        </is>
      </c>
      <c r="AH26" s="27" t="inlineStr">
        <is>
          <t>AJ_LIST</t>
        </is>
      </c>
      <c r="AI26" s="27" t="inlineStr">
        <is>
          <t>2024-06-11</t>
        </is>
      </c>
      <c r="AJ26" s="27" t="inlineStr">
        <is>
          <t>OK_NO_TOTALS</t>
        </is>
      </c>
      <c r="AK26" s="29" t="inlineStr">
        <is>
          <t>0032731-52.2010.8.17.0001</t>
        </is>
      </c>
      <c r="AL26" s="29" t="inlineStr">
        <is>
          <t>TJ</t>
        </is>
      </c>
      <c r="AM26" s="29" t="inlineStr"/>
      <c r="AN26" s="29" t="n">
        <v>2010</v>
      </c>
      <c r="AO26" s="29" t="inlineStr">
        <is>
          <t>16y since filing, no plan document</t>
        </is>
      </c>
      <c r="AP26" s="29" t="inlineStr">
        <is>
          <t>RECIFE</t>
        </is>
      </c>
      <c r="AQ26" s="29" t="inlineStr">
        <is>
          <t>PE</t>
        </is>
      </c>
      <c r="AR26" s="29" t="inlineStr">
        <is>
          <t>Atividades de intermediação e agenciamento de serviços e negócios em geral, exceto imobiliários</t>
        </is>
      </c>
      <c r="AS26" s="29" t="inlineStr">
        <is>
          <t>DEMAIS</t>
        </is>
      </c>
      <c r="AT26" s="29" t="inlineStr">
        <is>
          <t>MID-MARKET</t>
        </is>
      </c>
      <c r="AU26" s="29" t="inlineStr">
        <is>
          <t>06284974</t>
        </is>
      </c>
      <c r="AV26" s="29" t="n">
        <v>1</v>
      </c>
      <c r="AW26" s="29" t="inlineStr">
        <is>
          <t>ROWS:p8r2 UNRECONCILED_SOURCE VALUE_COL:Crédito_1ª_Lista</t>
        </is>
      </c>
    </row>
    <row r="27">
      <c r="A27" s="15" t="inlineStr">
        <is>
          <t>FIRST S/A</t>
        </is>
      </c>
      <c r="B27" s="16" t="n">
        <v>8354815.13</v>
      </c>
      <c r="C27" s="17" t="inlineStr"/>
      <c r="D27" s="18" t="inlineStr">
        <is>
          <t>NEW</t>
        </is>
      </c>
      <c r="E27" s="19" t="inlineStr"/>
      <c r="F27" s="18" t="inlineStr"/>
      <c r="G27" s="19" t="inlineStr"/>
      <c r="H27" s="18" t="inlineStr"/>
      <c r="I27" s="20" t="inlineStr">
        <is>
          <t>NATANAEL SANTOS DE SOUZA</t>
        </is>
      </c>
      <c r="J27" s="20" t="inlineStr">
        <is>
          <t>Presidente</t>
        </is>
      </c>
      <c r="K27" s="20" t="inlineStr">
        <is>
          <t>(11) 5054-8110</t>
        </is>
      </c>
      <c r="L27" s="20" t="inlineStr"/>
      <c r="M27" s="20" t="inlineStr"/>
      <c r="N27" s="20" t="inlineStr"/>
      <c r="O27" s="20" t="inlineStr"/>
      <c r="P27" s="20" t="inlineStr">
        <is>
          <t>MARA HELENA MARTINI DE SOUZA</t>
        </is>
      </c>
      <c r="Q27" s="20" t="inlineStr">
        <is>
          <t>Diretor</t>
        </is>
      </c>
      <c r="R27" s="20" t="inlineStr">
        <is>
          <t>(11) 5054-8110</t>
        </is>
      </c>
      <c r="S27" s="20" t="inlineStr"/>
      <c r="T27" s="21" t="n">
        <v>8354815.13</v>
      </c>
      <c r="U27" s="22" t="inlineStr">
        <is>
          <t>B</t>
        </is>
      </c>
      <c r="V27" s="23">
        <f>IFERROR(VLOOKUP(U27,Assumptions!$A$7:$D$11,2,FALSE),0)</f>
        <v/>
      </c>
      <c r="W27" s="24">
        <f>MAX(0.5,IFERROR(VLOOKUP(U27,Assumptions!$A$7:$D$11,3,FALSE),3)+IFERROR(VLOOKUP(U27,Assumptions!$A$7:$D$11,4,FALSE),8)/2-IF(AN27="",0,YEAR(TODAY())-AN27))</f>
        <v/>
      </c>
      <c r="X27" s="21">
        <f>T27*V27/(1+Assumptions!$B$3)^W27</f>
        <v/>
      </c>
      <c r="Y27" s="25">
        <f>IF(T27=0,"",ROUND(X27/T27*100,1))</f>
        <v/>
      </c>
      <c r="Z27" s="26">
        <f>X27*Assumptions!$B$4</f>
        <v/>
      </c>
      <c r="AA27" s="25">
        <f>IF(T27=0,"",ROUND(Z27/T27*100,1))</f>
        <v/>
      </c>
      <c r="AB27" s="26">
        <f>X27-Z27</f>
        <v/>
      </c>
      <c r="AC27" s="25">
        <f>IF(T27=0,"",ROUND((X27-Z27)/T27*100,1))</f>
        <v/>
      </c>
      <c r="AD27" s="27" t="inlineStr">
        <is>
          <t>UNKNOWN</t>
        </is>
      </c>
      <c r="AE27" s="28" t="inlineStr">
        <is>
          <t>https://credibilita.com.br/wp-content/uploads/2025/09/Relacao-Credores-29.04.2026.pdf</t>
        </is>
      </c>
      <c r="AF27" s="27" t="inlineStr">
        <is>
          <t>p1 r23</t>
        </is>
      </c>
      <c r="AG27" s="27" t="inlineStr">
        <is>
          <t>p1: R$ 8.354.815,13</t>
        </is>
      </c>
      <c r="AH27" s="27" t="inlineStr">
        <is>
          <t>UNKNOWN</t>
        </is>
      </c>
      <c r="AI27" s="27" t="inlineStr"/>
      <c r="AJ27" s="27" t="inlineStr">
        <is>
          <t>OK_NO_TOTALS</t>
        </is>
      </c>
      <c r="AK27" s="29" t="inlineStr">
        <is>
          <t>5057720-48.2025.8.24.0023</t>
        </is>
      </c>
      <c r="AL27" s="29" t="inlineStr">
        <is>
          <t>TJ</t>
        </is>
      </c>
      <c r="AM27" s="29" t="inlineStr"/>
      <c r="AN27" s="29" t="n">
        <v>2025</v>
      </c>
      <c r="AO27" s="29" t="inlineStr">
        <is>
          <t>live case, no plan document yet</t>
        </is>
      </c>
      <c r="AP27" s="29" t="inlineStr">
        <is>
          <t>SAO PAULO</t>
        </is>
      </c>
      <c r="AQ27" s="29" t="inlineStr">
        <is>
          <t>SP</t>
        </is>
      </c>
      <c r="AR27" s="29" t="inlineStr">
        <is>
          <t>Comércio atacadista especializado em outros produtos intermediários não especificados anteriormente</t>
        </is>
      </c>
      <c r="AS27" s="29" t="inlineStr">
        <is>
          <t>DEMAIS</t>
        </is>
      </c>
      <c r="AT27" s="29" t="inlineStr">
        <is>
          <t>MID-MARKET</t>
        </is>
      </c>
      <c r="AU27" s="29" t="inlineStr">
        <is>
          <t>00802235</t>
        </is>
      </c>
      <c r="AV27" s="29" t="n">
        <v>1</v>
      </c>
      <c r="AW27" s="29" t="inlineStr">
        <is>
          <t>ROWS:p1r23 UNRECONCILED_SOURCE VALUE_COL:Valor_Após_Analise</t>
        </is>
      </c>
    </row>
    <row r="28">
      <c r="A28" s="15" t="inlineStr">
        <is>
          <t>IPESA DO BRASIL COMERCIO DE PRODUTOS PLASTICOS LTDA</t>
        </is>
      </c>
      <c r="B28" s="16" t="n">
        <v>8353250</v>
      </c>
      <c r="C28" s="17" t="inlineStr"/>
      <c r="D28" s="18" t="inlineStr">
        <is>
          <t>NEW</t>
        </is>
      </c>
      <c r="E28" s="19" t="inlineStr"/>
      <c r="F28" s="18" t="inlineStr"/>
      <c r="G28" s="19" t="inlineStr"/>
      <c r="H28" s="18" t="inlineStr"/>
      <c r="I28" s="20" t="inlineStr">
        <is>
          <t>Virginia Kumvich</t>
        </is>
      </c>
      <c r="J28" s="20" t="inlineStr">
        <is>
          <t>Diretora Comercial, de Negócios &amp; Estratégia</t>
        </is>
      </c>
      <c r="K28" s="20" t="inlineStr">
        <is>
          <t>(11) 5524-2877</t>
        </is>
      </c>
      <c r="L28" s="20" t="inlineStr"/>
      <c r="M28" s="20" t="inlineStr"/>
      <c r="N28" s="20" t="inlineStr"/>
      <c r="O28" s="20" t="inlineStr"/>
      <c r="P28" s="20" t="inlineStr">
        <is>
          <t>Pedro Santos</t>
        </is>
      </c>
      <c r="Q28" s="20" t="inlineStr">
        <is>
          <t>Financial Analyst</t>
        </is>
      </c>
      <c r="R28" s="20" t="inlineStr"/>
      <c r="S28" s="20" t="inlineStr"/>
      <c r="T28" s="21" t="n">
        <v>8353250</v>
      </c>
      <c r="U28" s="22" t="inlineStr">
        <is>
          <t>B</t>
        </is>
      </c>
      <c r="V28" s="23">
        <f>IFERROR(VLOOKUP(U28,Assumptions!$A$7:$D$11,2,FALSE),0)</f>
        <v/>
      </c>
      <c r="W28" s="24">
        <f>MAX(0.5,IFERROR(VLOOKUP(U28,Assumptions!$A$7:$D$11,3,FALSE),3)+IFERROR(VLOOKUP(U28,Assumptions!$A$7:$D$11,4,FALSE),8)/2-IF(AN28="",0,YEAR(TODAY())-AN28))</f>
        <v/>
      </c>
      <c r="X28" s="21">
        <f>T28*V28/(1+Assumptions!$B$3)^W28</f>
        <v/>
      </c>
      <c r="Y28" s="25">
        <f>IF(T28=0,"",ROUND(X28/T28*100,1))</f>
        <v/>
      </c>
      <c r="Z28" s="26">
        <f>X28*Assumptions!$B$4</f>
        <v/>
      </c>
      <c r="AA28" s="25">
        <f>IF(T28=0,"",ROUND(Z28/T28*100,1))</f>
        <v/>
      </c>
      <c r="AB28" s="26">
        <f>X28-Z28</f>
        <v/>
      </c>
      <c r="AC28" s="25">
        <f>IF(T28=0,"",ROUND((X28-Z28)/T28*100,1))</f>
        <v/>
      </c>
      <c r="AD28" s="27" t="inlineStr">
        <is>
          <t>UNKNOWN</t>
        </is>
      </c>
      <c r="AE28" s="28" t="inlineStr">
        <is>
          <t>https://credibilita.com.br/wp-content/uploads/2025/09/Relacao-Credores-29.04.2026.pdf</t>
        </is>
      </c>
      <c r="AF28" s="27" t="inlineStr">
        <is>
          <t>p1 r27</t>
        </is>
      </c>
      <c r="AG28" s="27" t="inlineStr">
        <is>
          <t>p1: R$ 8.353.250,00</t>
        </is>
      </c>
      <c r="AH28" s="27" t="inlineStr">
        <is>
          <t>UNKNOWN</t>
        </is>
      </c>
      <c r="AI28" s="27" t="inlineStr"/>
      <c r="AJ28" s="27" t="inlineStr">
        <is>
          <t>OK_NO_TOTALS</t>
        </is>
      </c>
      <c r="AK28" s="29" t="inlineStr">
        <is>
          <t>5057720-48.2025.8.24.0023</t>
        </is>
      </c>
      <c r="AL28" s="29" t="inlineStr">
        <is>
          <t>TJ</t>
        </is>
      </c>
      <c r="AM28" s="29" t="inlineStr"/>
      <c r="AN28" s="29" t="n">
        <v>2025</v>
      </c>
      <c r="AO28" s="29" t="inlineStr">
        <is>
          <t>live case, no plan document yet</t>
        </is>
      </c>
      <c r="AP28" s="29" t="inlineStr">
        <is>
          <t>SAO PAULO</t>
        </is>
      </c>
      <c r="AQ28" s="29" t="inlineStr">
        <is>
          <t>SP</t>
        </is>
      </c>
      <c r="AR28" s="29" t="inlineStr">
        <is>
          <t>Comércio atacadista especializado em outros produtos intermediários não especificados anteriormente</t>
        </is>
      </c>
      <c r="AS28" s="29" t="inlineStr">
        <is>
          <t>DEMAIS</t>
        </is>
      </c>
      <c r="AT28" s="29" t="inlineStr">
        <is>
          <t>MID-MARKET</t>
        </is>
      </c>
      <c r="AU28" s="29" t="inlineStr">
        <is>
          <t>05607230</t>
        </is>
      </c>
      <c r="AV28" s="29" t="n">
        <v>1</v>
      </c>
      <c r="AW28" s="29" t="inlineStr">
        <is>
          <t>ROWS:p1r27 UNRECONCILED_SOURCE VALUE_COL:Valor_Após_Analise</t>
        </is>
      </c>
    </row>
    <row r="29">
      <c r="A29" s="15" t="inlineStr">
        <is>
          <t>MINERACAO AURORA LTDA</t>
        </is>
      </c>
      <c r="B29" s="16" t="n">
        <v>8433590.01</v>
      </c>
      <c r="C29" s="17" t="inlineStr">
        <is>
          <t>CONSTRUTORA ANDRADE GUEDES LDTA – Diligence Administração em Recuperação Judicial e Falência</t>
        </is>
      </c>
      <c r="D29" s="18" t="inlineStr">
        <is>
          <t>NEW</t>
        </is>
      </c>
      <c r="E29" s="19" t="inlineStr"/>
      <c r="F29" s="18" t="inlineStr"/>
      <c r="G29" s="19" t="inlineStr"/>
      <c r="H29" s="18" t="inlineStr"/>
      <c r="I29" s="20" t="inlineStr">
        <is>
          <t>Jorge Ferraz</t>
        </is>
      </c>
      <c r="J29" s="20" t="inlineStr">
        <is>
          <t>Administrator</t>
        </is>
      </c>
      <c r="K29" s="20" t="inlineStr">
        <is>
          <t>(81) 3972-4964</t>
        </is>
      </c>
      <c r="L29" s="20" t="inlineStr"/>
      <c r="M29" s="20" t="inlineStr"/>
      <c r="N29" s="20" t="inlineStr"/>
      <c r="O29" s="20" t="inlineStr"/>
      <c r="P29" s="20" t="inlineStr">
        <is>
          <t>Raphael Calafange</t>
        </is>
      </c>
      <c r="Q29" s="20" t="inlineStr">
        <is>
          <t>Sales Manager</t>
        </is>
      </c>
      <c r="R29" s="20" t="inlineStr"/>
      <c r="S29" s="20" t="inlineStr"/>
      <c r="T29" s="21" t="n">
        <v>8433590.01</v>
      </c>
      <c r="U29" s="31" t="inlineStr">
        <is>
          <t>C</t>
        </is>
      </c>
      <c r="V29" s="23">
        <f>IFERROR(VLOOKUP(U29,Assumptions!$A$7:$D$11,2,FALSE),0)</f>
        <v/>
      </c>
      <c r="W29" s="24">
        <f>MAX(0.5,IFERROR(VLOOKUP(U29,Assumptions!$A$7:$D$11,3,FALSE),3)+IFERROR(VLOOKUP(U29,Assumptions!$A$7:$D$11,4,FALSE),8)/2-IF(AN29="",0,YEAR(TODAY())-AN29))</f>
        <v/>
      </c>
      <c r="X29" s="21">
        <f>T29*V29/(1+Assumptions!$B$3)^W29</f>
        <v/>
      </c>
      <c r="Y29" s="25">
        <f>IF(T29=0,"",ROUND(X29/T29*100,1))</f>
        <v/>
      </c>
      <c r="Z29" s="26">
        <f>X29*Assumptions!$B$4</f>
        <v/>
      </c>
      <c r="AA29" s="25">
        <f>IF(T29=0,"",ROUND(Z29/T29*100,1))</f>
        <v/>
      </c>
      <c r="AB29" s="26">
        <f>X29-Z29</f>
        <v/>
      </c>
      <c r="AC29" s="25">
        <f>IF(T29=0,"",ROUND((X29-Z29)/T29*100,1))</f>
        <v/>
      </c>
      <c r="AD29" s="27" t="inlineStr">
        <is>
          <t>ESTIMATED</t>
        </is>
      </c>
      <c r="AE29" s="28" t="inlineStr">
        <is>
          <t>https://diligence.adm.br/wp-content/plugins/download-attachments/includes/download.php?id=4599</t>
        </is>
      </c>
      <c r="AF29" s="27" t="inlineStr">
        <is>
          <t>p10 r60</t>
        </is>
      </c>
      <c r="AG29" s="27" t="inlineStr">
        <is>
          <t>p10: R$ 8.433.590,01</t>
        </is>
      </c>
      <c r="AH29" s="27" t="inlineStr">
        <is>
          <t>AJ_LIST</t>
        </is>
      </c>
      <c r="AI29" s="27" t="inlineStr">
        <is>
          <t>2024-06-25</t>
        </is>
      </c>
      <c r="AJ29" s="27" t="inlineStr">
        <is>
          <t>OK_NO_TOTALS</t>
        </is>
      </c>
      <c r="AK29" s="29" t="inlineStr">
        <is>
          <t>0000880-57.2020.8.17.2001</t>
        </is>
      </c>
      <c r="AL29" s="29" t="inlineStr">
        <is>
          <t>TJPE</t>
        </is>
      </c>
      <c r="AM29" s="29" t="inlineStr">
        <is>
          <t>ACTIVE</t>
        </is>
      </c>
      <c r="AN29" s="29" t="n">
        <v>2020</v>
      </c>
      <c r="AO29" s="29" t="inlineStr">
        <is>
          <t>6y since filing, no plan document</t>
        </is>
      </c>
      <c r="AP29" s="29" t="inlineStr">
        <is>
          <t>JABOATAO DOS GUARARAPES</t>
        </is>
      </c>
      <c r="AQ29" s="29" t="inlineStr">
        <is>
          <t>PE</t>
        </is>
      </c>
      <c r="AR29" s="29" t="inlineStr">
        <is>
          <t>Extração e britamento de pedras e outros materiais para construção e beneficiamento associado</t>
        </is>
      </c>
      <c r="AS29" s="29" t="inlineStr">
        <is>
          <t>DEMAIS</t>
        </is>
      </c>
      <c r="AT29" s="29" t="inlineStr">
        <is>
          <t>MID-MARKET</t>
        </is>
      </c>
      <c r="AU29" s="29" t="inlineStr">
        <is>
          <t>10509915</t>
        </is>
      </c>
      <c r="AV29" s="29" t="n">
        <v>1</v>
      </c>
      <c r="AW29" s="29" t="inlineStr">
        <is>
          <t>ALT_VALUE:R$2.710.146,67 ALT_VALUE:R$5.723.443,34 ROWS:p10r60 UNRECONCILED_SOURCE VALUE_COL:2ª_Lista</t>
        </is>
      </c>
    </row>
    <row r="30">
      <c r="A30" s="15" t="inlineStr">
        <is>
          <t>DREYMOOR BRASIL COMERCIO DE FERTILIZANTES LTDA</t>
        </is>
      </c>
      <c r="B30" s="16" t="n">
        <v>15134865.1</v>
      </c>
      <c r="C30" s="17" t="inlineStr"/>
      <c r="D30" s="18" t="inlineStr">
        <is>
          <t>NEW</t>
        </is>
      </c>
      <c r="E30" s="19" t="inlineStr"/>
      <c r="F30" s="18" t="inlineStr"/>
      <c r="G30" s="19" t="inlineStr"/>
      <c r="H30" s="18" t="inlineStr"/>
      <c r="I30" s="20" t="inlineStr">
        <is>
          <t>MAURICIO GIORDANI BODANESE</t>
        </is>
      </c>
      <c r="J30" s="20" t="inlineStr">
        <is>
          <t>Administrador</t>
        </is>
      </c>
      <c r="K30" s="20" t="inlineStr">
        <is>
          <t>(41) 3209-6613</t>
        </is>
      </c>
      <c r="L30" s="20" t="inlineStr"/>
      <c r="M30" s="20" t="inlineStr"/>
      <c r="N30" s="20" t="inlineStr"/>
      <c r="O30" s="20" t="inlineStr"/>
      <c r="P30" s="20" t="inlineStr"/>
      <c r="Q30" s="20" t="inlineStr"/>
      <c r="R30" s="20" t="inlineStr"/>
      <c r="S30" s="20" t="inlineStr"/>
      <c r="T30" s="21" t="n">
        <v>15134865.1</v>
      </c>
      <c r="U30" s="30" t="inlineStr">
        <is>
          <t>?</t>
        </is>
      </c>
      <c r="V30" s="23">
        <f>IFERROR(VLOOKUP(U30,Assumptions!$A$7:$D$11,2,FALSE),0)</f>
        <v/>
      </c>
      <c r="W30" s="24">
        <f>MAX(0.5,IFERROR(VLOOKUP(U30,Assumptions!$A$7:$D$11,3,FALSE),3)+IFERROR(VLOOKUP(U30,Assumptions!$A$7:$D$11,4,FALSE),8)/2-IF(AN30="",0,YEAR(TODAY())-AN30))</f>
        <v/>
      </c>
      <c r="X30" s="21">
        <f>T30*V30/(1+Assumptions!$B$3)^W30</f>
        <v/>
      </c>
      <c r="Y30" s="25">
        <f>IF(T30=0,"",ROUND(X30/T30*100,1))</f>
        <v/>
      </c>
      <c r="Z30" s="26">
        <f>X30*Assumptions!$B$4</f>
        <v/>
      </c>
      <c r="AA30" s="25">
        <f>IF(T30=0,"",ROUND(Z30/T30*100,1))</f>
        <v/>
      </c>
      <c r="AB30" s="26">
        <f>X30-Z30</f>
        <v/>
      </c>
      <c r="AC30" s="25">
        <f>IF(T30=0,"",ROUND((X30-Z30)/T30*100,1))</f>
        <v/>
      </c>
      <c r="AD30" s="27" t="inlineStr">
        <is>
          <t>UNKNOWN</t>
        </is>
      </c>
      <c r="AE30" s="28" t="inlineStr">
        <is>
          <t>https://scalzilliaj.com.br/sgc/download.php?file=files/processo_documento/processo_documento13183320052026_1_.pdf&amp;nome=10 - QGC Provisório - atualizado até Maio de 2026</t>
        </is>
      </c>
      <c r="AF30" s="27" t="inlineStr">
        <is>
          <t>p1 r9</t>
        </is>
      </c>
      <c r="AG30" s="27" t="inlineStr">
        <is>
          <t>p1: R$ 15.134.865,10</t>
        </is>
      </c>
      <c r="AH30" s="27" t="inlineStr">
        <is>
          <t>QGC</t>
        </is>
      </c>
      <c r="AI30" s="27" t="inlineStr"/>
      <c r="AJ30" s="27" t="inlineStr">
        <is>
          <t>OK_NO_TOTALS</t>
        </is>
      </c>
      <c r="AK30" s="29" t="inlineStr">
        <is>
          <t>(not printed)</t>
        </is>
      </c>
      <c r="AL30" s="29" t="inlineStr"/>
      <c r="AM30" s="29" t="inlineStr"/>
      <c r="AN30" s="29" t="inlineStr"/>
      <c r="AO30" s="29" t="inlineStr">
        <is>
          <t>RJ case number not identified on the document</t>
        </is>
      </c>
      <c r="AP30" s="29" t="inlineStr">
        <is>
          <t>CURITIBA</t>
        </is>
      </c>
      <c r="AQ30" s="29" t="inlineStr">
        <is>
          <t>PR</t>
        </is>
      </c>
      <c r="AR30" s="29" t="inlineStr">
        <is>
          <t>Comércio atacadista de defensivos agrícolas, adubos, fertilizantes e corretivos do solo</t>
        </is>
      </c>
      <c r="AS30" s="29" t="inlineStr">
        <is>
          <t>DEMAIS</t>
        </is>
      </c>
      <c r="AT30" s="29" t="inlineStr">
        <is>
          <t>MID-MARKET</t>
        </is>
      </c>
      <c r="AU30" s="29" t="inlineStr">
        <is>
          <t>26419229</t>
        </is>
      </c>
      <c r="AV30" s="29" t="n">
        <v>1</v>
      </c>
      <c r="AW30" s="29" t="inlineStr">
        <is>
          <t>CASE_NUMBER_MISSING ROWS:p1r9 UNRECONCILED_SOURCE VALUE_COL:Valor_Do_Crédito</t>
        </is>
      </c>
    </row>
    <row r="31">
      <c r="A31" s="15" t="inlineStr">
        <is>
          <t>BOSCH HOME COMFORT DO BRASIL LTDA</t>
        </is>
      </c>
      <c r="B31" s="16" t="n">
        <v>5064633.83</v>
      </c>
      <c r="C31" s="17" t="inlineStr">
        <is>
          <t>REAL DISTRIBUIDORA ÚNICA RIO COMÉRCIO DE REFRIGERAÇÃO LTDA</t>
        </is>
      </c>
      <c r="D31" s="18" t="inlineStr">
        <is>
          <t>NEW</t>
        </is>
      </c>
      <c r="E31" s="19" t="inlineStr"/>
      <c r="F31" s="18" t="inlineStr"/>
      <c r="G31" s="19" t="inlineStr"/>
      <c r="H31" s="18" t="inlineStr"/>
      <c r="I31" s="20" t="inlineStr">
        <is>
          <t>Jaqueline Santos</t>
        </is>
      </c>
      <c r="J31" s="20" t="inlineStr">
        <is>
          <t>Finance Director Latam</t>
        </is>
      </c>
      <c r="K31" s="20" t="inlineStr">
        <is>
          <t>(92) 3301-5000</t>
        </is>
      </c>
      <c r="L31" s="20" t="inlineStr"/>
      <c r="M31" s="20" t="inlineStr"/>
      <c r="N31" s="20" t="inlineStr"/>
      <c r="O31" s="20" t="inlineStr">
        <is>
          <t>vanessa.idalgo@bosch-hcgroup.com</t>
        </is>
      </c>
      <c r="P31" s="20" t="inlineStr">
        <is>
          <t>Vanessa Leite</t>
        </is>
      </c>
      <c r="Q31" s="20" t="inlineStr">
        <is>
          <t>Gerente de Tesouraria, Finanças e Compliance</t>
        </is>
      </c>
      <c r="R31" s="20" t="inlineStr"/>
      <c r="S31" s="20" t="inlineStr">
        <is>
          <t>vanessa.idalgo@bosch-hcgroup.com</t>
        </is>
      </c>
      <c r="T31" s="21" t="n">
        <v>5064633.83</v>
      </c>
      <c r="U31" s="22" t="inlineStr">
        <is>
          <t>B</t>
        </is>
      </c>
      <c r="V31" s="23">
        <f>IFERROR(VLOOKUP(U31,Assumptions!$A$7:$D$11,2,FALSE),0)</f>
        <v/>
      </c>
      <c r="W31" s="24">
        <f>MAX(0.5,IFERROR(VLOOKUP(U31,Assumptions!$A$7:$D$11,3,FALSE),3)+IFERROR(VLOOKUP(U31,Assumptions!$A$7:$D$11,4,FALSE),8)/2-IF(AN31="",0,YEAR(TODAY())-AN31))</f>
        <v/>
      </c>
      <c r="X31" s="21">
        <f>T31*V31/(1+Assumptions!$B$3)^W31</f>
        <v/>
      </c>
      <c r="Y31" s="25">
        <f>IF(T31=0,"",ROUND(X31/T31*100,1))</f>
        <v/>
      </c>
      <c r="Z31" s="26">
        <f>X31*Assumptions!$B$4</f>
        <v/>
      </c>
      <c r="AA31" s="25">
        <f>IF(T31=0,"",ROUND(Z31/T31*100,1))</f>
        <v/>
      </c>
      <c r="AB31" s="26">
        <f>X31-Z31</f>
        <v/>
      </c>
      <c r="AC31" s="25">
        <f>IF(T31=0,"",ROUND((X31-Z31)/T31*100,1))</f>
        <v/>
      </c>
      <c r="AD31" s="27" t="inlineStr">
        <is>
          <t>UNKNOWN</t>
        </is>
      </c>
      <c r="AE31" s="28" t="inlineStr">
        <is>
          <t>https://inova-aj.com.br/wp-content/uploads/2026/08/1a-Relacao-de-Credores-Real.pdf</t>
        </is>
      </c>
      <c r="AF31" s="27" t="inlineStr">
        <is>
          <t>p1 r35</t>
        </is>
      </c>
      <c r="AG31" s="27" t="inlineStr">
        <is>
          <t>p1: R$ 5.064.633,83</t>
        </is>
      </c>
      <c r="AH31" s="27" t="inlineStr">
        <is>
          <t>AJ_LIST</t>
        </is>
      </c>
      <c r="AI31" s="27" t="inlineStr">
        <is>
          <t>2023-06-05</t>
        </is>
      </c>
      <c r="AJ31" s="27" t="inlineStr">
        <is>
          <t>OK</t>
        </is>
      </c>
      <c r="AK31" s="29" t="inlineStr">
        <is>
          <t>0873061-47.2023.8.19.0001</t>
        </is>
      </c>
      <c r="AL31" s="29" t="inlineStr">
        <is>
          <t>TJ</t>
        </is>
      </c>
      <c r="AM31" s="29" t="inlineStr"/>
      <c r="AN31" s="29" t="n">
        <v>2023</v>
      </c>
      <c r="AO31" s="29" t="inlineStr">
        <is>
          <t>live case, no plan document yet</t>
        </is>
      </c>
      <c r="AP31" s="29" t="inlineStr">
        <is>
          <t>MANAUS</t>
        </is>
      </c>
      <c r="AQ31" s="29" t="inlineStr">
        <is>
          <t>AM</t>
        </is>
      </c>
      <c r="AR31" s="29" t="inlineStr">
        <is>
          <t>Serviços combinados de escritório e apoio administrativo</t>
        </is>
      </c>
      <c r="AS31" s="29" t="inlineStr">
        <is>
          <t>DEMAIS</t>
        </is>
      </c>
      <c r="AT31" s="29" t="inlineStr">
        <is>
          <t>LARGE CORP</t>
        </is>
      </c>
      <c r="AU31" s="29" t="inlineStr">
        <is>
          <t>33284522</t>
        </is>
      </c>
      <c r="AV31" s="29" t="n">
        <v>1</v>
      </c>
      <c r="AW31" s="29" t="inlineStr">
        <is>
          <t>ALT_VALUE:R$3.682.536,03 ROWS:p1r35</t>
        </is>
      </c>
    </row>
    <row r="32">
      <c r="A32" s="15" t="inlineStr">
        <is>
          <t>FRESENIUS MEDICAL CARE LTDA</t>
        </is>
      </c>
      <c r="B32" s="16" t="n">
        <v>14567733.99</v>
      </c>
      <c r="C32" s="17" t="inlineStr"/>
      <c r="D32" s="18" t="inlineStr">
        <is>
          <t>NEW</t>
        </is>
      </c>
      <c r="E32" s="19" t="inlineStr"/>
      <c r="F32" s="18" t="inlineStr"/>
      <c r="G32" s="19" t="inlineStr"/>
      <c r="H32" s="18" t="inlineStr"/>
      <c r="I32" s="20" t="inlineStr">
        <is>
          <t>ANA LUCIA ZENKNER PERCIA</t>
        </is>
      </c>
      <c r="J32" s="20" t="inlineStr">
        <is>
          <t>Administrador</t>
        </is>
      </c>
      <c r="K32" s="20" t="inlineStr">
        <is>
          <t>(19) 3847-9700</t>
        </is>
      </c>
      <c r="L32" s="20" t="inlineStr">
        <is>
          <t>(19) 3847-9700</t>
        </is>
      </c>
      <c r="M32" s="20" t="inlineStr"/>
      <c r="N32" s="20" t="inlineStr"/>
      <c r="O32" s="20" t="inlineStr"/>
      <c r="P32" s="20" t="inlineStr">
        <is>
          <t>JORGE ALEXANDRE CUNHA DE BARROS FRANCO</t>
        </is>
      </c>
      <c r="Q32" s="20" t="inlineStr">
        <is>
          <t>Administrador</t>
        </is>
      </c>
      <c r="R32" s="20" t="inlineStr">
        <is>
          <t>(19) 3847-9700</t>
        </is>
      </c>
      <c r="S32" s="20" t="inlineStr"/>
      <c r="T32" s="21" t="n">
        <v>14567733.99</v>
      </c>
      <c r="U32" s="30" t="inlineStr">
        <is>
          <t>?</t>
        </is>
      </c>
      <c r="V32" s="23">
        <f>IFERROR(VLOOKUP(U32,Assumptions!$A$7:$D$11,2,FALSE),0)</f>
        <v/>
      </c>
      <c r="W32" s="24">
        <f>MAX(0.5,IFERROR(VLOOKUP(U32,Assumptions!$A$7:$D$11,3,FALSE),3)+IFERROR(VLOOKUP(U32,Assumptions!$A$7:$D$11,4,FALSE),8)/2-IF(AN32="",0,YEAR(TODAY())-AN32))</f>
        <v/>
      </c>
      <c r="X32" s="21">
        <f>T32*V32/(1+Assumptions!$B$3)^W32</f>
        <v/>
      </c>
      <c r="Y32" s="25">
        <f>IF(T32=0,"",ROUND(X32/T32*100,1))</f>
        <v/>
      </c>
      <c r="Z32" s="26">
        <f>X32*Assumptions!$B$4</f>
        <v/>
      </c>
      <c r="AA32" s="25">
        <f>IF(T32=0,"",ROUND(Z32/T32*100,1))</f>
        <v/>
      </c>
      <c r="AB32" s="26">
        <f>X32-Z32</f>
        <v/>
      </c>
      <c r="AC32" s="25">
        <f>IF(T32=0,"",ROUND((X32-Z32)/T32*100,1))</f>
        <v/>
      </c>
      <c r="AD32" s="27" t="inlineStr">
        <is>
          <t>UNKNOWN</t>
        </is>
      </c>
      <c r="AE32" s="28" t="inlineStr">
        <is>
          <t>http://bernardobicalho.com.br/login/app/documents/Rela%C3%A7%C3%A3o%20de%20Credores/6.%20RVC-%20Nutricium%20-%20simplificada.pdf</t>
        </is>
      </c>
      <c r="AF32" s="27" t="inlineStr">
        <is>
          <t>p3 r16</t>
        </is>
      </c>
      <c r="AG32" s="27" t="inlineStr">
        <is>
          <t>p3: R$ 14.567.733,99</t>
        </is>
      </c>
      <c r="AH32" s="27" t="inlineStr">
        <is>
          <t>AJ_LIST</t>
        </is>
      </c>
      <c r="AI32" s="27" t="inlineStr"/>
      <c r="AJ32" s="27" t="inlineStr">
        <is>
          <t>OK</t>
        </is>
      </c>
      <c r="AK32" s="29" t="inlineStr">
        <is>
          <t>(not printed)</t>
        </is>
      </c>
      <c r="AL32" s="29" t="inlineStr"/>
      <c r="AM32" s="29" t="inlineStr"/>
      <c r="AN32" s="29" t="inlineStr"/>
      <c r="AO32" s="29" t="inlineStr">
        <is>
          <t>RJ case number not identified on the document</t>
        </is>
      </c>
      <c r="AP32" s="29" t="inlineStr">
        <is>
          <t>JAGUARIUNA</t>
        </is>
      </c>
      <c r="AQ32" s="29" t="inlineStr">
        <is>
          <t>SP</t>
        </is>
      </c>
      <c r="AR32" s="29" t="inlineStr">
        <is>
          <t>Fabricação de medicamentos alopáticos para uso humano</t>
        </is>
      </c>
      <c r="AS32" s="29" t="inlineStr">
        <is>
          <t>DEMAIS</t>
        </is>
      </c>
      <c r="AT32" s="29" t="inlineStr">
        <is>
          <t>LARGE CORP</t>
        </is>
      </c>
      <c r="AU32" s="29" t="inlineStr">
        <is>
          <t>01440590</t>
        </is>
      </c>
      <c r="AV32" s="29" t="n">
        <v>1</v>
      </c>
      <c r="AW32" s="29" t="inlineStr">
        <is>
          <t>CASE_NUMBER_MISSING ROWS:p3r16</t>
        </is>
      </c>
    </row>
    <row r="33">
      <c r="A33" s="15" t="inlineStr">
        <is>
          <t>JF PASQUA CONDUTORES ELETRICOS LTDA</t>
        </is>
      </c>
      <c r="B33" s="16" t="n">
        <v>4940520.91</v>
      </c>
      <c r="C33" s="17" t="inlineStr">
        <is>
          <t>Conduscabos Brasil Indústria Comércio de</t>
        </is>
      </c>
      <c r="D33" s="18" t="inlineStr">
        <is>
          <t>NEW</t>
        </is>
      </c>
      <c r="E33" s="19" t="inlineStr"/>
      <c r="F33" s="18" t="inlineStr"/>
      <c r="G33" s="19" t="inlineStr"/>
      <c r="H33" s="18" t="inlineStr"/>
      <c r="I33" s="20" t="inlineStr">
        <is>
          <t>Joao Pasqua</t>
        </is>
      </c>
      <c r="J33" s="20" t="inlineStr">
        <is>
          <t>JF Pasqua Condutores Elétricos</t>
        </is>
      </c>
      <c r="K33" s="20" t="inlineStr">
        <is>
          <t>(35) 3559-6789</t>
        </is>
      </c>
      <c r="L33" s="20" t="inlineStr"/>
      <c r="M33" s="20" t="inlineStr"/>
      <c r="N33" s="20" t="inlineStr"/>
      <c r="O33" s="20" t="inlineStr"/>
      <c r="P33" s="20" t="inlineStr">
        <is>
          <t>ROBERTO LEOPOLDO PASQUA</t>
        </is>
      </c>
      <c r="Q33" s="20" t="inlineStr">
        <is>
          <t>Administrador</t>
        </is>
      </c>
      <c r="R33" s="20" t="inlineStr">
        <is>
          <t>(35) 3559-6789</t>
        </is>
      </c>
      <c r="S33" s="20" t="inlineStr"/>
      <c r="T33" s="21" t="n">
        <v>4940520.91</v>
      </c>
      <c r="U33" s="22" t="inlineStr">
        <is>
          <t>B</t>
        </is>
      </c>
      <c r="V33" s="23">
        <f>IFERROR(VLOOKUP(U33,Assumptions!$A$7:$D$11,2,FALSE),0)</f>
        <v/>
      </c>
      <c r="W33" s="24">
        <f>MAX(0.5,IFERROR(VLOOKUP(U33,Assumptions!$A$7:$D$11,3,FALSE),3)+IFERROR(VLOOKUP(U33,Assumptions!$A$7:$D$11,4,FALSE),8)/2-IF(AN33="",0,YEAR(TODAY())-AN33))</f>
        <v/>
      </c>
      <c r="X33" s="21">
        <f>T33*V33/(1+Assumptions!$B$3)^W33</f>
        <v/>
      </c>
      <c r="Y33" s="25">
        <f>IF(T33=0,"",ROUND(X33/T33*100,1))</f>
        <v/>
      </c>
      <c r="Z33" s="26">
        <f>X33*Assumptions!$B$4</f>
        <v/>
      </c>
      <c r="AA33" s="25">
        <f>IF(T33=0,"",ROUND(Z33/T33*100,1))</f>
        <v/>
      </c>
      <c r="AB33" s="26">
        <f>X33-Z33</f>
        <v/>
      </c>
      <c r="AC33" s="25">
        <f>IF(T33=0,"",ROUND((X33-Z33)/T33*100,1))</f>
        <v/>
      </c>
      <c r="AD33" s="27" t="inlineStr">
        <is>
          <t>ESTIMATED</t>
        </is>
      </c>
      <c r="AE33" s="28" t="inlineStr">
        <is>
          <t>https://assistjud.com.br/wp-content/uploads/elementor/forms/65098c80a5824.pdf</t>
        </is>
      </c>
      <c r="AF33" s="27" t="inlineStr">
        <is>
          <t>p8 r4; p18 r6</t>
        </is>
      </c>
      <c r="AG33" s="27" t="inlineStr">
        <is>
          <t>p8: R$ 2.217.364,91; p18: R$ 2.723.156,00</t>
        </is>
      </c>
      <c r="AH33" s="27" t="inlineStr">
        <is>
          <t>AJ_LIST</t>
        </is>
      </c>
      <c r="AI33" s="27" t="inlineStr">
        <is>
          <t>2023-09-18</t>
        </is>
      </c>
      <c r="AJ33" s="27" t="inlineStr">
        <is>
          <t>OK_NO_TOTALS</t>
        </is>
      </c>
      <c r="AK33" s="29" t="inlineStr">
        <is>
          <t>8005129-09.2023.8.05.0039</t>
        </is>
      </c>
      <c r="AL33" s="29" t="inlineStr">
        <is>
          <t>TJBA</t>
        </is>
      </c>
      <c r="AM33" s="29" t="inlineStr">
        <is>
          <t>ACTIVE</t>
        </is>
      </c>
      <c r="AN33" s="29" t="n">
        <v>2023</v>
      </c>
      <c r="AO33" s="29" t="inlineStr">
        <is>
          <t>live case, no plan document yet</t>
        </is>
      </c>
      <c r="AP33" s="29" t="inlineStr">
        <is>
          <t>GUAXUPE</t>
        </is>
      </c>
      <c r="AQ33" s="29" t="inlineStr">
        <is>
          <t>MG</t>
        </is>
      </c>
      <c r="AR33" s="29" t="inlineStr">
        <is>
          <t>Metalurgia do cobre</t>
        </is>
      </c>
      <c r="AS33" s="29" t="inlineStr">
        <is>
          <t>DEMAIS</t>
        </is>
      </c>
      <c r="AT33" s="29" t="inlineStr">
        <is>
          <t>MID-MARKET</t>
        </is>
      </c>
      <c r="AU33" s="29" t="inlineStr">
        <is>
          <t>03981899</t>
        </is>
      </c>
      <c r="AV33" s="29" t="n">
        <v>2</v>
      </c>
      <c r="AW33" s="29" t="inlineStr">
        <is>
          <t>ROWS:p8r4,p18r6 UNRECONCILED_SOURCE</t>
        </is>
      </c>
    </row>
    <row r="34">
      <c r="A34" s="15" t="inlineStr">
        <is>
          <t>CENTRO AVANCADO DE NEUROLOGIA E NEUROCIRURGIA S/S</t>
        </is>
      </c>
      <c r="B34" s="16" t="n">
        <v>3947275.5</v>
      </c>
      <c r="C34" s="17" t="inlineStr">
        <is>
          <t>ASSOCIACAO DE CARIDADE SANTA CASA DE RIO GRANDE</t>
        </is>
      </c>
      <c r="D34" s="18" t="inlineStr">
        <is>
          <t>NEW</t>
        </is>
      </c>
      <c r="E34" s="19" t="inlineStr"/>
      <c r="F34" s="18" t="inlineStr"/>
      <c r="G34" s="19" t="inlineStr"/>
      <c r="H34" s="18" t="inlineStr"/>
      <c r="I34" s="20" t="inlineStr">
        <is>
          <t>GUSTAVO RASSIER ISOLAN</t>
        </is>
      </c>
      <c r="J34" s="20" t="inlineStr">
        <is>
          <t>Sócio-Administrador</t>
        </is>
      </c>
      <c r="K34" s="20" t="inlineStr">
        <is>
          <t>(51) 3276-7818</t>
        </is>
      </c>
      <c r="L34" s="20" t="inlineStr"/>
      <c r="M34" s="20" t="inlineStr"/>
      <c r="N34" s="20" t="inlineStr"/>
      <c r="O34" s="20" t="inlineStr"/>
      <c r="P34" s="20" t="inlineStr"/>
      <c r="Q34" s="20" t="inlineStr"/>
      <c r="R34" s="20" t="inlineStr"/>
      <c r="S34" s="20" t="inlineStr"/>
      <c r="T34" s="21" t="n">
        <v>3947275.5</v>
      </c>
      <c r="U34" s="22" t="inlineStr">
        <is>
          <t>B</t>
        </is>
      </c>
      <c r="V34" s="23">
        <f>IFERROR(VLOOKUP(U34,Assumptions!$A$7:$D$11,2,FALSE),0)</f>
        <v/>
      </c>
      <c r="W34" s="24">
        <f>MAX(0.5,IFERROR(VLOOKUP(U34,Assumptions!$A$7:$D$11,3,FALSE),3)+IFERROR(VLOOKUP(U34,Assumptions!$A$7:$D$11,4,FALSE),8)/2-IF(AN34="",0,YEAR(TODAY())-AN34))</f>
        <v/>
      </c>
      <c r="X34" s="21">
        <f>T34*V34/(1+Assumptions!$B$3)^W34</f>
        <v/>
      </c>
      <c r="Y34" s="25">
        <f>IF(T34=0,"",ROUND(X34/T34*100,1))</f>
        <v/>
      </c>
      <c r="Z34" s="26">
        <f>X34*Assumptions!$B$4</f>
        <v/>
      </c>
      <c r="AA34" s="25">
        <f>IF(T34=0,"",ROUND(Z34/T34*100,1))</f>
        <v/>
      </c>
      <c r="AB34" s="26">
        <f>X34-Z34</f>
        <v/>
      </c>
      <c r="AC34" s="25">
        <f>IF(T34=0,"",ROUND((X34-Z34)/T34*100,1))</f>
        <v/>
      </c>
      <c r="AD34" s="27" t="inlineStr">
        <is>
          <t>ESTIMATED</t>
        </is>
      </c>
      <c r="AE34" s="28" t="inlineStr">
        <is>
          <t>https://scalzilliaj.com.br/sgc/download.php?file=files/processo_documento/processo_documento09120721032023_1_.pdf&amp;nome=15 - Edital do art. 7º, §2º e 53 da Lei 11.101/2005 (segunda lista de credores e recebimento do plano))</t>
        </is>
      </c>
      <c r="AF34" s="27" t="inlineStr">
        <is>
          <t>p26 r23</t>
        </is>
      </c>
      <c r="AG34" s="27" t="inlineStr">
        <is>
          <t>p26: R$ 3.947.275,50</t>
        </is>
      </c>
      <c r="AH34" s="27" t="inlineStr">
        <is>
          <t>AJ_LIST</t>
        </is>
      </c>
      <c r="AI34" s="27" t="inlineStr">
        <is>
          <t>2023-03-21</t>
        </is>
      </c>
      <c r="AJ34" s="27" t="inlineStr">
        <is>
          <t>OK_NO_TOTALS</t>
        </is>
      </c>
      <c r="AK34" s="29" t="inlineStr">
        <is>
          <t>5012306-16.2022.8.21.0023</t>
        </is>
      </c>
      <c r="AL34" s="29" t="inlineStr">
        <is>
          <t>TJRS</t>
        </is>
      </c>
      <c r="AM34" s="29" t="inlineStr">
        <is>
          <t>ACTIVE</t>
        </is>
      </c>
      <c r="AN34" s="29" t="n">
        <v>2022</v>
      </c>
      <c r="AO34" s="29" t="inlineStr">
        <is>
          <t>live case, no plan document yet</t>
        </is>
      </c>
      <c r="AP34" s="29" t="inlineStr">
        <is>
          <t>PORTO ALEGRE</t>
        </is>
      </c>
      <c r="AQ34" s="29" t="inlineStr">
        <is>
          <t>RS</t>
        </is>
      </c>
      <c r="AR34" s="29" t="inlineStr">
        <is>
          <t>Atividades de atenção ambulatorial não especificadas anteriormente</t>
        </is>
      </c>
      <c r="AS34" s="29" t="inlineStr">
        <is>
          <t>DEMAIS</t>
        </is>
      </c>
      <c r="AT34" s="29" t="inlineStr">
        <is>
          <t>MID-MARKET</t>
        </is>
      </c>
      <c r="AU34" s="29" t="inlineStr">
        <is>
          <t>18331491</t>
        </is>
      </c>
      <c r="AV34" s="29" t="n">
        <v>1</v>
      </c>
      <c r="AW34" s="29" t="inlineStr">
        <is>
          <t>ROWS:p26r23 UNRECONCILED_SOURCE</t>
        </is>
      </c>
    </row>
    <row r="35">
      <c r="A35" s="15" t="inlineStr">
        <is>
          <t>BRASIL ASFALTOS LTDA</t>
        </is>
      </c>
      <c r="B35" s="16" t="n">
        <v>7707516.4</v>
      </c>
      <c r="C35" s="17" t="inlineStr">
        <is>
          <t>CONSTRUTORA ANDRADE GUEDES LDTA – Diligence Administração em Recuperação Judicial e Falência</t>
        </is>
      </c>
      <c r="D35" s="18" t="inlineStr">
        <is>
          <t>NEW</t>
        </is>
      </c>
      <c r="E35" s="19" t="inlineStr"/>
      <c r="F35" s="18" t="inlineStr"/>
      <c r="G35" s="19" t="inlineStr"/>
      <c r="H35" s="18" t="inlineStr"/>
      <c r="I35" s="20" t="inlineStr">
        <is>
          <t>ALBERTO GARRIDO PINON</t>
        </is>
      </c>
      <c r="J35" s="20" t="inlineStr">
        <is>
          <t>Administrador</t>
        </is>
      </c>
      <c r="K35" s="20" t="inlineStr">
        <is>
          <t>(71) 3118-2100</t>
        </is>
      </c>
      <c r="L35" s="20" t="inlineStr">
        <is>
          <t>(71) 3176-2828</t>
        </is>
      </c>
      <c r="M35" s="20" t="inlineStr"/>
      <c r="N35" s="20" t="inlineStr"/>
      <c r="O35" s="20" t="inlineStr"/>
      <c r="P35" s="20" t="inlineStr">
        <is>
          <t>DANIELA GARRIDO PINON</t>
        </is>
      </c>
      <c r="Q35" s="20" t="inlineStr">
        <is>
          <t>Administrador</t>
        </is>
      </c>
      <c r="R35" s="20" t="inlineStr">
        <is>
          <t>(71) 3176-2828</t>
        </is>
      </c>
      <c r="S35" s="20" t="inlineStr"/>
      <c r="T35" s="21" t="n">
        <v>7707516.4</v>
      </c>
      <c r="U35" s="31" t="inlineStr">
        <is>
          <t>C</t>
        </is>
      </c>
      <c r="V35" s="23">
        <f>IFERROR(VLOOKUP(U35,Assumptions!$A$7:$D$11,2,FALSE),0)</f>
        <v/>
      </c>
      <c r="W35" s="24">
        <f>MAX(0.5,IFERROR(VLOOKUP(U35,Assumptions!$A$7:$D$11,3,FALSE),3)+IFERROR(VLOOKUP(U35,Assumptions!$A$7:$D$11,4,FALSE),8)/2-IF(AN35="",0,YEAR(TODAY())-AN35))</f>
        <v/>
      </c>
      <c r="X35" s="21">
        <f>T35*V35/(1+Assumptions!$B$3)^W35</f>
        <v/>
      </c>
      <c r="Y35" s="25">
        <f>IF(T35=0,"",ROUND(X35/T35*100,1))</f>
        <v/>
      </c>
      <c r="Z35" s="26">
        <f>X35*Assumptions!$B$4</f>
        <v/>
      </c>
      <c r="AA35" s="25">
        <f>IF(T35=0,"",ROUND(Z35/T35*100,1))</f>
        <v/>
      </c>
      <c r="AB35" s="26">
        <f>X35-Z35</f>
        <v/>
      </c>
      <c r="AC35" s="25">
        <f>IF(T35=0,"",ROUND((X35-Z35)/T35*100,1))</f>
        <v/>
      </c>
      <c r="AD35" s="27" t="inlineStr">
        <is>
          <t>ESTIMATED</t>
        </is>
      </c>
      <c r="AE35" s="28" t="inlineStr">
        <is>
          <t>https://diligence.adm.br/wp-content/plugins/download-attachments/includes/download.php?id=4599</t>
        </is>
      </c>
      <c r="AF35" s="27" t="inlineStr">
        <is>
          <t>p10 r9</t>
        </is>
      </c>
      <c r="AG35" s="27" t="inlineStr">
        <is>
          <t>p10: R$ 7.707.516,40</t>
        </is>
      </c>
      <c r="AH35" s="27" t="inlineStr">
        <is>
          <t>AJ_LIST</t>
        </is>
      </c>
      <c r="AI35" s="27" t="inlineStr">
        <is>
          <t>2024-06-25</t>
        </is>
      </c>
      <c r="AJ35" s="27" t="inlineStr">
        <is>
          <t>OK_NO_TOTALS</t>
        </is>
      </c>
      <c r="AK35" s="29" t="inlineStr">
        <is>
          <t>0000880-57.2020.8.17.2001</t>
        </is>
      </c>
      <c r="AL35" s="29" t="inlineStr">
        <is>
          <t>TJPE</t>
        </is>
      </c>
      <c r="AM35" s="29" t="inlineStr">
        <is>
          <t>ACTIVE</t>
        </is>
      </c>
      <c r="AN35" s="29" t="n">
        <v>2020</v>
      </c>
      <c r="AO35" s="29" t="inlineStr">
        <is>
          <t>6y since filing, no plan document</t>
        </is>
      </c>
      <c r="AP35" s="29" t="inlineStr">
        <is>
          <t>CANDEIAS</t>
        </is>
      </c>
      <c r="AQ35" s="29" t="inlineStr">
        <is>
          <t>BA</t>
        </is>
      </c>
      <c r="AR35" s="29" t="inlineStr">
        <is>
          <t>Fabricação de outros produtos de minerais não-metálicos não especificados anteriormente</t>
        </is>
      </c>
      <c r="AS35" s="29" t="inlineStr">
        <is>
          <t>DEMAIS</t>
        </is>
      </c>
      <c r="AT35" s="29" t="inlineStr">
        <is>
          <t>MID-MARKET</t>
        </is>
      </c>
      <c r="AU35" s="29" t="inlineStr">
        <is>
          <t>12447077</t>
        </is>
      </c>
      <c r="AV35" s="29" t="n">
        <v>1</v>
      </c>
      <c r="AW35" s="29" t="inlineStr">
        <is>
          <t>ALT_VALUE:R$613.244,70 ALT_VALUE:R$7.094.271,70 ROWS:p10r9 UNRECONCILED_SOURCE VALUE_COL:2ª_Lista</t>
        </is>
      </c>
    </row>
    <row r="36">
      <c r="A36" s="15" t="inlineStr">
        <is>
          <t>TITAN PNEUS DO BRASIL LTDA</t>
        </is>
      </c>
      <c r="B36" s="16" t="n">
        <v>7525940</v>
      </c>
      <c r="C36" s="17" t="inlineStr"/>
      <c r="D36" s="18" t="inlineStr">
        <is>
          <t>NEW</t>
        </is>
      </c>
      <c r="E36" s="19" t="inlineStr"/>
      <c r="F36" s="18" t="inlineStr"/>
      <c r="G36" s="19" t="inlineStr"/>
      <c r="H36" s="18" t="inlineStr"/>
      <c r="I36" s="20" t="inlineStr">
        <is>
          <t>WALTER JOSE CHIOSINI</t>
        </is>
      </c>
      <c r="J36" s="20" t="inlineStr">
        <is>
          <t>Administrador</t>
        </is>
      </c>
      <c r="K36" s="20" t="inlineStr">
        <is>
          <t>(11) 2177-7360</t>
        </is>
      </c>
      <c r="L36" s="20" t="inlineStr">
        <is>
          <t>(11) 2177-7201</t>
        </is>
      </c>
      <c r="M36" s="20" t="inlineStr"/>
      <c r="N36" s="20" t="inlineStr"/>
      <c r="O36" s="20" t="inlineStr"/>
      <c r="P36" s="20" t="inlineStr"/>
      <c r="Q36" s="20" t="inlineStr"/>
      <c r="R36" s="20" t="inlineStr"/>
      <c r="S36" s="20" t="inlineStr"/>
      <c r="T36" s="21" t="n">
        <v>7525940</v>
      </c>
      <c r="U36" s="22" t="inlineStr">
        <is>
          <t>B</t>
        </is>
      </c>
      <c r="V36" s="23">
        <f>IFERROR(VLOOKUP(U36,Assumptions!$A$7:$D$11,2,FALSE),0)</f>
        <v/>
      </c>
      <c r="W36" s="24">
        <f>MAX(0.5,IFERROR(VLOOKUP(U36,Assumptions!$A$7:$D$11,3,FALSE),3)+IFERROR(VLOOKUP(U36,Assumptions!$A$7:$D$11,4,FALSE),8)/2-IF(AN36="",0,YEAR(TODAY())-AN36))</f>
        <v/>
      </c>
      <c r="X36" s="21">
        <f>T36*V36/(1+Assumptions!$B$3)^W36</f>
        <v/>
      </c>
      <c r="Y36" s="25">
        <f>IF(T36=0,"",ROUND(X36/T36*100,1))</f>
        <v/>
      </c>
      <c r="Z36" s="26">
        <f>X36*Assumptions!$B$4</f>
        <v/>
      </c>
      <c r="AA36" s="25">
        <f>IF(T36=0,"",ROUND(Z36/T36*100,1))</f>
        <v/>
      </c>
      <c r="AB36" s="26">
        <f>X36-Z36</f>
        <v/>
      </c>
      <c r="AC36" s="25">
        <f>IF(T36=0,"",ROUND((X36-Z36)/T36*100,1))</f>
        <v/>
      </c>
      <c r="AD36" s="27" t="inlineStr">
        <is>
          <t>UNKNOWN</t>
        </is>
      </c>
      <c r="AE36" s="28" t="inlineStr">
        <is>
          <t>https://credibilita.com.br/wp-content/uploads/2025/09/Relacao-Credores-29.04.2026.pdf</t>
        </is>
      </c>
      <c r="AF36" s="27" t="inlineStr">
        <is>
          <t>p2 r23</t>
        </is>
      </c>
      <c r="AG36" s="27" t="inlineStr">
        <is>
          <t>p2: R$ 7.525.940,00</t>
        </is>
      </c>
      <c r="AH36" s="27" t="inlineStr">
        <is>
          <t>UNKNOWN</t>
        </is>
      </c>
      <c r="AI36" s="27" t="inlineStr"/>
      <c r="AJ36" s="27" t="inlineStr">
        <is>
          <t>OK_NO_TOTALS</t>
        </is>
      </c>
      <c r="AK36" s="29" t="inlineStr">
        <is>
          <t>5057720-48.2025.8.24.0023</t>
        </is>
      </c>
      <c r="AL36" s="29" t="inlineStr">
        <is>
          <t>TJ</t>
        </is>
      </c>
      <c r="AM36" s="29" t="inlineStr"/>
      <c r="AN36" s="29" t="n">
        <v>2025</v>
      </c>
      <c r="AO36" s="29" t="inlineStr">
        <is>
          <t>live case, no plan document yet</t>
        </is>
      </c>
      <c r="AP36" s="29" t="inlineStr">
        <is>
          <t>SAO PAULO</t>
        </is>
      </c>
      <c r="AQ36" s="29" t="inlineStr">
        <is>
          <t>SP</t>
        </is>
      </c>
      <c r="AR36" s="29" t="inlineStr">
        <is>
          <t>Fabricação de pneumáticos e de câmaras-de-ar</t>
        </is>
      </c>
      <c r="AS36" s="29" t="inlineStr">
        <is>
          <t>DEMAIS</t>
        </is>
      </c>
      <c r="AT36" s="29" t="inlineStr">
        <is>
          <t>LARGE CORP</t>
        </is>
      </c>
      <c r="AU36" s="29" t="inlineStr">
        <is>
          <t>11385941</t>
        </is>
      </c>
      <c r="AV36" s="29" t="n">
        <v>1</v>
      </c>
      <c r="AW36" s="29" t="inlineStr">
        <is>
          <t>ROWS:p2r23 UNRECONCILED_SOURCE VALUE_COL:Valor_Após_Analise</t>
        </is>
      </c>
    </row>
    <row r="37">
      <c r="A37" s="15" t="inlineStr">
        <is>
          <t>PRO NOVA DISTRIBUIDORA E COMERCIO DE COSMETICOS LTDA</t>
        </is>
      </c>
      <c r="B37" s="16" t="n">
        <v>4694462.47</v>
      </c>
      <c r="C37" s="17" t="inlineStr">
        <is>
          <t>VEV COMERCIO DE MEDICAMENTOS LTDA EM RECUPERACAO JUDICIAL</t>
        </is>
      </c>
      <c r="D37" s="18" t="inlineStr">
        <is>
          <t>NEW</t>
        </is>
      </c>
      <c r="E37" s="19" t="inlineStr"/>
      <c r="F37" s="18" t="inlineStr"/>
      <c r="G37" s="19" t="inlineStr"/>
      <c r="H37" s="18" t="inlineStr"/>
      <c r="I37" s="20" t="inlineStr">
        <is>
          <t>ANA CLAUDIA GALVAO CARICATI</t>
        </is>
      </c>
      <c r="J37" s="20" t="inlineStr">
        <is>
          <t>Sócio-Administrador</t>
        </is>
      </c>
      <c r="K37" s="20" t="inlineStr">
        <is>
          <t>(11) 4772-8024</t>
        </is>
      </c>
      <c r="L37" s="20" t="inlineStr"/>
      <c r="M37" s="20" t="inlineStr"/>
      <c r="N37" s="20" t="inlineStr"/>
      <c r="O37" s="20" t="inlineStr"/>
      <c r="P37" s="20" t="inlineStr">
        <is>
          <t>GABRIELLA CARICATI MENDES</t>
        </is>
      </c>
      <c r="Q37" s="20" t="inlineStr">
        <is>
          <t>Administrador</t>
        </is>
      </c>
      <c r="R37" s="20" t="inlineStr">
        <is>
          <t>(11) 4772-8024</t>
        </is>
      </c>
      <c r="S37" s="20" t="inlineStr"/>
      <c r="T37" s="21" t="n">
        <v>4694462.47</v>
      </c>
      <c r="U37" s="22" t="inlineStr">
        <is>
          <t>B</t>
        </is>
      </c>
      <c r="V37" s="23">
        <f>IFERROR(VLOOKUP(U37,Assumptions!$A$7:$D$11,2,FALSE),0)</f>
        <v/>
      </c>
      <c r="W37" s="24">
        <f>MAX(0.5,IFERROR(VLOOKUP(U37,Assumptions!$A$7:$D$11,3,FALSE),3)+IFERROR(VLOOKUP(U37,Assumptions!$A$7:$D$11,4,FALSE),8)/2-IF(AN37="",0,YEAR(TODAY())-AN37))</f>
        <v/>
      </c>
      <c r="X37" s="21">
        <f>T37*V37/(1+Assumptions!$B$3)^W37</f>
        <v/>
      </c>
      <c r="Y37" s="25">
        <f>IF(T37=0,"",ROUND(X37/T37*100,1))</f>
        <v/>
      </c>
      <c r="Z37" s="26">
        <f>X37*Assumptions!$B$4</f>
        <v/>
      </c>
      <c r="AA37" s="25">
        <f>IF(T37=0,"",ROUND(Z37/T37*100,1))</f>
        <v/>
      </c>
      <c r="AB37" s="26">
        <f>X37-Z37</f>
        <v/>
      </c>
      <c r="AC37" s="25">
        <f>IF(T37=0,"",ROUND((X37-Z37)/T37*100,1))</f>
        <v/>
      </c>
      <c r="AD37" s="27" t="inlineStr">
        <is>
          <t>ESTIMATED</t>
        </is>
      </c>
      <c r="AE37" s="28" t="inlineStr">
        <is>
          <t>https://marquesadmjudicial.com.br/sgc/download.php?file=files/processo_documento/processo_documento15293208032024_1_.pdf&amp;nome=Relação Nominal de Credores da AJ-Sintética</t>
        </is>
      </c>
      <c r="AF37" s="27" t="inlineStr">
        <is>
          <t>p30 r9</t>
        </is>
      </c>
      <c r="AG37" s="27" t="inlineStr">
        <is>
          <t>p30: R$ 4.694.462,47</t>
        </is>
      </c>
      <c r="AH37" s="27" t="inlineStr">
        <is>
          <t>AJ_LIST</t>
        </is>
      </c>
      <c r="AI37" s="27" t="inlineStr">
        <is>
          <t>2023-03-02</t>
        </is>
      </c>
      <c r="AJ37" s="27" t="inlineStr">
        <is>
          <t>QUARANTINED</t>
        </is>
      </c>
      <c r="AK37" s="29" t="inlineStr">
        <is>
          <t>0005010-98.2023.8.16.0001</t>
        </is>
      </c>
      <c r="AL37" s="29" t="inlineStr">
        <is>
          <t>TJPR</t>
        </is>
      </c>
      <c r="AM37" s="29" t="inlineStr">
        <is>
          <t>ACTIVE</t>
        </is>
      </c>
      <c r="AN37" s="29" t="n">
        <v>2023</v>
      </c>
      <c r="AO37" s="29" t="inlineStr">
        <is>
          <t>live case, no plan document yet</t>
        </is>
      </c>
      <c r="AP37" s="29" t="inlineStr">
        <is>
          <t>JANDIRA</t>
        </is>
      </c>
      <c r="AQ37" s="29" t="inlineStr">
        <is>
          <t>SP</t>
        </is>
      </c>
      <c r="AR37" s="29" t="inlineStr">
        <is>
          <t>Comércio atacadista de cosméticos e produtos de perfumaria</t>
        </is>
      </c>
      <c r="AS37" s="29" t="inlineStr">
        <is>
          <t>DEMAIS</t>
        </is>
      </c>
      <c r="AT37" s="29" t="inlineStr">
        <is>
          <t>MID-MARKET</t>
        </is>
      </c>
      <c r="AU37" s="29" t="inlineStr">
        <is>
          <t>21998451</t>
        </is>
      </c>
      <c r="AV37" s="29" t="n">
        <v>1</v>
      </c>
      <c r="AW37" s="29" t="inlineStr">
        <is>
          <t>PARTIAL_DOC_CLASS_III_RECONCILED ROWS:p30r9</t>
        </is>
      </c>
    </row>
    <row r="38">
      <c r="A38" s="15" t="inlineStr">
        <is>
          <t>NORTEBAG INDUSTRIA DE EMBALAGENS S.A.</t>
        </is>
      </c>
      <c r="B38" s="16" t="n">
        <v>4680282.82</v>
      </c>
      <c r="C38" s="17" t="inlineStr"/>
      <c r="D38" s="18" t="inlineStr">
        <is>
          <t>NEW</t>
        </is>
      </c>
      <c r="E38" s="19" t="inlineStr"/>
      <c r="F38" s="18" t="inlineStr"/>
      <c r="G38" s="19" t="inlineStr"/>
      <c r="H38" s="18" t="inlineStr"/>
      <c r="I38" s="20" t="inlineStr">
        <is>
          <t>MARCO ANTONIO GARCIA</t>
        </is>
      </c>
      <c r="J38" s="20" t="inlineStr">
        <is>
          <t>Diretor</t>
        </is>
      </c>
      <c r="K38" s="20" t="inlineStr">
        <is>
          <t>(92) 3396-6621</t>
        </is>
      </c>
      <c r="L38" s="20" t="inlineStr"/>
      <c r="M38" s="20" t="inlineStr"/>
      <c r="N38" s="20" t="inlineStr"/>
      <c r="O38" s="20" t="inlineStr"/>
      <c r="P38" s="20" t="inlineStr">
        <is>
          <t>MARCOS VINICIUS SPITZNER FILHO</t>
        </is>
      </c>
      <c r="Q38" s="20" t="inlineStr">
        <is>
          <t>Diretor</t>
        </is>
      </c>
      <c r="R38" s="20" t="inlineStr">
        <is>
          <t>(92) 3396-6621</t>
        </is>
      </c>
      <c r="S38" s="20" t="inlineStr"/>
      <c r="T38" s="21" t="n">
        <v>4680282.82</v>
      </c>
      <c r="U38" s="22" t="inlineStr">
        <is>
          <t>B</t>
        </is>
      </c>
      <c r="V38" s="23">
        <f>IFERROR(VLOOKUP(U38,Assumptions!$A$7:$D$11,2,FALSE),0)</f>
        <v/>
      </c>
      <c r="W38" s="24">
        <f>MAX(0.5,IFERROR(VLOOKUP(U38,Assumptions!$A$7:$D$11,3,FALSE),3)+IFERROR(VLOOKUP(U38,Assumptions!$A$7:$D$11,4,FALSE),8)/2-IF(AN38="",0,YEAR(TODAY())-AN38))</f>
        <v/>
      </c>
      <c r="X38" s="21">
        <f>T38*V38/(1+Assumptions!$B$3)^W38</f>
        <v/>
      </c>
      <c r="Y38" s="25">
        <f>IF(T38=0,"",ROUND(X38/T38*100,1))</f>
        <v/>
      </c>
      <c r="Z38" s="26">
        <f>X38*Assumptions!$B$4</f>
        <v/>
      </c>
      <c r="AA38" s="25">
        <f>IF(T38=0,"",ROUND(Z38/T38*100,1))</f>
        <v/>
      </c>
      <c r="AB38" s="26">
        <f>X38-Z38</f>
        <v/>
      </c>
      <c r="AC38" s="25">
        <f>IF(T38=0,"",ROUND((X38-Z38)/T38*100,1))</f>
        <v/>
      </c>
      <c r="AD38" s="27" t="inlineStr">
        <is>
          <t>ESTIMATED</t>
        </is>
      </c>
      <c r="AE38" s="28" t="inlineStr">
        <is>
          <t>https://cataliseaj.com.br/sgc/download.php?file=files/processo_documento/processo_documento15092204102024_1_.pdf&amp;nome=02. RELAÇÃO DE CREDORES</t>
        </is>
      </c>
      <c r="AF38" s="27" t="inlineStr">
        <is>
          <t>p2 r66</t>
        </is>
      </c>
      <c r="AG38" s="27" t="inlineStr">
        <is>
          <t>p2: R$ 4.680.282,82</t>
        </is>
      </c>
      <c r="AH38" s="27" t="inlineStr">
        <is>
          <t>DEBTOR_LIST</t>
        </is>
      </c>
      <c r="AI38" s="27" t="inlineStr"/>
      <c r="AJ38" s="27" t="inlineStr">
        <is>
          <t>OK_NO_TOTALS</t>
        </is>
      </c>
      <c r="AK38" s="29" t="inlineStr">
        <is>
          <t>5011460-87.2023.8.24.0020</t>
        </is>
      </c>
      <c r="AL38" s="29" t="inlineStr">
        <is>
          <t>TJSC</t>
        </is>
      </c>
      <c r="AM38" s="29" t="inlineStr">
        <is>
          <t>ACTIVE</t>
        </is>
      </c>
      <c r="AN38" s="29" t="n">
        <v>2023</v>
      </c>
      <c r="AO38" s="29" t="inlineStr">
        <is>
          <t>live case, no plan document yet</t>
        </is>
      </c>
      <c r="AP38" s="29" t="inlineStr">
        <is>
          <t>MANAUS</t>
        </is>
      </c>
      <c r="AQ38" s="29" t="inlineStr">
        <is>
          <t>AM</t>
        </is>
      </c>
      <c r="AR38" s="29" t="inlineStr">
        <is>
          <t>Fabricação de outros produtos têxteis não especificados anteriormente</t>
        </is>
      </c>
      <c r="AS38" s="29" t="inlineStr">
        <is>
          <t>DEMAIS</t>
        </is>
      </c>
      <c r="AT38" s="29" t="inlineStr">
        <is>
          <t>MID-MARKET</t>
        </is>
      </c>
      <c r="AU38" s="29" t="inlineStr">
        <is>
          <t>05399071</t>
        </is>
      </c>
      <c r="AV38" s="29" t="n">
        <v>1</v>
      </c>
      <c r="AW38" s="29" t="inlineStr">
        <is>
          <t>ROWS:p2r66 UNRECONCILED_SOURCE</t>
        </is>
      </c>
    </row>
    <row r="39">
      <c r="A39" s="15" t="inlineStr">
        <is>
          <t>SERRINHA AMBIENTAL TRANSPORTES LTDA</t>
        </is>
      </c>
      <c r="B39" s="16" t="n">
        <v>4672725.1</v>
      </c>
      <c r="C39" s="17" t="inlineStr">
        <is>
          <t>BBR AGRO SUPLEMENTOS LTDA EM RECUPERACAO JUDICIAL</t>
        </is>
      </c>
      <c r="D39" s="18" t="inlineStr">
        <is>
          <t>NEW</t>
        </is>
      </c>
      <c r="E39" s="19" t="inlineStr"/>
      <c r="F39" s="18" t="inlineStr"/>
      <c r="G39" s="19" t="inlineStr"/>
      <c r="H39" s="18" t="inlineStr"/>
      <c r="I39" s="20" t="inlineStr">
        <is>
          <t>VOLNEI DOS SANTOS</t>
        </is>
      </c>
      <c r="J39" s="20" t="inlineStr">
        <is>
          <t>Administrador</t>
        </is>
      </c>
      <c r="K39" s="20" t="inlineStr">
        <is>
          <t>(49) 9914-4317</t>
        </is>
      </c>
      <c r="L39" s="20" t="inlineStr"/>
      <c r="M39" s="20" t="inlineStr"/>
      <c r="N39" s="20" t="inlineStr"/>
      <c r="O39" s="20" t="inlineStr"/>
      <c r="P39" s="20" t="inlineStr"/>
      <c r="Q39" s="20" t="inlineStr"/>
      <c r="R39" s="20" t="inlineStr"/>
      <c r="S39" s="20" t="inlineStr"/>
      <c r="T39" s="21" t="n">
        <v>4672725.1</v>
      </c>
      <c r="U39" s="22" t="inlineStr">
        <is>
          <t>B</t>
        </is>
      </c>
      <c r="V39" s="23">
        <f>IFERROR(VLOOKUP(U39,Assumptions!$A$7:$D$11,2,FALSE),0)</f>
        <v/>
      </c>
      <c r="W39" s="24">
        <f>MAX(0.5,IFERROR(VLOOKUP(U39,Assumptions!$A$7:$D$11,3,FALSE),3)+IFERROR(VLOOKUP(U39,Assumptions!$A$7:$D$11,4,FALSE),8)/2-IF(AN39="",0,YEAR(TODAY())-AN39))</f>
        <v/>
      </c>
      <c r="X39" s="21">
        <f>T39*V39/(1+Assumptions!$B$3)^W39</f>
        <v/>
      </c>
      <c r="Y39" s="25">
        <f>IF(T39=0,"",ROUND(X39/T39*100,1))</f>
        <v/>
      </c>
      <c r="Z39" s="26">
        <f>X39*Assumptions!$B$4</f>
        <v/>
      </c>
      <c r="AA39" s="25">
        <f>IF(T39=0,"",ROUND(Z39/T39*100,1))</f>
        <v/>
      </c>
      <c r="AB39" s="26">
        <f>X39-Z39</f>
        <v/>
      </c>
      <c r="AC39" s="25">
        <f>IF(T39=0,"",ROUND((X39-Z39)/T39*100,1))</f>
        <v/>
      </c>
      <c r="AD39" s="27" t="inlineStr">
        <is>
          <t>ESTIMATED</t>
        </is>
      </c>
      <c r="AE39" s="28" t="inlineStr">
        <is>
          <t>https://ajruiz.com.br/sites/default/files/public/arquivos-processos/2026-06/alto_uruguai_qgc_junho.2026.pdf</t>
        </is>
      </c>
      <c r="AF39" s="27" t="inlineStr">
        <is>
          <t>p1 r35</t>
        </is>
      </c>
      <c r="AG39" s="27" t="inlineStr">
        <is>
          <t>p1: R$ 4.672.725,10</t>
        </is>
      </c>
      <c r="AH39" s="27" t="inlineStr">
        <is>
          <t>UNKNOWN</t>
        </is>
      </c>
      <c r="AI39" s="27" t="inlineStr"/>
      <c r="AJ39" s="27" t="inlineStr">
        <is>
          <t>OK</t>
        </is>
      </c>
      <c r="AK39" s="29" t="inlineStr">
        <is>
          <t>5012743-51.2023.8.24.0019</t>
        </is>
      </c>
      <c r="AL39" s="29" t="inlineStr">
        <is>
          <t>TJSC</t>
        </is>
      </c>
      <c r="AM39" s="29" t="inlineStr">
        <is>
          <t>ACTIVE</t>
        </is>
      </c>
      <c r="AN39" s="29" t="n">
        <v>2023</v>
      </c>
      <c r="AO39" s="29" t="inlineStr">
        <is>
          <t>live case, no plan document yet</t>
        </is>
      </c>
      <c r="AP39" s="29" t="inlineStr">
        <is>
          <t>CHAPECO</t>
        </is>
      </c>
      <c r="AQ39" s="29" t="inlineStr">
        <is>
          <t>SC</t>
        </is>
      </c>
      <c r="AR39" s="29" t="inlineStr">
        <is>
          <t>Transporte rodoviário de carga, exceto produtos perigosos e mudanças, intermunicipal, interestadual e internacional</t>
        </is>
      </c>
      <c r="AS39" s="29" t="inlineStr">
        <is>
          <t>DEMAIS</t>
        </is>
      </c>
      <c r="AT39" s="29" t="inlineStr">
        <is>
          <t>MID-MARKET</t>
        </is>
      </c>
      <c r="AU39" s="29" t="inlineStr">
        <is>
          <t>32851823</t>
        </is>
      </c>
      <c r="AV39" s="29" t="n">
        <v>1</v>
      </c>
      <c r="AW39" s="29" t="inlineStr">
        <is>
          <t>ROWS:p1r35 VALUE_COL:Valor_Do_Crédito</t>
        </is>
      </c>
    </row>
    <row r="40">
      <c r="A40" s="15" t="inlineStr">
        <is>
          <t>COPA ENERGIA S.A.</t>
        </is>
      </c>
      <c r="B40" s="16" t="n">
        <v>9000000</v>
      </c>
      <c r="C40" s="17" t="inlineStr">
        <is>
          <t>E FALENCIA</t>
        </is>
      </c>
      <c r="D40" s="18" t="inlineStr">
        <is>
          <t>NEW</t>
        </is>
      </c>
      <c r="E40" s="19" t="inlineStr"/>
      <c r="F40" s="18" t="inlineStr"/>
      <c r="G40" s="19" t="inlineStr"/>
      <c r="H40" s="18" t="inlineStr"/>
      <c r="I40" s="20" t="inlineStr">
        <is>
          <t>Eduardo Souza</t>
        </is>
      </c>
      <c r="J40" s="20" t="inlineStr">
        <is>
          <t>Gerente de Crédito e Cobrança</t>
        </is>
      </c>
      <c r="K40" s="20" t="inlineStr">
        <is>
          <t>(11) 5505-4077</t>
        </is>
      </c>
      <c r="L40" s="20" t="inlineStr"/>
      <c r="M40" s="20" t="inlineStr"/>
      <c r="N40" s="20" t="inlineStr">
        <is>
          <t>eduardo.souza@copaenergia.com.br</t>
        </is>
      </c>
      <c r="O40" s="20" t="inlineStr">
        <is>
          <t>carlos.martins@copaenergia.com.br</t>
        </is>
      </c>
      <c r="P40" s="20" t="inlineStr">
        <is>
          <t>Carlos Martins</t>
        </is>
      </c>
      <c r="Q40" s="20" t="inlineStr">
        <is>
          <t>Treasury Manager</t>
        </is>
      </c>
      <c r="R40" s="20" t="inlineStr"/>
      <c r="S40" s="20" t="inlineStr">
        <is>
          <t>carlos.martins@copaenergia.com.br</t>
        </is>
      </c>
      <c r="T40" s="21" t="n">
        <v>9000000</v>
      </c>
      <c r="U40" s="22" t="inlineStr">
        <is>
          <t>B</t>
        </is>
      </c>
      <c r="V40" s="23">
        <f>IFERROR(VLOOKUP(U40,Assumptions!$A$7:$D$11,2,FALSE),0)</f>
        <v/>
      </c>
      <c r="W40" s="24">
        <f>MAX(0.5,IFERROR(VLOOKUP(U40,Assumptions!$A$7:$D$11,3,FALSE),3)+IFERROR(VLOOKUP(U40,Assumptions!$A$7:$D$11,4,FALSE),8)/2-IF(AN40="",0,YEAR(TODAY())-AN40))</f>
        <v/>
      </c>
      <c r="X40" s="21">
        <f>T40*V40/(1+Assumptions!$B$3)^W40</f>
        <v/>
      </c>
      <c r="Y40" s="25">
        <f>IF(T40=0,"",ROUND(X40/T40*100,1))</f>
        <v/>
      </c>
      <c r="Z40" s="26">
        <f>X40*Assumptions!$B$4</f>
        <v/>
      </c>
      <c r="AA40" s="25">
        <f>IF(T40=0,"",ROUND(Z40/T40*100,1))</f>
        <v/>
      </c>
      <c r="AB40" s="26">
        <f>X40-Z40</f>
        <v/>
      </c>
      <c r="AC40" s="25">
        <f>IF(T40=0,"",ROUND((X40-Z40)/T40*100,1))</f>
        <v/>
      </c>
      <c r="AD40" s="27" t="inlineStr">
        <is>
          <t>ESTIMATED</t>
        </is>
      </c>
      <c r="AE40" s="28" t="inlineStr">
        <is>
          <t>https://recuperasolucoes.com/wp-content/plugins/download-attachments/includes/download.php?id=1597</t>
        </is>
      </c>
      <c r="AF40" s="27" t="inlineStr">
        <is>
          <t>p13 r12</t>
        </is>
      </c>
      <c r="AG40" s="27" t="inlineStr">
        <is>
          <t>p13: R$ 9.000.000,00</t>
        </is>
      </c>
      <c r="AH40" s="27" t="inlineStr">
        <is>
          <t>DEBTOR_LIST</t>
        </is>
      </c>
      <c r="AI40" s="27" t="inlineStr">
        <is>
          <t>2026-05-21</t>
        </is>
      </c>
      <c r="AJ40" s="27" t="inlineStr">
        <is>
          <t>OK</t>
        </is>
      </c>
      <c r="AK40" s="29" t="inlineStr">
        <is>
          <t>0001639-09.2026.8.17.2810</t>
        </is>
      </c>
      <c r="AL40" s="29" t="inlineStr">
        <is>
          <t>TJPE</t>
        </is>
      </c>
      <c r="AM40" s="29" t="inlineStr">
        <is>
          <t>ACTIVE</t>
        </is>
      </c>
      <c r="AN40" s="29" t="n">
        <v>2026</v>
      </c>
      <c r="AO40" s="29" t="inlineStr">
        <is>
          <t>live case, no plan document yet</t>
        </is>
      </c>
      <c r="AP40" s="29" t="inlineStr">
        <is>
          <t>SAO PAULO</t>
        </is>
      </c>
      <c r="AQ40" s="29" t="inlineStr">
        <is>
          <t>SP</t>
        </is>
      </c>
      <c r="AR40" s="29" t="inlineStr">
        <is>
          <t>Comércio atacadista de gás liqüefeito de petróleo (GLP)</t>
        </is>
      </c>
      <c r="AS40" s="29" t="inlineStr">
        <is>
          <t>DEMAIS</t>
        </is>
      </c>
      <c r="AT40" s="29" t="inlineStr">
        <is>
          <t>LARGE CORP</t>
        </is>
      </c>
      <c r="AU40" s="29" t="inlineStr">
        <is>
          <t>03237583</t>
        </is>
      </c>
      <c r="AV40" s="29" t="n">
        <v>1</v>
      </c>
      <c r="AW40" s="29" t="inlineStr">
        <is>
          <t>ROWS:p13r12</t>
        </is>
      </c>
    </row>
    <row r="41">
      <c r="A41" s="15" t="inlineStr">
        <is>
          <t>ADDIANTE S.A</t>
        </is>
      </c>
      <c r="B41" s="16" t="n">
        <v>7135516.97</v>
      </c>
      <c r="C41" s="17" t="inlineStr">
        <is>
          <t>NORTESUL COMERCIAL AGRICOLA LTDA EM RECUPERACAO JUDICIAL</t>
        </is>
      </c>
      <c r="D41" s="18" t="inlineStr">
        <is>
          <t>NEW</t>
        </is>
      </c>
      <c r="E41" s="19" t="inlineStr"/>
      <c r="F41" s="18" t="inlineStr"/>
      <c r="G41" s="19" t="inlineStr"/>
      <c r="H41" s="18" t="inlineStr"/>
      <c r="I41" s="20" t="inlineStr">
        <is>
          <t>Fabio Leite</t>
        </is>
      </c>
      <c r="J41" s="20" t="inlineStr">
        <is>
          <t>CEO at Addiante</t>
        </is>
      </c>
      <c r="K41" s="20" t="inlineStr">
        <is>
          <t>(41) 9571-0152</t>
        </is>
      </c>
      <c r="L41" s="20" t="inlineStr"/>
      <c r="M41" s="20" t="inlineStr"/>
      <c r="N41" s="20" t="inlineStr">
        <is>
          <t>fabio.leite@addiante.com.br</t>
        </is>
      </c>
      <c r="O41" s="20" t="inlineStr">
        <is>
          <t>ernani.ferreira@addiante.com.br</t>
        </is>
      </c>
      <c r="P41" s="20" t="inlineStr">
        <is>
          <t>Ernani Ferreira</t>
        </is>
      </c>
      <c r="Q41" s="20" t="inlineStr">
        <is>
          <t>Gerente de Crédito e Cobrança</t>
        </is>
      </c>
      <c r="R41" s="20" t="inlineStr"/>
      <c r="S41" s="20" t="inlineStr">
        <is>
          <t>ernani.ferreira@addiante.com.br</t>
        </is>
      </c>
      <c r="T41" s="21" t="n">
        <v>7135516.97</v>
      </c>
      <c r="U41" s="22" t="inlineStr">
        <is>
          <t>B</t>
        </is>
      </c>
      <c r="V41" s="23">
        <f>IFERROR(VLOOKUP(U41,Assumptions!$A$7:$D$11,2,FALSE),0)</f>
        <v/>
      </c>
      <c r="W41" s="24">
        <f>MAX(0.5,IFERROR(VLOOKUP(U41,Assumptions!$A$7:$D$11,3,FALSE),3)+IFERROR(VLOOKUP(U41,Assumptions!$A$7:$D$11,4,FALSE),8)/2-IF(AN41="",0,YEAR(TODAY())-AN41))</f>
        <v/>
      </c>
      <c r="X41" s="21">
        <f>T41*V41/(1+Assumptions!$B$3)^W41</f>
        <v/>
      </c>
      <c r="Y41" s="25">
        <f>IF(T41=0,"",ROUND(X41/T41*100,1))</f>
        <v/>
      </c>
      <c r="Z41" s="26">
        <f>X41*Assumptions!$B$4</f>
        <v/>
      </c>
      <c r="AA41" s="25">
        <f>IF(T41=0,"",ROUND(Z41/T41*100,1))</f>
        <v/>
      </c>
      <c r="AB41" s="26">
        <f>X41-Z41</f>
        <v/>
      </c>
      <c r="AC41" s="25">
        <f>IF(T41=0,"",ROUND((X41-Z41)/T41*100,1))</f>
        <v/>
      </c>
      <c r="AD41" s="27" t="inlineStr">
        <is>
          <t>ESTIMATED</t>
        </is>
      </c>
      <c r="AE41" s="28" t="inlineStr">
        <is>
          <t>https://lrflideres.com.br/wp-content/plugins/download-attachments/includes/download.php?id=6879</t>
        </is>
      </c>
      <c r="AF41" s="27" t="inlineStr">
        <is>
          <t>p1 r2</t>
        </is>
      </c>
      <c r="AG41" s="27" t="inlineStr">
        <is>
          <t>p1: R$ 7.135.516,97</t>
        </is>
      </c>
      <c r="AH41" s="27" t="inlineStr">
        <is>
          <t>AJ_LIST</t>
        </is>
      </c>
      <c r="AI41" s="27" t="inlineStr">
        <is>
          <t>2026-01-15</t>
        </is>
      </c>
      <c r="AJ41" s="27" t="inlineStr">
        <is>
          <t>OK</t>
        </is>
      </c>
      <c r="AK41" s="29" t="inlineStr">
        <is>
          <t>0804401-51.2025.8.14.0039</t>
        </is>
      </c>
      <c r="AL41" s="29" t="inlineStr">
        <is>
          <t>TJPA</t>
        </is>
      </c>
      <c r="AM41" s="29" t="inlineStr">
        <is>
          <t>ACTIVE</t>
        </is>
      </c>
      <c r="AN41" s="29" t="n">
        <v>2025</v>
      </c>
      <c r="AO41" s="29" t="inlineStr">
        <is>
          <t>live case, no plan document yet</t>
        </is>
      </c>
      <c r="AP41" s="29" t="inlineStr">
        <is>
          <t>CURITIBA</t>
        </is>
      </c>
      <c r="AQ41" s="29" t="inlineStr">
        <is>
          <t>PR</t>
        </is>
      </c>
      <c r="AR41" s="29" t="inlineStr">
        <is>
          <t>Locação de outros meios de transporte não especificados anteriormente, sem condutor</t>
        </is>
      </c>
      <c r="AS41" s="29" t="inlineStr">
        <is>
          <t>DEMAIS</t>
        </is>
      </c>
      <c r="AT41" s="29" t="inlineStr">
        <is>
          <t>LARGE CORP</t>
        </is>
      </c>
      <c r="AU41" s="29" t="inlineStr">
        <is>
          <t>48430290</t>
        </is>
      </c>
      <c r="AV41" s="29" t="n">
        <v>1</v>
      </c>
      <c r="AW41" s="29" t="inlineStr">
        <is>
          <t>ROWS:p1r2</t>
        </is>
      </c>
    </row>
    <row r="42">
      <c r="A42" s="15" t="inlineStr">
        <is>
          <t>COMERCIO RACOES BEM BOM LTDA</t>
        </is>
      </c>
      <c r="B42" s="16" t="n">
        <v>6642118.99</v>
      </c>
      <c r="C42" s="17" t="inlineStr">
        <is>
          <t>COMERCIO RACOES BEM BOM LTDA</t>
        </is>
      </c>
      <c r="D42" s="18" t="inlineStr">
        <is>
          <t>NEW</t>
        </is>
      </c>
      <c r="E42" s="19" t="inlineStr"/>
      <c r="F42" s="18" t="inlineStr"/>
      <c r="G42" s="19" t="inlineStr"/>
      <c r="H42" s="18" t="inlineStr"/>
      <c r="I42" s="20" t="inlineStr">
        <is>
          <t>EDSON VIANDELLI LOPES</t>
        </is>
      </c>
      <c r="J42" s="20" t="inlineStr">
        <is>
          <t>Sócio-Administrador</t>
        </is>
      </c>
      <c r="K42" s="20" t="inlineStr">
        <is>
          <t>(62) 3389-9200</t>
        </is>
      </c>
      <c r="L42" s="20" t="inlineStr">
        <is>
          <t>(62) 8115-0283</t>
        </is>
      </c>
      <c r="M42" s="20" t="inlineStr"/>
      <c r="N42" s="20" t="inlineStr"/>
      <c r="O42" s="20" t="inlineStr"/>
      <c r="P42" s="20" t="inlineStr"/>
      <c r="Q42" s="20" t="inlineStr"/>
      <c r="R42" s="20" t="inlineStr"/>
      <c r="S42" s="20" t="inlineStr"/>
      <c r="T42" s="21" t="n">
        <v>6642118.99</v>
      </c>
      <c r="U42" s="32" t="inlineStr">
        <is>
          <t>A</t>
        </is>
      </c>
      <c r="V42" s="23">
        <f>IFERROR(VLOOKUP(U42,Assumptions!$A$7:$D$11,2,FALSE),0)</f>
        <v/>
      </c>
      <c r="W42" s="24">
        <f>MAX(0.5,IFERROR(VLOOKUP(U42,Assumptions!$A$7:$D$11,3,FALSE),3)+IFERROR(VLOOKUP(U42,Assumptions!$A$7:$D$11,4,FALSE),8)/2-IF(AN42="",0,YEAR(TODAY())-AN42))</f>
        <v/>
      </c>
      <c r="X42" s="21">
        <f>T42*V42/(1+Assumptions!$B$3)^W42</f>
        <v/>
      </c>
      <c r="Y42" s="25">
        <f>IF(T42=0,"",ROUND(X42/T42*100,1))</f>
        <v/>
      </c>
      <c r="Z42" s="26">
        <f>X42*Assumptions!$B$4</f>
        <v/>
      </c>
      <c r="AA42" s="25">
        <f>IF(T42=0,"",ROUND(Z42/T42*100,1))</f>
        <v/>
      </c>
      <c r="AB42" s="26">
        <f>X42-Z42</f>
        <v/>
      </c>
      <c r="AC42" s="25">
        <f>IF(T42=0,"",ROUND((X42-Z42)/T42*100,1))</f>
        <v/>
      </c>
      <c r="AD42" s="27" t="inlineStr">
        <is>
          <t>CONFIRMED</t>
        </is>
      </c>
      <c r="AE42" s="28" t="inlineStr">
        <is>
          <t>https://stenius.com.br/wp-content/uploads/2026/06/EDITAL-GRUPO-3E.pdf</t>
        </is>
      </c>
      <c r="AF42" s="27" t="inlineStr">
        <is>
          <t>p13 r19</t>
        </is>
      </c>
      <c r="AG42" s="27" t="inlineStr">
        <is>
          <t>p13: R$ 6.642.118,99</t>
        </is>
      </c>
      <c r="AH42" s="27" t="inlineStr">
        <is>
          <t>DEBTOR_LIST</t>
        </is>
      </c>
      <c r="AI42" s="27" t="inlineStr">
        <is>
          <t>2026-06-22</t>
        </is>
      </c>
      <c r="AJ42" s="27" t="inlineStr">
        <is>
          <t>OK_NO_TOTALS</t>
        </is>
      </c>
      <c r="AK42" s="29" t="inlineStr">
        <is>
          <t>5341375-33.2026.8.09.0049</t>
        </is>
      </c>
      <c r="AL42" s="29" t="inlineStr">
        <is>
          <t>TJGO</t>
        </is>
      </c>
      <c r="AM42" s="29" t="inlineStr">
        <is>
          <t>ACTIVE</t>
        </is>
      </c>
      <c r="AN42" s="29" t="n">
        <v>2026</v>
      </c>
      <c r="AO42" s="29" t="inlineStr">
        <is>
          <t>plan/homologation document found</t>
        </is>
      </c>
      <c r="AP42" s="29" t="inlineStr">
        <is>
          <t>GOIANESIA</t>
        </is>
      </c>
      <c r="AQ42" s="29" t="inlineStr">
        <is>
          <t>GO</t>
        </is>
      </c>
      <c r="AR42" s="29" t="inlineStr">
        <is>
          <t>Fabricação de alimentos para animais</t>
        </is>
      </c>
      <c r="AS42" s="29" t="inlineStr">
        <is>
          <t>DEMAIS</t>
        </is>
      </c>
      <c r="AT42" s="29" t="inlineStr">
        <is>
          <t>MID-MARKET</t>
        </is>
      </c>
      <c r="AU42" s="29" t="inlineStr">
        <is>
          <t>41324359</t>
        </is>
      </c>
      <c r="AV42" s="29" t="n">
        <v>1</v>
      </c>
      <c r="AW42" s="29" t="inlineStr">
        <is>
          <t>ROWS:p13r19 UNRECONCILED_SOURCE</t>
        </is>
      </c>
    </row>
    <row r="43">
      <c r="A43" s="15" t="inlineStr">
        <is>
          <t>SOLUS DO BRASIL LTDA</t>
        </is>
      </c>
      <c r="B43" s="16" t="n">
        <v>7058181.5</v>
      </c>
      <c r="C43" s="17" t="inlineStr">
        <is>
          <t>NORTESUL COMERCIAL AGRICOLA LTDA EM RECUPERACAO JUDICIAL</t>
        </is>
      </c>
      <c r="D43" s="18" t="inlineStr">
        <is>
          <t>NEW</t>
        </is>
      </c>
      <c r="E43" s="19" t="inlineStr"/>
      <c r="F43" s="18" t="inlineStr"/>
      <c r="G43" s="19" t="inlineStr"/>
      <c r="H43" s="18" t="inlineStr"/>
      <c r="I43" s="20" t="inlineStr">
        <is>
          <t>Antonio Guimaraes</t>
        </is>
      </c>
      <c r="J43" s="20" t="inlineStr">
        <is>
          <t>Financial Director</t>
        </is>
      </c>
      <c r="K43" s="20" t="inlineStr">
        <is>
          <t>(43) 3162-2715</t>
        </is>
      </c>
      <c r="L43" s="20" t="inlineStr"/>
      <c r="M43" s="20" t="inlineStr"/>
      <c r="N43" s="20" t="inlineStr"/>
      <c r="O43" s="20" t="inlineStr"/>
      <c r="P43" s="20" t="inlineStr">
        <is>
          <t>Alcides Aires</t>
        </is>
      </c>
      <c r="Q43" s="20" t="inlineStr">
        <is>
          <t>CEO</t>
        </is>
      </c>
      <c r="R43" s="20" t="inlineStr"/>
      <c r="S43" s="20" t="inlineStr"/>
      <c r="T43" s="21" t="n">
        <v>7058181.5</v>
      </c>
      <c r="U43" s="22" t="inlineStr">
        <is>
          <t>B</t>
        </is>
      </c>
      <c r="V43" s="23">
        <f>IFERROR(VLOOKUP(U43,Assumptions!$A$7:$D$11,2,FALSE),0)</f>
        <v/>
      </c>
      <c r="W43" s="24">
        <f>MAX(0.5,IFERROR(VLOOKUP(U43,Assumptions!$A$7:$D$11,3,FALSE),3)+IFERROR(VLOOKUP(U43,Assumptions!$A$7:$D$11,4,FALSE),8)/2-IF(AN43="",0,YEAR(TODAY())-AN43))</f>
        <v/>
      </c>
      <c r="X43" s="21">
        <f>T43*V43/(1+Assumptions!$B$3)^W43</f>
        <v/>
      </c>
      <c r="Y43" s="25">
        <f>IF(T43=0,"",ROUND(X43/T43*100,1))</f>
        <v/>
      </c>
      <c r="Z43" s="26">
        <f>X43*Assumptions!$B$4</f>
        <v/>
      </c>
      <c r="AA43" s="25">
        <f>IF(T43=0,"",ROUND(Z43/T43*100,1))</f>
        <v/>
      </c>
      <c r="AB43" s="26">
        <f>X43-Z43</f>
        <v/>
      </c>
      <c r="AC43" s="25">
        <f>IF(T43=0,"",ROUND((X43-Z43)/T43*100,1))</f>
        <v/>
      </c>
      <c r="AD43" s="27" t="inlineStr">
        <is>
          <t>ESTIMATED</t>
        </is>
      </c>
      <c r="AE43" s="28" t="inlineStr">
        <is>
          <t>https://lrflideres.com.br/wp-content/plugins/download-attachments/includes/download.php?id=6879</t>
        </is>
      </c>
      <c r="AF43" s="27" t="inlineStr">
        <is>
          <t>p2 r10</t>
        </is>
      </c>
      <c r="AG43" s="27" t="inlineStr">
        <is>
          <t>p2: R$ 7.058.181,50</t>
        </is>
      </c>
      <c r="AH43" s="27" t="inlineStr">
        <is>
          <t>AJ_LIST</t>
        </is>
      </c>
      <c r="AI43" s="27" t="inlineStr">
        <is>
          <t>2026-01-15</t>
        </is>
      </c>
      <c r="AJ43" s="27" t="inlineStr">
        <is>
          <t>OK</t>
        </is>
      </c>
      <c r="AK43" s="29" t="inlineStr">
        <is>
          <t>0804401-51.2025.8.14.0039</t>
        </is>
      </c>
      <c r="AL43" s="29" t="inlineStr">
        <is>
          <t>TJPA</t>
        </is>
      </c>
      <c r="AM43" s="29" t="inlineStr">
        <is>
          <t>ACTIVE</t>
        </is>
      </c>
      <c r="AN43" s="29" t="n">
        <v>2025</v>
      </c>
      <c r="AO43" s="29" t="inlineStr">
        <is>
          <t>live case, no plan document yet</t>
        </is>
      </c>
      <c r="AP43" s="29" t="inlineStr">
        <is>
          <t>APUCARANA</t>
        </is>
      </c>
      <c r="AQ43" s="29" t="inlineStr">
        <is>
          <t>PR</t>
        </is>
      </c>
      <c r="AR43" s="29" t="inlineStr">
        <is>
          <t>Fabricação de defensivos agrícolas</t>
        </is>
      </c>
      <c r="AS43" s="29" t="inlineStr">
        <is>
          <t>DEMAIS</t>
        </is>
      </c>
      <c r="AT43" s="29" t="inlineStr">
        <is>
          <t>MID-MARKET</t>
        </is>
      </c>
      <c r="AU43" s="29" t="inlineStr">
        <is>
          <t>21203489</t>
        </is>
      </c>
      <c r="AV43" s="29" t="n">
        <v>1</v>
      </c>
      <c r="AW43" s="29" t="inlineStr">
        <is>
          <t>ROWS:p2r10</t>
        </is>
      </c>
    </row>
    <row r="44">
      <c r="A44" s="15" t="inlineStr">
        <is>
          <t>M.K. GALONE CONFECCOES E COMERCIO DE ROUPAS LTDA</t>
        </is>
      </c>
      <c r="B44" s="16" t="n">
        <v>3309751.29</v>
      </c>
      <c r="C44" s="17" t="inlineStr">
        <is>
          <t>R W CONSTRUCOES LTDA</t>
        </is>
      </c>
      <c r="D44" s="18" t="inlineStr">
        <is>
          <t>NEW</t>
        </is>
      </c>
      <c r="E44" s="19" t="inlineStr"/>
      <c r="F44" s="18" t="inlineStr"/>
      <c r="G44" s="19" t="inlineStr"/>
      <c r="H44" s="18" t="inlineStr"/>
      <c r="I44" s="20" t="inlineStr">
        <is>
          <t>LEANDRO AKIYOSHI HASHIGUTI</t>
        </is>
      </c>
      <c r="J44" s="20" t="inlineStr">
        <is>
          <t>Sócio-Administrador</t>
        </is>
      </c>
      <c r="K44" s="20" t="inlineStr">
        <is>
          <t>(11) 7213-9030</t>
        </is>
      </c>
      <c r="L44" s="20" t="inlineStr"/>
      <c r="M44" s="20" t="inlineStr"/>
      <c r="N44" s="20" t="inlineStr"/>
      <c r="O44" s="20" t="inlineStr"/>
      <c r="P44" s="20" t="inlineStr">
        <is>
          <t>THIAGO ISSAMI HASHIGUTI</t>
        </is>
      </c>
      <c r="Q44" s="20" t="inlineStr">
        <is>
          <t>Sócio-Administrador</t>
        </is>
      </c>
      <c r="R44" s="20" t="inlineStr">
        <is>
          <t>(11) 7213-9030</t>
        </is>
      </c>
      <c r="S44" s="20" t="inlineStr"/>
      <c r="T44" s="21" t="n">
        <v>3309751.29</v>
      </c>
      <c r="U44" s="22" t="inlineStr">
        <is>
          <t>B</t>
        </is>
      </c>
      <c r="V44" s="23">
        <f>IFERROR(VLOOKUP(U44,Assumptions!$A$7:$D$11,2,FALSE),0)</f>
        <v/>
      </c>
      <c r="W44" s="24">
        <f>MAX(0.5,IFERROR(VLOOKUP(U44,Assumptions!$A$7:$D$11,3,FALSE),3)+IFERROR(VLOOKUP(U44,Assumptions!$A$7:$D$11,4,FALSE),8)/2-IF(AN44="",0,YEAR(TODAY())-AN44))</f>
        <v/>
      </c>
      <c r="X44" s="21">
        <f>T44*V44/(1+Assumptions!$B$3)^W44</f>
        <v/>
      </c>
      <c r="Y44" s="25">
        <f>IF(T44=0,"",ROUND(X44/T44*100,1))</f>
        <v/>
      </c>
      <c r="Z44" s="26">
        <f>X44*Assumptions!$B$4</f>
        <v/>
      </c>
      <c r="AA44" s="25">
        <f>IF(T44=0,"",ROUND(Z44/T44*100,1))</f>
        <v/>
      </c>
      <c r="AB44" s="26">
        <f>X44-Z44</f>
        <v/>
      </c>
      <c r="AC44" s="25">
        <f>IF(T44=0,"",ROUND((X44-Z44)/T44*100,1))</f>
        <v/>
      </c>
      <c r="AD44" s="27" t="inlineStr">
        <is>
          <t>ESTIMATED</t>
        </is>
      </c>
      <c r="AE44" s="28" t="inlineStr">
        <is>
          <t>https://lrflideres.com.br/wp-content/plugins/download-attachments/includes/download.php?id=4023</t>
        </is>
      </c>
      <c r="AF44" s="27" t="inlineStr">
        <is>
          <t>p4 r87; p7 r111; p9 r84</t>
        </is>
      </c>
      <c r="AG44" s="27" t="inlineStr">
        <is>
          <t>p4: R$ 2.265.469,65; p7: R$ 879.396,72; p9: R$ 164.884,92</t>
        </is>
      </c>
      <c r="AH44" s="27" t="inlineStr">
        <is>
          <t>DEBTOR_LIST</t>
        </is>
      </c>
      <c r="AI44" s="27" t="inlineStr"/>
      <c r="AJ44" s="27" t="inlineStr">
        <is>
          <t>QUARANTINED</t>
        </is>
      </c>
      <c r="AK44" s="29" t="inlineStr">
        <is>
          <t>0002484-82.2022.8.17.2001</t>
        </is>
      </c>
      <c r="AL44" s="29" t="inlineStr">
        <is>
          <t>TJPE</t>
        </is>
      </c>
      <c r="AM44" s="29" t="inlineStr">
        <is>
          <t>ACTIVE</t>
        </is>
      </c>
      <c r="AN44" s="29" t="n">
        <v>2022</v>
      </c>
      <c r="AO44" s="29" t="inlineStr">
        <is>
          <t>live case, no plan document yet</t>
        </is>
      </c>
      <c r="AP44" s="29" t="inlineStr">
        <is>
          <t>SAO PAULO</t>
        </is>
      </c>
      <c r="AQ44" s="29" t="inlineStr">
        <is>
          <t>SP</t>
        </is>
      </c>
      <c r="AR44" s="29" t="inlineStr">
        <is>
          <t>Confecção de peças de vestuário, exceto roupas íntimas e as confeccionadas sob medida</t>
        </is>
      </c>
      <c r="AS44" s="29" t="inlineStr">
        <is>
          <t>DEMAIS</t>
        </is>
      </c>
      <c r="AT44" s="29" t="inlineStr">
        <is>
          <t>MID-MARKET</t>
        </is>
      </c>
      <c r="AU44" s="29" t="inlineStr">
        <is>
          <t>05784234</t>
        </is>
      </c>
      <c r="AV44" s="29" t="n">
        <v>3</v>
      </c>
      <c r="AW44" s="29" t="inlineStr">
        <is>
          <t>PARTIAL_DOC_CLASS_III_RECONCILED ROWS:p4r87,p7r111,p9r84</t>
        </is>
      </c>
    </row>
    <row r="45">
      <c r="A45" s="15" t="inlineStr">
        <is>
          <t>COOPERATIVA DOS PLANTADORES DE CANA DO ESTADO SAO PAULO</t>
        </is>
      </c>
      <c r="B45" s="16" t="n">
        <v>8000000</v>
      </c>
      <c r="C45" s="17" t="inlineStr"/>
      <c r="D45" s="18" t="inlineStr">
        <is>
          <t>NEW</t>
        </is>
      </c>
      <c r="E45" s="19" t="inlineStr"/>
      <c r="F45" s="18" t="inlineStr"/>
      <c r="G45" s="19" t="inlineStr"/>
      <c r="H45" s="18" t="inlineStr"/>
      <c r="I45" s="20" t="inlineStr">
        <is>
          <t>Jose Pavao</t>
        </is>
      </c>
      <c r="J45" s="20" t="inlineStr">
        <is>
          <t>Administrative Director</t>
        </is>
      </c>
      <c r="K45" s="20" t="inlineStr">
        <is>
          <t>(19) 3401-2200</t>
        </is>
      </c>
      <c r="L45" s="20" t="inlineStr"/>
      <c r="M45" s="20" t="inlineStr"/>
      <c r="N45" s="20" t="inlineStr"/>
      <c r="O45" s="20" t="inlineStr"/>
      <c r="P45" s="20" t="inlineStr">
        <is>
          <t>Marcelo Gil</t>
        </is>
      </c>
      <c r="Q45" s="20" t="inlineStr">
        <is>
          <t>Commercial Manager</t>
        </is>
      </c>
      <c r="R45" s="20" t="inlineStr"/>
      <c r="S45" s="20" t="inlineStr"/>
      <c r="T45" s="21" t="n">
        <v>8000000</v>
      </c>
      <c r="U45" s="22" t="inlineStr">
        <is>
          <t>B</t>
        </is>
      </c>
      <c r="V45" s="23">
        <f>IFERROR(VLOOKUP(U45,Assumptions!$A$7:$D$11,2,FALSE),0)</f>
        <v/>
      </c>
      <c r="W45" s="24">
        <f>MAX(0.5,IFERROR(VLOOKUP(U45,Assumptions!$A$7:$D$11,3,FALSE),3)+IFERROR(VLOOKUP(U45,Assumptions!$A$7:$D$11,4,FALSE),8)/2-IF(AN45="",0,YEAR(TODAY())-AN45))</f>
        <v/>
      </c>
      <c r="X45" s="21">
        <f>T45*V45/(1+Assumptions!$B$3)^W45</f>
        <v/>
      </c>
      <c r="Y45" s="25">
        <f>IF(T45=0,"",ROUND(X45/T45*100,1))</f>
        <v/>
      </c>
      <c r="Z45" s="26">
        <f>X45*Assumptions!$B$4</f>
        <v/>
      </c>
      <c r="AA45" s="25">
        <f>IF(T45=0,"",ROUND(Z45/T45*100,1))</f>
        <v/>
      </c>
      <c r="AB45" s="26">
        <f>X45-Z45</f>
        <v/>
      </c>
      <c r="AC45" s="25">
        <f>IF(T45=0,"",ROUND((X45-Z45)/T45*100,1))</f>
        <v/>
      </c>
      <c r="AD45" s="27" t="inlineStr">
        <is>
          <t>ESTIMATED</t>
        </is>
      </c>
      <c r="AE45" s="28" t="inlineStr">
        <is>
          <t>https://vtladm.com.br/wp-content/uploads/2026/06/02-–-Relacao-de-Credores-–-NAIR-AKICO-KAWAKAMI-MORIOKA-E-OUTROS.pdf</t>
        </is>
      </c>
      <c r="AF45" s="27" t="inlineStr">
        <is>
          <t>p4 r1</t>
        </is>
      </c>
      <c r="AG45" s="27" t="inlineStr">
        <is>
          <t>p4: R$ 8.000.000,00</t>
        </is>
      </c>
      <c r="AH45" s="27" t="inlineStr">
        <is>
          <t>UNKNOWN</t>
        </is>
      </c>
      <c r="AI45" s="27" t="inlineStr"/>
      <c r="AJ45" s="27" t="inlineStr">
        <is>
          <t>OK_NO_TOTALS</t>
        </is>
      </c>
      <c r="AK45" s="29" t="inlineStr">
        <is>
          <t>4000807-49.2026.8.26.0354</t>
        </is>
      </c>
      <c r="AL45" s="29" t="inlineStr">
        <is>
          <t>TJSP</t>
        </is>
      </c>
      <c r="AM45" s="29" t="inlineStr">
        <is>
          <t>ACTIVE</t>
        </is>
      </c>
      <c r="AN45" s="29" t="n">
        <v>2026</v>
      </c>
      <c r="AO45" s="29" t="inlineStr">
        <is>
          <t>live case, no plan document yet</t>
        </is>
      </c>
      <c r="AP45" s="29" t="inlineStr">
        <is>
          <t>PIRACICABA</t>
        </is>
      </c>
      <c r="AQ45" s="29" t="inlineStr">
        <is>
          <t>SP</t>
        </is>
      </c>
      <c r="AR45" s="29" t="inlineStr">
        <is>
          <t>Comércio atacadista de defensivos agrícolas, adubos, fertilizantes e corretivos do solo</t>
        </is>
      </c>
      <c r="AS45" s="29" t="inlineStr">
        <is>
          <t>DEMAIS</t>
        </is>
      </c>
      <c r="AT45" s="29" t="inlineStr">
        <is>
          <t>MID-MARKET</t>
        </is>
      </c>
      <c r="AU45" s="29" t="inlineStr">
        <is>
          <t>54366547</t>
        </is>
      </c>
      <c r="AV45" s="29" t="n">
        <v>1</v>
      </c>
      <c r="AW45" s="29" t="inlineStr">
        <is>
          <t>LONG_CHUNK MULTI_ROOT ROWS:p4r1 UNRECONCILED_SOURCE</t>
        </is>
      </c>
    </row>
    <row r="46">
      <c r="A46" s="15" t="inlineStr">
        <is>
          <t>NORTESUL COMERCIAL AGRICOLA LTDA EM RECUPERACAO JUDICIAL</t>
        </is>
      </c>
      <c r="B46" s="16" t="n">
        <v>6258845.34</v>
      </c>
      <c r="C46" s="17" t="inlineStr">
        <is>
          <t>NORTESUL COMERCIAL AGRICOLA LTDA EM RECUPERACAO JUDICIAL</t>
        </is>
      </c>
      <c r="D46" s="18" t="inlineStr">
        <is>
          <t>NEW</t>
        </is>
      </c>
      <c r="E46" s="19" t="inlineStr"/>
      <c r="F46" s="18" t="inlineStr"/>
      <c r="G46" s="19" t="inlineStr"/>
      <c r="H46" s="18" t="inlineStr"/>
      <c r="I46" s="20" t="inlineStr">
        <is>
          <t>Lidiane C</t>
        </is>
      </c>
      <c r="J46" s="20" t="inlineStr">
        <is>
          <t>Administrative Manager</t>
        </is>
      </c>
      <c r="K46" s="20" t="inlineStr">
        <is>
          <t>(63) 3602-4239</t>
        </is>
      </c>
      <c r="L46" s="20" t="inlineStr"/>
      <c r="M46" s="20" t="inlineStr"/>
      <c r="N46" s="20" t="inlineStr"/>
      <c r="O46" s="20" t="inlineStr"/>
      <c r="P46" s="20" t="inlineStr">
        <is>
          <t>Wesley Medeiros</t>
        </is>
      </c>
      <c r="Q46" s="20" t="inlineStr">
        <is>
          <t>Financial Analyst</t>
        </is>
      </c>
      <c r="R46" s="20" t="inlineStr"/>
      <c r="S46" s="20" t="inlineStr"/>
      <c r="T46" s="21" t="n">
        <v>6258845.34</v>
      </c>
      <c r="U46" s="22" t="inlineStr">
        <is>
          <t>B</t>
        </is>
      </c>
      <c r="V46" s="23">
        <f>IFERROR(VLOOKUP(U46,Assumptions!$A$7:$D$11,2,FALSE),0)</f>
        <v/>
      </c>
      <c r="W46" s="24">
        <f>MAX(0.5,IFERROR(VLOOKUP(U46,Assumptions!$A$7:$D$11,3,FALSE),3)+IFERROR(VLOOKUP(U46,Assumptions!$A$7:$D$11,4,FALSE),8)/2-IF(AN46="",0,YEAR(TODAY())-AN46))</f>
        <v/>
      </c>
      <c r="X46" s="21">
        <f>T46*V46/(1+Assumptions!$B$3)^W46</f>
        <v/>
      </c>
      <c r="Y46" s="25">
        <f>IF(T46=0,"",ROUND(X46/T46*100,1))</f>
        <v/>
      </c>
      <c r="Z46" s="26">
        <f>X46*Assumptions!$B$4</f>
        <v/>
      </c>
      <c r="AA46" s="25">
        <f>IF(T46=0,"",ROUND(Z46/T46*100,1))</f>
        <v/>
      </c>
      <c r="AB46" s="26">
        <f>X46-Z46</f>
        <v/>
      </c>
      <c r="AC46" s="25">
        <f>IF(T46=0,"",ROUND((X46-Z46)/T46*100,1))</f>
        <v/>
      </c>
      <c r="AD46" s="27" t="inlineStr">
        <is>
          <t>ESTIMATED</t>
        </is>
      </c>
      <c r="AE46" s="28" t="inlineStr">
        <is>
          <t>https://lrflideres.com.br/wp-content/plugins/download-attachments/includes/download.php?id=6879</t>
        </is>
      </c>
      <c r="AF46" s="27" t="inlineStr">
        <is>
          <t>p2 r5</t>
        </is>
      </c>
      <c r="AG46" s="27" t="inlineStr">
        <is>
          <t>p2: R$ 6.258.845,34</t>
        </is>
      </c>
      <c r="AH46" s="27" t="inlineStr">
        <is>
          <t>AJ_LIST</t>
        </is>
      </c>
      <c r="AI46" s="27" t="inlineStr">
        <is>
          <t>2026-01-15</t>
        </is>
      </c>
      <c r="AJ46" s="27" t="inlineStr">
        <is>
          <t>OK</t>
        </is>
      </c>
      <c r="AK46" s="29" t="inlineStr">
        <is>
          <t>0804401-51.2025.8.14.0039</t>
        </is>
      </c>
      <c r="AL46" s="29" t="inlineStr">
        <is>
          <t>TJPA</t>
        </is>
      </c>
      <c r="AM46" s="29" t="inlineStr">
        <is>
          <t>ACTIVE</t>
        </is>
      </c>
      <c r="AN46" s="29" t="n">
        <v>2025</v>
      </c>
      <c r="AO46" s="29" t="inlineStr">
        <is>
          <t>live case, no plan document yet</t>
        </is>
      </c>
      <c r="AP46" s="29" t="inlineStr">
        <is>
          <t>PALMAS</t>
        </is>
      </c>
      <c r="AQ46" s="29" t="inlineStr">
        <is>
          <t>TO</t>
        </is>
      </c>
      <c r="AR46" s="29" t="inlineStr">
        <is>
          <t>Comércio atacadista de matérias-primas agrícolas não especificadas anteriormente</t>
        </is>
      </c>
      <c r="AS46" s="29" t="inlineStr">
        <is>
          <t>DEMAIS</t>
        </is>
      </c>
      <c r="AT46" s="29" t="inlineStr">
        <is>
          <t>MID-MARKET</t>
        </is>
      </c>
      <c r="AU46" s="29" t="inlineStr">
        <is>
          <t>15626673</t>
        </is>
      </c>
      <c r="AV46" s="29" t="n">
        <v>1</v>
      </c>
      <c r="AW46" s="29" t="inlineStr">
        <is>
          <t>ROWS:p2r5</t>
        </is>
      </c>
    </row>
    <row r="47">
      <c r="A47" s="15" t="inlineStr">
        <is>
          <t>GRANELES BRASIL COMERCIAL IMPORTADORA EXPORTADORA AGRICOLA S.A EM RECUPERACAO JUDICIAL</t>
        </is>
      </c>
      <c r="B47" s="16" t="n">
        <v>11676960.19</v>
      </c>
      <c r="C47" s="17" t="inlineStr"/>
      <c r="D47" s="18" t="inlineStr">
        <is>
          <t>NEW</t>
        </is>
      </c>
      <c r="E47" s="19" t="inlineStr"/>
      <c r="F47" s="18" t="inlineStr"/>
      <c r="G47" s="19" t="inlineStr"/>
      <c r="H47" s="18" t="inlineStr"/>
      <c r="I47" s="20" t="inlineStr">
        <is>
          <t>Gabriel Machado</t>
        </is>
      </c>
      <c r="J47" s="20" t="inlineStr">
        <is>
          <t>CMO</t>
        </is>
      </c>
      <c r="K47" s="20" t="inlineStr">
        <is>
          <t>(41) 9539-0828</t>
        </is>
      </c>
      <c r="L47" s="20" t="inlineStr"/>
      <c r="M47" s="20" t="inlineStr"/>
      <c r="N47" s="20" t="inlineStr">
        <is>
          <t>gmachado@granelesbrasil.com</t>
        </is>
      </c>
      <c r="O47" s="20" t="inlineStr">
        <is>
          <t>mgaensly@granelesbrasil.com</t>
        </is>
      </c>
      <c r="P47" s="20" t="inlineStr">
        <is>
          <t>Mauricio Gaensly</t>
        </is>
      </c>
      <c r="Q47" s="20" t="inlineStr">
        <is>
          <t>Financial Analyst</t>
        </is>
      </c>
      <c r="R47" s="20" t="inlineStr"/>
      <c r="S47" s="20" t="inlineStr">
        <is>
          <t>mgaensly@granelesbrasil.com</t>
        </is>
      </c>
      <c r="T47" s="21" t="n">
        <v>11676960.19</v>
      </c>
      <c r="U47" s="30" t="inlineStr">
        <is>
          <t>?</t>
        </is>
      </c>
      <c r="V47" s="23">
        <f>IFERROR(VLOOKUP(U47,Assumptions!$A$7:$D$11,2,FALSE),0)</f>
        <v/>
      </c>
      <c r="W47" s="24">
        <f>MAX(0.5,IFERROR(VLOOKUP(U47,Assumptions!$A$7:$D$11,3,FALSE),3)+IFERROR(VLOOKUP(U47,Assumptions!$A$7:$D$11,4,FALSE),8)/2-IF(AN47="",0,YEAR(TODAY())-AN47))</f>
        <v/>
      </c>
      <c r="X47" s="21">
        <f>T47*V47/(1+Assumptions!$B$3)^W47</f>
        <v/>
      </c>
      <c r="Y47" s="25">
        <f>IF(T47=0,"",ROUND(X47/T47*100,1))</f>
        <v/>
      </c>
      <c r="Z47" s="26">
        <f>X47*Assumptions!$B$4</f>
        <v/>
      </c>
      <c r="AA47" s="25">
        <f>IF(T47=0,"",ROUND(Z47/T47*100,1))</f>
        <v/>
      </c>
      <c r="AB47" s="26">
        <f>X47-Z47</f>
        <v/>
      </c>
      <c r="AC47" s="25">
        <f>IF(T47=0,"",ROUND((X47-Z47)/T47*100,1))</f>
        <v/>
      </c>
      <c r="AD47" s="27" t="inlineStr">
        <is>
          <t>UNKNOWN</t>
        </is>
      </c>
      <c r="AE47" s="28" t="inlineStr">
        <is>
          <t>https://scalzilliaj.com.br/sgc/download.php?file=files/processo_documento/processo_documento13183320052026_1_.pdf&amp;nome=10 - QGC Provisório - atualizado até Maio de 2026</t>
        </is>
      </c>
      <c r="AF47" s="27" t="inlineStr">
        <is>
          <t>p1 r10</t>
        </is>
      </c>
      <c r="AG47" s="27" t="inlineStr">
        <is>
          <t>p1: R$ 11.676.960,19</t>
        </is>
      </c>
      <c r="AH47" s="27" t="inlineStr">
        <is>
          <t>QGC</t>
        </is>
      </c>
      <c r="AI47" s="27" t="inlineStr"/>
      <c r="AJ47" s="27" t="inlineStr">
        <is>
          <t>OK_NO_TOTALS</t>
        </is>
      </c>
      <c r="AK47" s="29" t="inlineStr">
        <is>
          <t>(not printed)</t>
        </is>
      </c>
      <c r="AL47" s="29" t="inlineStr"/>
      <c r="AM47" s="29" t="inlineStr"/>
      <c r="AN47" s="29" t="inlineStr"/>
      <c r="AO47" s="29" t="inlineStr">
        <is>
          <t>RJ case number not identified on the document</t>
        </is>
      </c>
      <c r="AP47" s="29" t="inlineStr">
        <is>
          <t>SAO PAULO</t>
        </is>
      </c>
      <c r="AQ47" s="29" t="inlineStr">
        <is>
          <t>SP</t>
        </is>
      </c>
      <c r="AR47" s="29" t="inlineStr">
        <is>
          <t>Comércio atacadista de produtos alimentícios em geral</t>
        </is>
      </c>
      <c r="AS47" s="29" t="inlineStr">
        <is>
          <t>DEMAIS</t>
        </is>
      </c>
      <c r="AT47" s="29" t="inlineStr">
        <is>
          <t>MID-MARKET</t>
        </is>
      </c>
      <c r="AU47" s="29" t="inlineStr">
        <is>
          <t>24785274</t>
        </is>
      </c>
      <c r="AV47" s="29" t="n">
        <v>1</v>
      </c>
      <c r="AW47" s="29" t="inlineStr">
        <is>
          <t>CASE_NUMBER_MISSING ROWS:p1r10 UNRECONCILED_SOURCE VALUE_COL:Valor_Do_Crédito</t>
        </is>
      </c>
    </row>
    <row r="48">
      <c r="A48" s="15" t="inlineStr">
        <is>
          <t>ALFANI CONFECCOES E COMERCIO LTDA - EM RECUPERACAO JUDICIAL</t>
        </is>
      </c>
      <c r="B48" s="16" t="n">
        <v>3140000</v>
      </c>
      <c r="C48" s="17" t="inlineStr">
        <is>
          <t>R W CONSTRUCOES LTDA</t>
        </is>
      </c>
      <c r="D48" s="18" t="inlineStr">
        <is>
          <t>NEW</t>
        </is>
      </c>
      <c r="E48" s="19" t="inlineStr"/>
      <c r="F48" s="18" t="inlineStr"/>
      <c r="G48" s="19" t="inlineStr"/>
      <c r="H48" s="18" t="inlineStr"/>
      <c r="I48" s="20" t="inlineStr">
        <is>
          <t>FLAVIO DANTAS CATAO</t>
        </is>
      </c>
      <c r="J48" s="20" t="inlineStr">
        <is>
          <t>Sócio-Administrador</t>
        </is>
      </c>
      <c r="K48" s="20" t="inlineStr">
        <is>
          <t>(81) 3419-8550</t>
        </is>
      </c>
      <c r="L48" s="20" t="inlineStr">
        <is>
          <t>(81) 3032-8400</t>
        </is>
      </c>
      <c r="M48" s="20" t="inlineStr"/>
      <c r="N48" s="20" t="inlineStr"/>
      <c r="O48" s="20" t="inlineStr"/>
      <c r="P48" s="20" t="inlineStr"/>
      <c r="Q48" s="20" t="inlineStr"/>
      <c r="R48" s="20" t="inlineStr"/>
      <c r="S48" s="20" t="inlineStr"/>
      <c r="T48" s="21" t="n">
        <v>3140000</v>
      </c>
      <c r="U48" s="22" t="inlineStr">
        <is>
          <t>B</t>
        </is>
      </c>
      <c r="V48" s="23">
        <f>IFERROR(VLOOKUP(U48,Assumptions!$A$7:$D$11,2,FALSE),0)</f>
        <v/>
      </c>
      <c r="W48" s="24">
        <f>MAX(0.5,IFERROR(VLOOKUP(U48,Assumptions!$A$7:$D$11,3,FALSE),3)+IFERROR(VLOOKUP(U48,Assumptions!$A$7:$D$11,4,FALSE),8)/2-IF(AN48="",0,YEAR(TODAY())-AN48))</f>
        <v/>
      </c>
      <c r="X48" s="21">
        <f>T48*V48/(1+Assumptions!$B$3)^W48</f>
        <v/>
      </c>
      <c r="Y48" s="25">
        <f>IF(T48=0,"",ROUND(X48/T48*100,1))</f>
        <v/>
      </c>
      <c r="Z48" s="26">
        <f>X48*Assumptions!$B$4</f>
        <v/>
      </c>
      <c r="AA48" s="25">
        <f>IF(T48=0,"",ROUND(Z48/T48*100,1))</f>
        <v/>
      </c>
      <c r="AB48" s="26">
        <f>X48-Z48</f>
        <v/>
      </c>
      <c r="AC48" s="25">
        <f>IF(T48=0,"",ROUND((X48-Z48)/T48*100,1))</f>
        <v/>
      </c>
      <c r="AD48" s="27" t="inlineStr">
        <is>
          <t>ESTIMATED</t>
        </is>
      </c>
      <c r="AE48" s="28" t="inlineStr">
        <is>
          <t>https://lrflideres.com.br/wp-content/plugins/download-attachments/includes/download.php?id=4023</t>
        </is>
      </c>
      <c r="AF48" s="27" t="inlineStr">
        <is>
          <t>p9 r52</t>
        </is>
      </c>
      <c r="AG48" s="27" t="inlineStr">
        <is>
          <t>p9: R$ 3.140.000,00</t>
        </is>
      </c>
      <c r="AH48" s="27" t="inlineStr">
        <is>
          <t>DEBTOR_LIST</t>
        </is>
      </c>
      <c r="AI48" s="27" t="inlineStr"/>
      <c r="AJ48" s="27" t="inlineStr">
        <is>
          <t>QUARANTINED</t>
        </is>
      </c>
      <c r="AK48" s="29" t="inlineStr">
        <is>
          <t>0002484-82.2022.8.17.2001</t>
        </is>
      </c>
      <c r="AL48" s="29" t="inlineStr">
        <is>
          <t>TJPE</t>
        </is>
      </c>
      <c r="AM48" s="29" t="inlineStr">
        <is>
          <t>ACTIVE</t>
        </is>
      </c>
      <c r="AN48" s="29" t="n">
        <v>2022</v>
      </c>
      <c r="AO48" s="29" t="inlineStr">
        <is>
          <t>live case, no plan document yet</t>
        </is>
      </c>
      <c r="AP48" s="29" t="inlineStr">
        <is>
          <t>RECIFE</t>
        </is>
      </c>
      <c r="AQ48" s="29" t="inlineStr">
        <is>
          <t>PE</t>
        </is>
      </c>
      <c r="AR48" s="29" t="inlineStr">
        <is>
          <t>Comércio varejista de artigos do vestuário e acessórios</t>
        </is>
      </c>
      <c r="AS48" s="29" t="inlineStr">
        <is>
          <t>DEMAIS</t>
        </is>
      </c>
      <c r="AT48" s="29" t="inlineStr">
        <is>
          <t>MID-MARKET</t>
        </is>
      </c>
      <c r="AU48" s="29" t="inlineStr">
        <is>
          <t>02524216</t>
        </is>
      </c>
      <c r="AV48" s="29" t="n">
        <v>1</v>
      </c>
      <c r="AW48" s="29" t="inlineStr">
        <is>
          <t>PARTIAL_DOC_CLASS_III_RECONCILED ROWS:p9r52</t>
        </is>
      </c>
    </row>
    <row r="49">
      <c r="A49" s="15" t="inlineStr">
        <is>
          <t>VIANMAQ EQUIPAMENTOS LTDA</t>
        </is>
      </c>
      <c r="B49" s="16" t="n">
        <v>3083893.62</v>
      </c>
      <c r="C49" s="17" t="inlineStr">
        <is>
          <t>CPX DISTRIBUIDORA S.A.</t>
        </is>
      </c>
      <c r="D49" s="18" t="inlineStr">
        <is>
          <t>NEW</t>
        </is>
      </c>
      <c r="E49" s="19" t="inlineStr"/>
      <c r="F49" s="18" t="inlineStr"/>
      <c r="G49" s="19" t="inlineStr"/>
      <c r="H49" s="18" t="inlineStr"/>
      <c r="I49" s="20" t="inlineStr">
        <is>
          <t>Emerson Moraes</t>
        </is>
      </c>
      <c r="J49" s="20" t="inlineStr">
        <is>
          <t>Vendedor Equipamentos</t>
        </is>
      </c>
      <c r="K49" s="20" t="inlineStr">
        <is>
          <t>(41) 3555-2161</t>
        </is>
      </c>
      <c r="L49" s="20" t="inlineStr">
        <is>
          <t>(41) 9707-0679</t>
        </is>
      </c>
      <c r="M49" s="20" t="inlineStr"/>
      <c r="N49" s="20" t="inlineStr">
        <is>
          <t>emerson.moraes@vianmaq.com.br</t>
        </is>
      </c>
      <c r="O49" s="20" t="inlineStr"/>
      <c r="P49" s="20" t="inlineStr">
        <is>
          <t>THIERRY FERNAND VIAN</t>
        </is>
      </c>
      <c r="Q49" s="20" t="inlineStr">
        <is>
          <t>Sócio-Administrador</t>
        </is>
      </c>
      <c r="R49" s="20" t="inlineStr">
        <is>
          <t>(41) 9707-0679</t>
        </is>
      </c>
      <c r="S49" s="20" t="inlineStr"/>
      <c r="T49" s="21" t="n">
        <v>3083893.62</v>
      </c>
      <c r="U49" s="22" t="inlineStr">
        <is>
          <t>B</t>
        </is>
      </c>
      <c r="V49" s="23">
        <f>IFERROR(VLOOKUP(U49,Assumptions!$A$7:$D$11,2,FALSE),0)</f>
        <v/>
      </c>
      <c r="W49" s="24">
        <f>MAX(0.5,IFERROR(VLOOKUP(U49,Assumptions!$A$7:$D$11,3,FALSE),3)+IFERROR(VLOOKUP(U49,Assumptions!$A$7:$D$11,4,FALSE),8)/2-IF(AN49="",0,YEAR(TODAY())-AN49))</f>
        <v/>
      </c>
      <c r="X49" s="21">
        <f>T49*V49/(1+Assumptions!$B$3)^W49</f>
        <v/>
      </c>
      <c r="Y49" s="25">
        <f>IF(T49=0,"",ROUND(X49/T49*100,1))</f>
        <v/>
      </c>
      <c r="Z49" s="26">
        <f>X49*Assumptions!$B$4</f>
        <v/>
      </c>
      <c r="AA49" s="25">
        <f>IF(T49=0,"",ROUND(Z49/T49*100,1))</f>
        <v/>
      </c>
      <c r="AB49" s="26">
        <f>X49-Z49</f>
        <v/>
      </c>
      <c r="AC49" s="25">
        <f>IF(T49=0,"",ROUND((X49-Z49)/T49*100,1))</f>
        <v/>
      </c>
      <c r="AD49" s="27" t="inlineStr">
        <is>
          <t>ESTIMATED</t>
        </is>
      </c>
      <c r="AE49" s="28" t="inlineStr">
        <is>
          <t>https://marquesadmjudicial.com.br/sgc/download.php?file=files/processo_documento/processo_documento16562707032024_1_.pdf&amp;nome=2º Edital-Relação de Credores do art. 7, §2 da LREF e do Plano de Recuperação Judicial</t>
        </is>
      </c>
      <c r="AF49" s="27" t="inlineStr">
        <is>
          <t>p1 r45</t>
        </is>
      </c>
      <c r="AG49" s="27" t="inlineStr">
        <is>
          <t>p1: R$ 3.083.893,62</t>
        </is>
      </c>
      <c r="AH49" s="27" t="inlineStr">
        <is>
          <t>AJ_LIST</t>
        </is>
      </c>
      <c r="AI49" s="27" t="inlineStr">
        <is>
          <t>2022-11-17</t>
        </is>
      </c>
      <c r="AJ49" s="27" t="inlineStr">
        <is>
          <t>OK_NO_TOTALS</t>
        </is>
      </c>
      <c r="AK49" s="29" t="inlineStr">
        <is>
          <t>0037411-27.2022.8.16.0021</t>
        </is>
      </c>
      <c r="AL49" s="29" t="inlineStr">
        <is>
          <t>TJPR</t>
        </is>
      </c>
      <c r="AM49" s="29" t="inlineStr">
        <is>
          <t>ACTIVE</t>
        </is>
      </c>
      <c r="AN49" s="29" t="n">
        <v>2022</v>
      </c>
      <c r="AO49" s="29" t="inlineStr">
        <is>
          <t>live case, no plan document yet</t>
        </is>
      </c>
      <c r="AP49" s="29" t="inlineStr">
        <is>
          <t>CAMPO LARGO</t>
        </is>
      </c>
      <c r="AQ49" s="29" t="inlineStr">
        <is>
          <t>PR</t>
        </is>
      </c>
      <c r="AR49" s="29" t="inlineStr">
        <is>
          <t>Comércio atacadista de outras máquinas e equipamentos não especificados anteriormente; partes e peças</t>
        </is>
      </c>
      <c r="AS49" s="29" t="inlineStr">
        <is>
          <t>DEMAIS</t>
        </is>
      </c>
      <c r="AT49" s="29" t="inlineStr">
        <is>
          <t>MID-MARKET</t>
        </is>
      </c>
      <c r="AU49" s="29" t="inlineStr">
        <is>
          <t>01631022</t>
        </is>
      </c>
      <c r="AV49" s="29" t="n">
        <v>1</v>
      </c>
      <c r="AW49" s="29" t="inlineStr">
        <is>
          <t>MULTI_ROOT ROWS:p1r45 UNRECONCILED_SOURCE</t>
        </is>
      </c>
    </row>
    <row r="50">
      <c r="A50" s="15" t="inlineStr">
        <is>
          <t>INVISTA LOTEADORA E INCORPORADORA LTDA</t>
        </is>
      </c>
      <c r="B50" s="16" t="n">
        <v>5875236.13</v>
      </c>
      <c r="C50" s="17" t="inlineStr"/>
      <c r="D50" s="18" t="inlineStr">
        <is>
          <t>NEW</t>
        </is>
      </c>
      <c r="E50" s="19" t="inlineStr"/>
      <c r="F50" s="18" t="inlineStr"/>
      <c r="G50" s="19" t="inlineStr"/>
      <c r="H50" s="18" t="inlineStr"/>
      <c r="I50" s="20" t="inlineStr">
        <is>
          <t>JONES FERNANDES</t>
        </is>
      </c>
      <c r="J50" s="20" t="inlineStr">
        <is>
          <t>Sócio-Administrador</t>
        </is>
      </c>
      <c r="K50" s="20" t="inlineStr">
        <is>
          <t>(55) 3524-1044</t>
        </is>
      </c>
      <c r="L50" s="20" t="inlineStr">
        <is>
          <t>(55) 3524-1143</t>
        </is>
      </c>
      <c r="M50" s="20" t="inlineStr"/>
      <c r="N50" s="20" t="inlineStr"/>
      <c r="O50" s="20" t="inlineStr"/>
      <c r="P50" s="20" t="inlineStr"/>
      <c r="Q50" s="20" t="inlineStr"/>
      <c r="R50" s="20" t="inlineStr"/>
      <c r="S50" s="20" t="inlineStr"/>
      <c r="T50" s="21" t="n">
        <v>5875236.13</v>
      </c>
      <c r="U50" s="22" t="inlineStr">
        <is>
          <t>B</t>
        </is>
      </c>
      <c r="V50" s="23">
        <f>IFERROR(VLOOKUP(U50,Assumptions!$A$7:$D$11,2,FALSE),0)</f>
        <v/>
      </c>
      <c r="W50" s="24">
        <f>MAX(0.5,IFERROR(VLOOKUP(U50,Assumptions!$A$7:$D$11,3,FALSE),3)+IFERROR(VLOOKUP(U50,Assumptions!$A$7:$D$11,4,FALSE),8)/2-IF(AN50="",0,YEAR(TODAY())-AN50))</f>
        <v/>
      </c>
      <c r="X50" s="21">
        <f>T50*V50/(1+Assumptions!$B$3)^W50</f>
        <v/>
      </c>
      <c r="Y50" s="25">
        <f>IF(T50=0,"",ROUND(X50/T50*100,1))</f>
        <v/>
      </c>
      <c r="Z50" s="26">
        <f>X50*Assumptions!$B$4</f>
        <v/>
      </c>
      <c r="AA50" s="25">
        <f>IF(T50=0,"",ROUND(Z50/T50*100,1))</f>
        <v/>
      </c>
      <c r="AB50" s="26">
        <f>X50-Z50</f>
        <v/>
      </c>
      <c r="AC50" s="25">
        <f>IF(T50=0,"",ROUND((X50-Z50)/T50*100,1))</f>
        <v/>
      </c>
      <c r="AD50" s="27" t="inlineStr">
        <is>
          <t>UNKNOWN</t>
        </is>
      </c>
      <c r="AE50" s="28" t="inlineStr">
        <is>
          <t>https://credibilita.com.br/wp-content/uploads/2025/09/Relacao-Credores-29.04.2026.pdf</t>
        </is>
      </c>
      <c r="AF50" s="27" t="inlineStr">
        <is>
          <t>p1 r26</t>
        </is>
      </c>
      <c r="AG50" s="27" t="inlineStr">
        <is>
          <t>p1: R$ 5.875.236,13</t>
        </is>
      </c>
      <c r="AH50" s="27" t="inlineStr">
        <is>
          <t>UNKNOWN</t>
        </is>
      </c>
      <c r="AI50" s="27" t="inlineStr"/>
      <c r="AJ50" s="27" t="inlineStr">
        <is>
          <t>OK_NO_TOTALS</t>
        </is>
      </c>
      <c r="AK50" s="29" t="inlineStr">
        <is>
          <t>5057720-48.2025.8.24.0023</t>
        </is>
      </c>
      <c r="AL50" s="29" t="inlineStr">
        <is>
          <t>TJ</t>
        </is>
      </c>
      <c r="AM50" s="29" t="inlineStr"/>
      <c r="AN50" s="29" t="n">
        <v>2025</v>
      </c>
      <c r="AO50" s="29" t="inlineStr">
        <is>
          <t>live case, no plan document yet</t>
        </is>
      </c>
      <c r="AP50" s="29" t="inlineStr">
        <is>
          <t>HORIZONTINA</t>
        </is>
      </c>
      <c r="AQ50" s="29" t="inlineStr">
        <is>
          <t>RS</t>
        </is>
      </c>
      <c r="AR50" s="29" t="inlineStr">
        <is>
          <t>Incorporação de empreendimentos imobiliários</t>
        </is>
      </c>
      <c r="AS50" s="29" t="inlineStr">
        <is>
          <t>MICRO EMPRESA</t>
        </is>
      </c>
      <c r="AT50" s="29" t="inlineStr">
        <is>
          <t>SMALL</t>
        </is>
      </c>
      <c r="AU50" s="29" t="inlineStr">
        <is>
          <t>18871750</t>
        </is>
      </c>
      <c r="AV50" s="29" t="n">
        <v>1</v>
      </c>
      <c r="AW50" s="29" t="inlineStr">
        <is>
          <t>ROWS:p1r26 UNRECONCILED_SOURCE VALUE_COL:Valor_Após_Analise</t>
        </is>
      </c>
    </row>
    <row r="51">
      <c r="A51" s="15" t="inlineStr">
        <is>
          <t>COMPANHIA DE AGUA E ESGOTOS DA PARAIBA CAGEPA</t>
        </is>
      </c>
      <c r="B51" s="16" t="n">
        <v>3641949.67</v>
      </c>
      <c r="C51" s="17" t="inlineStr">
        <is>
          <t>TREZE FUTEBOL CLUBE</t>
        </is>
      </c>
      <c r="D51" s="18" t="inlineStr">
        <is>
          <t>NEW</t>
        </is>
      </c>
      <c r="E51" s="19" t="inlineStr"/>
      <c r="F51" s="18" t="inlineStr"/>
      <c r="G51" s="19" t="inlineStr"/>
      <c r="H51" s="18" t="inlineStr"/>
      <c r="I51" s="20" t="inlineStr">
        <is>
          <t>Dilvany Marcos</t>
        </is>
      </c>
      <c r="J51" s="20" t="inlineStr">
        <is>
          <t>Subgerencia de Cobranças de Órg. Públicos</t>
        </is>
      </c>
      <c r="K51" s="20" t="inlineStr">
        <is>
          <t>(83) 3218-1200</t>
        </is>
      </c>
      <c r="L51" s="20" t="inlineStr">
        <is>
          <t>(83) 3218-1225</t>
        </is>
      </c>
      <c r="M51" s="20" t="inlineStr"/>
      <c r="N51" s="20" t="inlineStr"/>
      <c r="O51" s="20" t="inlineStr">
        <is>
          <t>alecsandro@cagepa.pb.gov.br</t>
        </is>
      </c>
      <c r="P51" s="20" t="inlineStr">
        <is>
          <t>Alecsandro Gomes</t>
        </is>
      </c>
      <c r="Q51" s="20" t="inlineStr">
        <is>
          <t>Técnico Em Contabilidade</t>
        </is>
      </c>
      <c r="R51" s="20" t="inlineStr"/>
      <c r="S51" s="20" t="inlineStr">
        <is>
          <t>alecsandro@cagepa.pb.gov.br</t>
        </is>
      </c>
      <c r="T51" s="21" t="n">
        <v>3641949.67</v>
      </c>
      <c r="U51" s="22" t="inlineStr">
        <is>
          <t>B</t>
        </is>
      </c>
      <c r="V51" s="23">
        <f>IFERROR(VLOOKUP(U51,Assumptions!$A$7:$D$11,2,FALSE),0)</f>
        <v/>
      </c>
      <c r="W51" s="24">
        <f>MAX(0.5,IFERROR(VLOOKUP(U51,Assumptions!$A$7:$D$11,3,FALSE),3)+IFERROR(VLOOKUP(U51,Assumptions!$A$7:$D$11,4,FALSE),8)/2-IF(AN51="",0,YEAR(TODAY())-AN51))</f>
        <v/>
      </c>
      <c r="X51" s="21">
        <f>T51*V51/(1+Assumptions!$B$3)^W51</f>
        <v/>
      </c>
      <c r="Y51" s="25">
        <f>IF(T51=0,"",ROUND(X51/T51*100,1))</f>
        <v/>
      </c>
      <c r="Z51" s="26">
        <f>X51*Assumptions!$B$4</f>
        <v/>
      </c>
      <c r="AA51" s="25">
        <f>IF(T51=0,"",ROUND(Z51/T51*100,1))</f>
        <v/>
      </c>
      <c r="AB51" s="26">
        <f>X51-Z51</f>
        <v/>
      </c>
      <c r="AC51" s="25">
        <f>IF(T51=0,"",ROUND((X51-Z51)/T51*100,1))</f>
        <v/>
      </c>
      <c r="AD51" s="27" t="inlineStr">
        <is>
          <t>ESTIMATED</t>
        </is>
      </c>
      <c r="AE51" s="28" t="inlineStr">
        <is>
          <t>https://lrflideres.com.br/wp-content/plugins/download-attachments/includes/download.php?id=5828</t>
        </is>
      </c>
      <c r="AF51" s="27" t="inlineStr">
        <is>
          <t>p3 r16</t>
        </is>
      </c>
      <c r="AG51" s="27" t="inlineStr">
        <is>
          <t>p3: R$ 3.641.949,67</t>
        </is>
      </c>
      <c r="AH51" s="27" t="inlineStr">
        <is>
          <t>AJ_LIST</t>
        </is>
      </c>
      <c r="AI51" s="27" t="inlineStr">
        <is>
          <t>2024-04-18</t>
        </is>
      </c>
      <c r="AJ51" s="27" t="inlineStr">
        <is>
          <t>OK</t>
        </is>
      </c>
      <c r="AK51" s="29" t="inlineStr">
        <is>
          <t>0829315-43.2023.8.15.0001</t>
        </is>
      </c>
      <c r="AL51" s="29" t="inlineStr">
        <is>
          <t>TJPB</t>
        </is>
      </c>
      <c r="AM51" s="29" t="inlineStr">
        <is>
          <t>ACTIVE</t>
        </is>
      </c>
      <c r="AN51" s="29" t="n">
        <v>2023</v>
      </c>
      <c r="AO51" s="29" t="inlineStr">
        <is>
          <t>live case, no plan document yet</t>
        </is>
      </c>
      <c r="AP51" s="29" t="inlineStr">
        <is>
          <t>JOAO PESSOA</t>
        </is>
      </c>
      <c r="AQ51" s="29" t="inlineStr">
        <is>
          <t>PB</t>
        </is>
      </c>
      <c r="AR51" s="29" t="inlineStr">
        <is>
          <t>Captação, tratamento e distribuição de água</t>
        </is>
      </c>
      <c r="AS51" s="29" t="inlineStr">
        <is>
          <t>DEMAIS</t>
        </is>
      </c>
      <c r="AT51" s="29" t="inlineStr">
        <is>
          <t>LARGE CORP</t>
        </is>
      </c>
      <c r="AU51" s="29" t="inlineStr">
        <is>
          <t>09123654</t>
        </is>
      </c>
      <c r="AV51" s="29" t="n">
        <v>1</v>
      </c>
      <c r="AW51" s="29" t="inlineStr">
        <is>
          <t>ROWS:p3r16</t>
        </is>
      </c>
    </row>
    <row r="52">
      <c r="A52" s="15" t="inlineStr">
        <is>
          <t>ENVTECH DO BRASIL DESCONTAMINACOES INDUSTRIAIS LTDA</t>
        </is>
      </c>
      <c r="B52" s="16" t="n">
        <v>10310428.56</v>
      </c>
      <c r="C52" s="17" t="inlineStr">
        <is>
          <t>EGESA ENGENHARIA S/A (Consórcio ETDI)</t>
        </is>
      </c>
      <c r="D52" s="18" t="inlineStr">
        <is>
          <t>NEW</t>
        </is>
      </c>
      <c r="E52" s="19" t="inlineStr"/>
      <c r="F52" s="18" t="inlineStr"/>
      <c r="G52" s="19" t="inlineStr"/>
      <c r="H52" s="18" t="inlineStr"/>
      <c r="I52" s="20" t="inlineStr">
        <is>
          <t>FREDDY VLADIMIR RADA COVALOVA</t>
        </is>
      </c>
      <c r="J52" s="20" t="inlineStr">
        <is>
          <t>Sócio-Administrador</t>
        </is>
      </c>
      <c r="K52" s="20" t="inlineStr">
        <is>
          <t>(31) 8447-7021</t>
        </is>
      </c>
      <c r="L52" s="20" t="inlineStr"/>
      <c r="M52" s="20" t="inlineStr"/>
      <c r="N52" s="20" t="inlineStr"/>
      <c r="O52" s="20" t="inlineStr"/>
      <c r="P52" s="20" t="inlineStr"/>
      <c r="Q52" s="20" t="inlineStr"/>
      <c r="R52" s="20" t="inlineStr"/>
      <c r="S52" s="20" t="inlineStr"/>
      <c r="T52" s="21" t="n">
        <v>10310428.56</v>
      </c>
      <c r="U52" s="30" t="inlineStr">
        <is>
          <t>?</t>
        </is>
      </c>
      <c r="V52" s="23">
        <f>IFERROR(VLOOKUP(U52,Assumptions!$A$7:$D$11,2,FALSE),0)</f>
        <v/>
      </c>
      <c r="W52" s="24">
        <f>MAX(0.5,IFERROR(VLOOKUP(U52,Assumptions!$A$7:$D$11,3,FALSE),3)+IFERROR(VLOOKUP(U52,Assumptions!$A$7:$D$11,4,FALSE),8)/2-IF(AN52="",0,YEAR(TODAY())-AN52))</f>
        <v/>
      </c>
      <c r="X52" s="21">
        <f>T52*V52/(1+Assumptions!$B$3)^W52</f>
        <v/>
      </c>
      <c r="Y52" s="25">
        <f>IF(T52=0,"",ROUND(X52/T52*100,1))</f>
        <v/>
      </c>
      <c r="Z52" s="26">
        <f>X52*Assumptions!$B$4</f>
        <v/>
      </c>
      <c r="AA52" s="25">
        <f>IF(T52=0,"",ROUND(Z52/T52*100,1))</f>
        <v/>
      </c>
      <c r="AB52" s="26">
        <f>X52-Z52</f>
        <v/>
      </c>
      <c r="AC52" s="25">
        <f>IF(T52=0,"",ROUND((X52-Z52)/T52*100,1))</f>
        <v/>
      </c>
      <c r="AD52" s="27" t="inlineStr">
        <is>
          <t>UNKNOWN</t>
        </is>
      </c>
      <c r="AE52" s="28" t="inlineStr">
        <is>
          <t>https://scalzilliaj.com.br/sgc/download.php?file=files/processo_documento/processo_documento09514021082025_1_.pdf&amp;nome=04 - Relação de credores das Recuperandas</t>
        </is>
      </c>
      <c r="AF52" s="27" t="inlineStr">
        <is>
          <t>p66 r6</t>
        </is>
      </c>
      <c r="AG52" s="27" t="inlineStr">
        <is>
          <t>p66: R$ 10.310.428,56</t>
        </is>
      </c>
      <c r="AH52" s="27" t="inlineStr">
        <is>
          <t>DEBTOR_LIST</t>
        </is>
      </c>
      <c r="AI52" s="27" t="inlineStr"/>
      <c r="AJ52" s="27" t="inlineStr">
        <is>
          <t>OK</t>
        </is>
      </c>
      <c r="AK52" s="29" t="inlineStr">
        <is>
          <t>(not printed)</t>
        </is>
      </c>
      <c r="AL52" s="29" t="inlineStr"/>
      <c r="AM52" s="29" t="inlineStr"/>
      <c r="AN52" s="29" t="inlineStr"/>
      <c r="AO52" s="29" t="inlineStr">
        <is>
          <t>RJ case number not identified on the document</t>
        </is>
      </c>
      <c r="AP52" s="29" t="inlineStr">
        <is>
          <t>PETROPOLIS</t>
        </is>
      </c>
      <c r="AQ52" s="29" t="inlineStr">
        <is>
          <t>RJ</t>
        </is>
      </c>
      <c r="AR52" s="29" t="inlineStr">
        <is>
          <t>Manutenção e reparação de outras máquinas e equipamentos para usos industriais não especificados anteriormente</t>
        </is>
      </c>
      <c r="AS52" s="29" t="inlineStr">
        <is>
          <t>DEMAIS</t>
        </is>
      </c>
      <c r="AT52" s="29" t="inlineStr">
        <is>
          <t>MID-MARKET</t>
        </is>
      </c>
      <c r="AU52" s="29" t="inlineStr">
        <is>
          <t>11486977</t>
        </is>
      </c>
      <c r="AV52" s="29" t="n">
        <v>1</v>
      </c>
      <c r="AW52" s="29" t="inlineStr">
        <is>
          <t>ROWS:p66r6 VALUE_COL:Valor_Atualizado CASE_NUMBER_CORRECTED</t>
        </is>
      </c>
    </row>
    <row r="53">
      <c r="A53" s="15" t="inlineStr">
        <is>
          <t>BACUPARI AGROINDUSTRIA LTDA</t>
        </is>
      </c>
      <c r="B53" s="16" t="n">
        <v>4500000</v>
      </c>
      <c r="C53" s="17" t="inlineStr">
        <is>
          <t>COMERCIO RACOES BEM BOM LTDA</t>
        </is>
      </c>
      <c r="D53" s="18" t="inlineStr">
        <is>
          <t>NEW</t>
        </is>
      </c>
      <c r="E53" s="19" t="inlineStr"/>
      <c r="F53" s="18" t="inlineStr"/>
      <c r="G53" s="19" t="inlineStr"/>
      <c r="H53" s="18" t="inlineStr"/>
      <c r="I53" s="20" t="inlineStr">
        <is>
          <t>ANA PAOLA BRANDAO RAZEM ABRAO</t>
        </is>
      </c>
      <c r="J53" s="20" t="inlineStr">
        <is>
          <t>Sócio-Administrador</t>
        </is>
      </c>
      <c r="K53" s="20" t="inlineStr">
        <is>
          <t>(61) 9655-6611</t>
        </is>
      </c>
      <c r="L53" s="20" t="inlineStr"/>
      <c r="M53" s="20" t="inlineStr"/>
      <c r="N53" s="20" t="inlineStr"/>
      <c r="O53" s="20" t="inlineStr"/>
      <c r="P53" s="20" t="inlineStr">
        <is>
          <t>RAUL FRANCISCO MADUREIRA DE LIMA</t>
        </is>
      </c>
      <c r="Q53" s="20" t="inlineStr">
        <is>
          <t>Sócio-Administrador</t>
        </is>
      </c>
      <c r="R53" s="20" t="inlineStr">
        <is>
          <t>(61) 9655-6611</t>
        </is>
      </c>
      <c r="S53" s="20" t="inlineStr"/>
      <c r="T53" s="21" t="n">
        <v>4500000</v>
      </c>
      <c r="U53" s="32" t="inlineStr">
        <is>
          <t>A</t>
        </is>
      </c>
      <c r="V53" s="23">
        <f>IFERROR(VLOOKUP(U53,Assumptions!$A$7:$D$11,2,FALSE),0)</f>
        <v/>
      </c>
      <c r="W53" s="24">
        <f>MAX(0.5,IFERROR(VLOOKUP(U53,Assumptions!$A$7:$D$11,3,FALSE),3)+IFERROR(VLOOKUP(U53,Assumptions!$A$7:$D$11,4,FALSE),8)/2-IF(AN53="",0,YEAR(TODAY())-AN53))</f>
        <v/>
      </c>
      <c r="X53" s="21">
        <f>T53*V53/(1+Assumptions!$B$3)^W53</f>
        <v/>
      </c>
      <c r="Y53" s="25">
        <f>IF(T53=0,"",ROUND(X53/T53*100,1))</f>
        <v/>
      </c>
      <c r="Z53" s="26">
        <f>X53*Assumptions!$B$4</f>
        <v/>
      </c>
      <c r="AA53" s="25">
        <f>IF(T53=0,"",ROUND(Z53/T53*100,1))</f>
        <v/>
      </c>
      <c r="AB53" s="26">
        <f>X53-Z53</f>
        <v/>
      </c>
      <c r="AC53" s="25">
        <f>IF(T53=0,"",ROUND((X53-Z53)/T53*100,1))</f>
        <v/>
      </c>
      <c r="AD53" s="27" t="inlineStr">
        <is>
          <t>CONFIRMED</t>
        </is>
      </c>
      <c r="AE53" s="28" t="inlineStr">
        <is>
          <t>https://stenius.com.br/wp-content/uploads/2026/06/EDITAL-GRUPO-3E.pdf</t>
        </is>
      </c>
      <c r="AF53" s="27" t="inlineStr">
        <is>
          <t>p10 r29</t>
        </is>
      </c>
      <c r="AG53" s="27" t="inlineStr">
        <is>
          <t>p10: R$ 4.500.000,00</t>
        </is>
      </c>
      <c r="AH53" s="27" t="inlineStr">
        <is>
          <t>DEBTOR_LIST</t>
        </is>
      </c>
      <c r="AI53" s="27" t="inlineStr">
        <is>
          <t>2026-06-22</t>
        </is>
      </c>
      <c r="AJ53" s="27" t="inlineStr">
        <is>
          <t>OK_NO_TOTALS</t>
        </is>
      </c>
      <c r="AK53" s="29" t="inlineStr">
        <is>
          <t>5341375-33.2026.8.09.0049</t>
        </is>
      </c>
      <c r="AL53" s="29" t="inlineStr">
        <is>
          <t>TJGO</t>
        </is>
      </c>
      <c r="AM53" s="29" t="inlineStr">
        <is>
          <t>ACTIVE</t>
        </is>
      </c>
      <c r="AN53" s="29" t="n">
        <v>2026</v>
      </c>
      <c r="AO53" s="29" t="inlineStr">
        <is>
          <t>plan/homologation document found</t>
        </is>
      </c>
      <c r="AP53" s="29" t="inlineStr">
        <is>
          <t>BRASILIA</t>
        </is>
      </c>
      <c r="AQ53" s="29" t="inlineStr">
        <is>
          <t>DF</t>
        </is>
      </c>
      <c r="AR53" s="29" t="inlineStr">
        <is>
          <t>Compra e venda de imóveis próprios</t>
        </is>
      </c>
      <c r="AS53" s="29" t="inlineStr">
        <is>
          <t>DEMAIS</t>
        </is>
      </c>
      <c r="AT53" s="29" t="inlineStr">
        <is>
          <t>MID-MARKET</t>
        </is>
      </c>
      <c r="AU53" s="29" t="inlineStr">
        <is>
          <t>19907274</t>
        </is>
      </c>
      <c r="AV53" s="29" t="n">
        <v>1</v>
      </c>
      <c r="AW53" s="29" t="inlineStr">
        <is>
          <t>ROWS:p10r29 UNRECONCILED_SOURCE</t>
        </is>
      </c>
    </row>
    <row r="54">
      <c r="A54" s="15" t="inlineStr">
        <is>
          <t>BALDAN IMPLEMENTOS AGRICOLAS S A</t>
        </is>
      </c>
      <c r="B54" s="16" t="n">
        <v>4681142.41</v>
      </c>
      <c r="C54" s="17" t="inlineStr"/>
      <c r="D54" s="18" t="inlineStr">
        <is>
          <t>NEW</t>
        </is>
      </c>
      <c r="E54" s="19" t="inlineStr"/>
      <c r="F54" s="18" t="inlineStr"/>
      <c r="G54" s="19" t="inlineStr"/>
      <c r="H54" s="18" t="inlineStr"/>
      <c r="I54" s="20" t="inlineStr">
        <is>
          <t>Wolney Netto</t>
        </is>
      </c>
      <c r="J54" s="20" t="inlineStr">
        <is>
          <t>Chief Financial Officer, CFO</t>
        </is>
      </c>
      <c r="K54" s="20" t="inlineStr">
        <is>
          <t>(16) 3221-6500</t>
        </is>
      </c>
      <c r="L54" s="20" t="inlineStr">
        <is>
          <t>(16) 3221-6581</t>
        </is>
      </c>
      <c r="M54" s="20" t="inlineStr"/>
      <c r="N54" s="20" t="inlineStr">
        <is>
          <t>winetto@baldan.com.br</t>
        </is>
      </c>
      <c r="O54" s="20" t="inlineStr">
        <is>
          <t>avieira@baldan.com.br</t>
        </is>
      </c>
      <c r="P54" s="20" t="inlineStr">
        <is>
          <t>Aguinaldo Vieira</t>
        </is>
      </c>
      <c r="Q54" s="20" t="inlineStr">
        <is>
          <t>Financial Manager</t>
        </is>
      </c>
      <c r="R54" s="20" t="inlineStr"/>
      <c r="S54" s="20" t="inlineStr">
        <is>
          <t>avieira@baldan.com.br</t>
        </is>
      </c>
      <c r="T54" s="21" t="n">
        <v>4681142.41</v>
      </c>
      <c r="U54" s="22" t="inlineStr">
        <is>
          <t>B</t>
        </is>
      </c>
      <c r="V54" s="23">
        <f>IFERROR(VLOOKUP(U54,Assumptions!$A$7:$D$11,2,FALSE),0)</f>
        <v/>
      </c>
      <c r="W54" s="24">
        <f>MAX(0.5,IFERROR(VLOOKUP(U54,Assumptions!$A$7:$D$11,3,FALSE),3)+IFERROR(VLOOKUP(U54,Assumptions!$A$7:$D$11,4,FALSE),8)/2-IF(AN54="",0,YEAR(TODAY())-AN54))</f>
        <v/>
      </c>
      <c r="X54" s="21">
        <f>T54*V54/(1+Assumptions!$B$3)^W54</f>
        <v/>
      </c>
      <c r="Y54" s="25">
        <f>IF(T54=0,"",ROUND(X54/T54*100,1))</f>
        <v/>
      </c>
      <c r="Z54" s="26">
        <f>X54*Assumptions!$B$4</f>
        <v/>
      </c>
      <c r="AA54" s="25">
        <f>IF(T54=0,"",ROUND(Z54/T54*100,1))</f>
        <v/>
      </c>
      <c r="AB54" s="26">
        <f>X54-Z54</f>
        <v/>
      </c>
      <c r="AC54" s="25">
        <f>IF(T54=0,"",ROUND((X54-Z54)/T54*100,1))</f>
        <v/>
      </c>
      <c r="AD54" s="27" t="inlineStr">
        <is>
          <t>UNKNOWN</t>
        </is>
      </c>
      <c r="AE54" s="28" t="inlineStr">
        <is>
          <t>https://credibilita.com.br/wp-content/uploads/2025/09/Relacao-Credores-29.04.2026.pdf</t>
        </is>
      </c>
      <c r="AF54" s="27" t="inlineStr">
        <is>
          <t>p1 r3</t>
        </is>
      </c>
      <c r="AG54" s="27" t="inlineStr">
        <is>
          <t>p1: R$ 4.681.142,41</t>
        </is>
      </c>
      <c r="AH54" s="27" t="inlineStr">
        <is>
          <t>UNKNOWN</t>
        </is>
      </c>
      <c r="AI54" s="27" t="inlineStr"/>
      <c r="AJ54" s="27" t="inlineStr">
        <is>
          <t>OK_NO_TOTALS</t>
        </is>
      </c>
      <c r="AK54" s="29" t="inlineStr">
        <is>
          <t>5057720-48.2025.8.24.0023</t>
        </is>
      </c>
      <c r="AL54" s="29" t="inlineStr">
        <is>
          <t>TJ</t>
        </is>
      </c>
      <c r="AM54" s="29" t="inlineStr"/>
      <c r="AN54" s="29" t="n">
        <v>2025</v>
      </c>
      <c r="AO54" s="29" t="inlineStr">
        <is>
          <t>live case, no plan document yet</t>
        </is>
      </c>
      <c r="AP54" s="29" t="inlineStr">
        <is>
          <t>MATAO</t>
        </is>
      </c>
      <c r="AQ54" s="29" t="inlineStr">
        <is>
          <t>SP</t>
        </is>
      </c>
      <c r="AR54" s="29" t="inlineStr">
        <is>
          <t>Fabricação de máquinas e equipamentos para a agricultura e pecuária, peças e acessórios, exceto para irrigação</t>
        </is>
      </c>
      <c r="AS54" s="29" t="inlineStr">
        <is>
          <t>DEMAIS</t>
        </is>
      </c>
      <c r="AT54" s="29" t="inlineStr">
        <is>
          <t>LARGE CORP</t>
        </is>
      </c>
      <c r="AU54" s="29" t="inlineStr">
        <is>
          <t>52311347</t>
        </is>
      </c>
      <c r="AV54" s="29" t="n">
        <v>1</v>
      </c>
      <c r="AW54" s="29" t="inlineStr">
        <is>
          <t>ROWS:p1r3 UNRECONCILED_SOURCE VALUE_COL:Valor_Após_Analise</t>
        </is>
      </c>
    </row>
    <row r="55">
      <c r="A55" s="15" t="inlineStr">
        <is>
          <t>BIOTRONIK COMERCIAL MEDICA LTDA.</t>
        </is>
      </c>
      <c r="B55" s="16" t="n">
        <v>2311648.44</v>
      </c>
      <c r="C55" s="17" t="inlineStr">
        <is>
          <t>ASSOCIACAO DE CARIDADE SANTA CASA DE RIO GRANDE</t>
        </is>
      </c>
      <c r="D55" s="18" t="inlineStr">
        <is>
          <t>NEW</t>
        </is>
      </c>
      <c r="E55" s="19" t="inlineStr"/>
      <c r="F55" s="18" t="inlineStr"/>
      <c r="G55" s="19" t="inlineStr"/>
      <c r="H55" s="18" t="inlineStr"/>
      <c r="I55" s="20" t="inlineStr">
        <is>
          <t>CARLOS EDUARDO CAUTERUCCI FIGUEIREDO</t>
        </is>
      </c>
      <c r="J55" s="20" t="inlineStr">
        <is>
          <t>Administrador</t>
        </is>
      </c>
      <c r="K55" s="20" t="inlineStr">
        <is>
          <t>(11) 5694-7755</t>
        </is>
      </c>
      <c r="L55" s="20" t="inlineStr"/>
      <c r="M55" s="20" t="inlineStr"/>
      <c r="N55" s="20" t="inlineStr"/>
      <c r="O55" s="20" t="inlineStr"/>
      <c r="P55" s="20" t="inlineStr"/>
      <c r="Q55" s="20" t="inlineStr"/>
      <c r="R55" s="20" t="inlineStr"/>
      <c r="S55" s="20" t="inlineStr"/>
      <c r="T55" s="21" t="n">
        <v>2311648.44</v>
      </c>
      <c r="U55" s="22" t="inlineStr">
        <is>
          <t>B</t>
        </is>
      </c>
      <c r="V55" s="23">
        <f>IFERROR(VLOOKUP(U55,Assumptions!$A$7:$D$11,2,FALSE),0)</f>
        <v/>
      </c>
      <c r="W55" s="24">
        <f>MAX(0.5,IFERROR(VLOOKUP(U55,Assumptions!$A$7:$D$11,3,FALSE),3)+IFERROR(VLOOKUP(U55,Assumptions!$A$7:$D$11,4,FALSE),8)/2-IF(AN55="",0,YEAR(TODAY())-AN55))</f>
        <v/>
      </c>
      <c r="X55" s="21">
        <f>T55*V55/(1+Assumptions!$B$3)^W55</f>
        <v/>
      </c>
      <c r="Y55" s="25">
        <f>IF(T55=0,"",ROUND(X55/T55*100,1))</f>
        <v/>
      </c>
      <c r="Z55" s="26">
        <f>X55*Assumptions!$B$4</f>
        <v/>
      </c>
      <c r="AA55" s="25">
        <f>IF(T55=0,"",ROUND(Z55/T55*100,1))</f>
        <v/>
      </c>
      <c r="AB55" s="26">
        <f>X55-Z55</f>
        <v/>
      </c>
      <c r="AC55" s="25">
        <f>IF(T55=0,"",ROUND((X55-Z55)/T55*100,1))</f>
        <v/>
      </c>
      <c r="AD55" s="27" t="inlineStr">
        <is>
          <t>ESTIMATED</t>
        </is>
      </c>
      <c r="AE55" s="28" t="inlineStr">
        <is>
          <t>https://scalzilliaj.com.br/sgc/download.php?file=files/processo_documento/processo_documento09120721032023_1_.pdf&amp;nome=15 - Edital do art. 7º, §2º e 53 da Lei 11.101/2005 (segunda lista de credores e recebimento do plano))</t>
        </is>
      </c>
      <c r="AF55" s="27" t="inlineStr">
        <is>
          <t>p26 r10</t>
        </is>
      </c>
      <c r="AG55" s="27" t="inlineStr">
        <is>
          <t>p26: R$ 2.311.648,44</t>
        </is>
      </c>
      <c r="AH55" s="27" t="inlineStr">
        <is>
          <t>AJ_LIST</t>
        </is>
      </c>
      <c r="AI55" s="27" t="inlineStr">
        <is>
          <t>2023-03-21</t>
        </is>
      </c>
      <c r="AJ55" s="27" t="inlineStr">
        <is>
          <t>OK_NO_TOTALS</t>
        </is>
      </c>
      <c r="AK55" s="29" t="inlineStr">
        <is>
          <t>5012306-16.2022.8.21.0023</t>
        </is>
      </c>
      <c r="AL55" s="29" t="inlineStr">
        <is>
          <t>TJRS</t>
        </is>
      </c>
      <c r="AM55" s="29" t="inlineStr">
        <is>
          <t>ACTIVE</t>
        </is>
      </c>
      <c r="AN55" s="29" t="n">
        <v>2022</v>
      </c>
      <c r="AO55" s="29" t="inlineStr">
        <is>
          <t>live case, no plan document yet</t>
        </is>
      </c>
      <c r="AP55" s="29" t="inlineStr">
        <is>
          <t>SAO PAULO</t>
        </is>
      </c>
      <c r="AQ55" s="29" t="inlineStr">
        <is>
          <t>SP</t>
        </is>
      </c>
      <c r="AR55" s="29" t="inlineStr">
        <is>
          <t>Comércio atacadista de instrumentos e materiais para uso médico, cirúrgico, hospitalar e de laboratórios</t>
        </is>
      </c>
      <c r="AS55" s="29" t="inlineStr">
        <is>
          <t>DEMAIS</t>
        </is>
      </c>
      <c r="AT55" s="29" t="inlineStr">
        <is>
          <t>LARGE CORP</t>
        </is>
      </c>
      <c r="AU55" s="29" t="inlineStr">
        <is>
          <t>50595271</t>
        </is>
      </c>
      <c r="AV55" s="29" t="n">
        <v>1</v>
      </c>
      <c r="AW55" s="29" t="inlineStr">
        <is>
          <t>ROWS:p26r10 UNRECONCILED_SOURCE</t>
        </is>
      </c>
    </row>
    <row r="56">
      <c r="A56" s="15" t="inlineStr">
        <is>
          <t>SPORT CLUB CORINTHIANS PAULISTA</t>
        </is>
      </c>
      <c r="B56" s="16" t="n">
        <v>2823611.8</v>
      </c>
      <c r="C56" s="17" t="inlineStr">
        <is>
          <t>CLUBE NAUTICO CAPIBARIBE - EM RECUPERACAO JUDICIAL</t>
        </is>
      </c>
      <c r="D56" s="18" t="inlineStr">
        <is>
          <t>NEW</t>
        </is>
      </c>
      <c r="E56" s="19" t="inlineStr"/>
      <c r="F56" s="18" t="inlineStr"/>
      <c r="G56" s="19" t="inlineStr"/>
      <c r="H56" s="18" t="inlineStr"/>
      <c r="I56" s="20" t="inlineStr">
        <is>
          <t>Joana Saragoca</t>
        </is>
      </c>
      <c r="J56" s="20" t="inlineStr">
        <is>
          <t>Gerente Sênior Financeiro e Administrativo</t>
        </is>
      </c>
      <c r="K56" s="20" t="inlineStr"/>
      <c r="L56" s="20" t="inlineStr"/>
      <c r="M56" s="20" t="inlineStr"/>
      <c r="N56" s="20" t="inlineStr">
        <is>
          <t>joana.saragoca@sccorinthians.com.br</t>
        </is>
      </c>
      <c r="O56" s="20" t="inlineStr"/>
      <c r="P56" s="20" t="inlineStr">
        <is>
          <t>Danyel Reis</t>
        </is>
      </c>
      <c r="Q56" s="20" t="inlineStr">
        <is>
          <t>Encarregado de Tesouraria</t>
        </is>
      </c>
      <c r="R56" s="20" t="inlineStr"/>
      <c r="S56" s="20" t="inlineStr"/>
      <c r="T56" s="21" t="n">
        <v>2823611.8</v>
      </c>
      <c r="U56" s="22" t="inlineStr">
        <is>
          <t>B</t>
        </is>
      </c>
      <c r="V56" s="23">
        <f>IFERROR(VLOOKUP(U56,Assumptions!$A$7:$D$11,2,FALSE),0)</f>
        <v/>
      </c>
      <c r="W56" s="24">
        <f>MAX(0.5,IFERROR(VLOOKUP(U56,Assumptions!$A$7:$D$11,3,FALSE),3)+IFERROR(VLOOKUP(U56,Assumptions!$A$7:$D$11,4,FALSE),8)/2-IF(AN56="",0,YEAR(TODAY())-AN56))</f>
        <v/>
      </c>
      <c r="X56" s="21">
        <f>T56*V56/(1+Assumptions!$B$3)^W56</f>
        <v/>
      </c>
      <c r="Y56" s="25">
        <f>IF(T56=0,"",ROUND(X56/T56*100,1))</f>
        <v/>
      </c>
      <c r="Z56" s="26">
        <f>X56*Assumptions!$B$4</f>
        <v/>
      </c>
      <c r="AA56" s="25">
        <f>IF(T56=0,"",ROUND(Z56/T56*100,1))</f>
        <v/>
      </c>
      <c r="AB56" s="26">
        <f>X56-Z56</f>
        <v/>
      </c>
      <c r="AC56" s="25">
        <f>IF(T56=0,"",ROUND((X56-Z56)/T56*100,1))</f>
        <v/>
      </c>
      <c r="AD56" s="27" t="inlineStr">
        <is>
          <t>ESTIMATED</t>
        </is>
      </c>
      <c r="AE56" s="28" t="inlineStr">
        <is>
          <t>https://lrflideres.com.br/wp-content/plugins/download-attachments/includes/download.php?id=5589</t>
        </is>
      </c>
      <c r="AF56" s="27" t="inlineStr">
        <is>
          <t>p12 r44</t>
        </is>
      </c>
      <c r="AG56" s="27" t="inlineStr">
        <is>
          <t>p12: R$ 2.823.611,80</t>
        </is>
      </c>
      <c r="AH56" s="27" t="inlineStr">
        <is>
          <t>AJ_LIST</t>
        </is>
      </c>
      <c r="AI56" s="27" t="inlineStr">
        <is>
          <t>2023-11-27</t>
        </is>
      </c>
      <c r="AJ56" s="27" t="inlineStr">
        <is>
          <t>QUARANTINED</t>
        </is>
      </c>
      <c r="AK56" s="29" t="inlineStr">
        <is>
          <t>0011283-80.2023.8.17.2001</t>
        </is>
      </c>
      <c r="AL56" s="29" t="inlineStr">
        <is>
          <t>TJPE</t>
        </is>
      </c>
      <c r="AM56" s="29" t="inlineStr">
        <is>
          <t>ACTIVE</t>
        </is>
      </c>
      <c r="AN56" s="29" t="n">
        <v>2023</v>
      </c>
      <c r="AO56" s="29" t="inlineStr">
        <is>
          <t>live case, no plan document yet</t>
        </is>
      </c>
      <c r="AP56" s="29" t="inlineStr">
        <is>
          <t>SAO PAULO</t>
        </is>
      </c>
      <c r="AQ56" s="29" t="inlineStr">
        <is>
          <t>SP</t>
        </is>
      </c>
      <c r="AR56" s="29" t="inlineStr">
        <is>
          <t>Clubes sociais, esportivos e similares</t>
        </is>
      </c>
      <c r="AS56" s="29" t="inlineStr">
        <is>
          <t>DEMAIS</t>
        </is>
      </c>
      <c r="AT56" s="29" t="inlineStr">
        <is>
          <t>MID-MARKET</t>
        </is>
      </c>
      <c r="AU56" s="29" t="inlineStr">
        <is>
          <t>61902722</t>
        </is>
      </c>
      <c r="AV56" s="29" t="n">
        <v>1</v>
      </c>
      <c r="AW56" s="29" t="inlineStr">
        <is>
          <t>PARTIAL_DOC_CLASS_III_RECONCILED ROWS:p12r44</t>
        </is>
      </c>
    </row>
    <row r="57">
      <c r="A57" s="15" t="inlineStr">
        <is>
          <t>VR BENEFICIOS E SERVICOS DE PROCESSAMENTO INSTITUICAO DE PAGAMENTO S.A.</t>
        </is>
      </c>
      <c r="B57" s="16" t="n">
        <v>2731258.45</v>
      </c>
      <c r="C57" s="17" t="inlineStr"/>
      <c r="D57" s="18" t="inlineStr">
        <is>
          <t>NEW</t>
        </is>
      </c>
      <c r="E57" s="19" t="inlineStr"/>
      <c r="F57" s="18" t="inlineStr"/>
      <c r="G57" s="19" t="inlineStr"/>
      <c r="H57" s="18" t="inlineStr"/>
      <c r="I57" s="20" t="inlineStr">
        <is>
          <t>ANDRE TAKEMOTO</t>
        </is>
      </c>
      <c r="J57" s="20" t="inlineStr">
        <is>
          <t>Diretor</t>
        </is>
      </c>
      <c r="K57" s="20" t="inlineStr">
        <is>
          <t>(11) 4134-4100</t>
        </is>
      </c>
      <c r="L57" s="20" t="inlineStr"/>
      <c r="M57" s="20" t="inlineStr"/>
      <c r="N57" s="20" t="inlineStr"/>
      <c r="O57" s="20" t="inlineStr"/>
      <c r="P57" s="20" t="inlineStr">
        <is>
          <t>ANDRE VINICIUS BATALINI MENOSSE</t>
        </is>
      </c>
      <c r="Q57" s="20" t="inlineStr">
        <is>
          <t>Diretor</t>
        </is>
      </c>
      <c r="R57" s="20" t="inlineStr">
        <is>
          <t>(11) 4134-4100</t>
        </is>
      </c>
      <c r="S57" s="20" t="inlineStr"/>
      <c r="T57" s="21" t="n">
        <v>2731258.45</v>
      </c>
      <c r="U57" s="22" t="inlineStr">
        <is>
          <t>B</t>
        </is>
      </c>
      <c r="V57" s="23">
        <f>IFERROR(VLOOKUP(U57,Assumptions!$A$7:$D$11,2,FALSE),0)</f>
        <v/>
      </c>
      <c r="W57" s="24">
        <f>MAX(0.5,IFERROR(VLOOKUP(U57,Assumptions!$A$7:$D$11,3,FALSE),3)+IFERROR(VLOOKUP(U57,Assumptions!$A$7:$D$11,4,FALSE),8)/2-IF(AN57="",0,YEAR(TODAY())-AN57))</f>
        <v/>
      </c>
      <c r="X57" s="21">
        <f>T57*V57/(1+Assumptions!$B$3)^W57</f>
        <v/>
      </c>
      <c r="Y57" s="25">
        <f>IF(T57=0,"",ROUND(X57/T57*100,1))</f>
        <v/>
      </c>
      <c r="Z57" s="26">
        <f>X57*Assumptions!$B$4</f>
        <v/>
      </c>
      <c r="AA57" s="25">
        <f>IF(T57=0,"",ROUND(Z57/T57*100,1))</f>
        <v/>
      </c>
      <c r="AB57" s="26">
        <f>X57-Z57</f>
        <v/>
      </c>
      <c r="AC57" s="25">
        <f>IF(T57=0,"",ROUND((X57-Z57)/T57*100,1))</f>
        <v/>
      </c>
      <c r="AD57" s="27" t="inlineStr">
        <is>
          <t>UNKNOWN</t>
        </is>
      </c>
      <c r="AE57" s="28" t="inlineStr">
        <is>
          <t>https://bbsadvogados.com.br/wp-content/uploads/2025/04/Equipseg-Edital-Relacao-de-Credores-da-Administradora-Judicial-art.-7o2o-da-LRF.pdf</t>
        </is>
      </c>
      <c r="AF57" s="27" t="inlineStr">
        <is>
          <t>p42 r8</t>
        </is>
      </c>
      <c r="AG57" s="27" t="inlineStr">
        <is>
          <t>p42: R$ 2.731.258,45</t>
        </is>
      </c>
      <c r="AH57" s="27" t="inlineStr">
        <is>
          <t>AJ_LIST</t>
        </is>
      </c>
      <c r="AI57" s="27" t="inlineStr">
        <is>
          <t>2025-04-08</t>
        </is>
      </c>
      <c r="AJ57" s="27" t="inlineStr">
        <is>
          <t>OK_NO_TOTALS</t>
        </is>
      </c>
      <c r="AK57" s="29" t="inlineStr">
        <is>
          <t>0033736-15.2023.8.16.0185</t>
        </is>
      </c>
      <c r="AL57" s="29" t="inlineStr">
        <is>
          <t>TJ</t>
        </is>
      </c>
      <c r="AM57" s="29" t="inlineStr"/>
      <c r="AN57" s="29" t="n">
        <v>2023</v>
      </c>
      <c r="AO57" s="29" t="inlineStr">
        <is>
          <t>live case, no plan document yet</t>
        </is>
      </c>
      <c r="AP57" s="29" t="inlineStr">
        <is>
          <t>SAO PAULO</t>
        </is>
      </c>
      <c r="AQ57" s="29" t="inlineStr">
        <is>
          <t>SP</t>
        </is>
      </c>
      <c r="AR57" s="29" t="inlineStr">
        <is>
          <t>Emissão de vales-alimentação, vales-transporte e similares</t>
        </is>
      </c>
      <c r="AS57" s="29" t="inlineStr">
        <is>
          <t>DEMAIS</t>
        </is>
      </c>
      <c r="AT57" s="29" t="inlineStr">
        <is>
          <t>LARGE CORP</t>
        </is>
      </c>
      <c r="AU57" s="29" t="inlineStr">
        <is>
          <t>02535864</t>
        </is>
      </c>
      <c r="AV57" s="29" t="n">
        <v>1</v>
      </c>
      <c r="AW57" s="29" t="inlineStr">
        <is>
          <t>ROWS:p42r8 UNRECONCILED_SOURCE</t>
        </is>
      </c>
    </row>
    <row r="58">
      <c r="A58" s="15" t="inlineStr">
        <is>
          <t>SRJ INDUSTRIA COMERCIO E EXPORTACAO DE CONFECCOES LTDA</t>
        </is>
      </c>
      <c r="B58" s="16" t="n">
        <v>2113920</v>
      </c>
      <c r="C58" s="17" t="inlineStr">
        <is>
          <t>R W CONSTRUCOES LTDA</t>
        </is>
      </c>
      <c r="D58" s="18" t="inlineStr">
        <is>
          <t>NEW</t>
        </is>
      </c>
      <c r="E58" s="19" t="inlineStr"/>
      <c r="F58" s="18" t="inlineStr"/>
      <c r="G58" s="19" t="inlineStr"/>
      <c r="H58" s="18" t="inlineStr"/>
      <c r="I58" s="20" t="inlineStr">
        <is>
          <t>JOAQUIM COELHO DE MAGALHAES</t>
        </is>
      </c>
      <c r="J58" s="20" t="inlineStr">
        <is>
          <t>Administrador</t>
        </is>
      </c>
      <c r="K58" s="20" t="inlineStr"/>
      <c r="L58" s="20" t="inlineStr"/>
      <c r="M58" s="20" t="inlineStr"/>
      <c r="N58" s="20" t="inlineStr"/>
      <c r="O58" s="20" t="inlineStr"/>
      <c r="P58" s="20" t="inlineStr">
        <is>
          <t>RAFAEL COELHO DANTAS</t>
        </is>
      </c>
      <c r="Q58" s="20" t="inlineStr">
        <is>
          <t>Administrador</t>
        </is>
      </c>
      <c r="R58" s="20" t="inlineStr"/>
      <c r="S58" s="20" t="inlineStr"/>
      <c r="T58" s="21" t="n">
        <v>2113920</v>
      </c>
      <c r="U58" s="22" t="inlineStr">
        <is>
          <t>B</t>
        </is>
      </c>
      <c r="V58" s="23">
        <f>IFERROR(VLOOKUP(U58,Assumptions!$A$7:$D$11,2,FALSE),0)</f>
        <v/>
      </c>
      <c r="W58" s="24">
        <f>MAX(0.5,IFERROR(VLOOKUP(U58,Assumptions!$A$7:$D$11,3,FALSE),3)+IFERROR(VLOOKUP(U58,Assumptions!$A$7:$D$11,4,FALSE),8)/2-IF(AN58="",0,YEAR(TODAY())-AN58))</f>
        <v/>
      </c>
      <c r="X58" s="21">
        <f>T58*V58/(1+Assumptions!$B$3)^W58</f>
        <v/>
      </c>
      <c r="Y58" s="25">
        <f>IF(T58=0,"",ROUND(X58/T58*100,1))</f>
        <v/>
      </c>
      <c r="Z58" s="26">
        <f>X58*Assumptions!$B$4</f>
        <v/>
      </c>
      <c r="AA58" s="25">
        <f>IF(T58=0,"",ROUND(Z58/T58*100,1))</f>
        <v/>
      </c>
      <c r="AB58" s="26">
        <f>X58-Z58</f>
        <v/>
      </c>
      <c r="AC58" s="25">
        <f>IF(T58=0,"",ROUND((X58-Z58)/T58*100,1))</f>
        <v/>
      </c>
      <c r="AD58" s="27" t="inlineStr">
        <is>
          <t>ESTIMATED</t>
        </is>
      </c>
      <c r="AE58" s="28" t="inlineStr">
        <is>
          <t>https://lrflideres.com.br/wp-content/plugins/download-attachments/includes/download.php?id=4023</t>
        </is>
      </c>
      <c r="AF58" s="27" t="inlineStr">
        <is>
          <t>p4 r92; p7 r121</t>
        </is>
      </c>
      <c r="AG58" s="27" t="inlineStr">
        <is>
          <t>p4: R$ 2.113.920,00; p7: R$ 2.113.920,00</t>
        </is>
      </c>
      <c r="AH58" s="27" t="inlineStr">
        <is>
          <t>DEBTOR_LIST</t>
        </is>
      </c>
      <c r="AI58" s="27" t="inlineStr"/>
      <c r="AJ58" s="27" t="inlineStr">
        <is>
          <t>QUARANTINED</t>
        </is>
      </c>
      <c r="AK58" s="29" t="inlineStr">
        <is>
          <t>0002484-82.2022.8.17.2001</t>
        </is>
      </c>
      <c r="AL58" s="29" t="inlineStr">
        <is>
          <t>TJPE</t>
        </is>
      </c>
      <c r="AM58" s="29" t="inlineStr">
        <is>
          <t>ACTIVE</t>
        </is>
      </c>
      <c r="AN58" s="29" t="n">
        <v>2022</v>
      </c>
      <c r="AO58" s="29" t="inlineStr">
        <is>
          <t>live case, no plan document yet</t>
        </is>
      </c>
      <c r="AP58" s="29" t="inlineStr">
        <is>
          <t>CARUARU</t>
        </is>
      </c>
      <c r="AQ58" s="29" t="inlineStr">
        <is>
          <t>PE</t>
        </is>
      </c>
      <c r="AR58" s="29" t="inlineStr">
        <is>
          <t>Confecção de peças de vestuário, exceto roupas íntimas e as confeccionadas sob medida</t>
        </is>
      </c>
      <c r="AS58" s="29" t="inlineStr">
        <is>
          <t>DEMAIS</t>
        </is>
      </c>
      <c r="AT58" s="29" t="inlineStr">
        <is>
          <t>MID-MARKET</t>
        </is>
      </c>
      <c r="AU58" s="29" t="inlineStr">
        <is>
          <t>05554669</t>
        </is>
      </c>
      <c r="AV58" s="29" t="n">
        <v>1</v>
      </c>
      <c r="AW58" s="29" t="inlineStr">
        <is>
          <t>PARTIAL_DOC_CLASS_III_RECONCILED ROWS:p4r92</t>
        </is>
      </c>
    </row>
    <row r="59">
      <c r="A59" s="15" t="inlineStr">
        <is>
          <t>DIVINA INDUSTRIA DE COURO LTDA - EM RECUPERACAO JUDICIAL</t>
        </is>
      </c>
      <c r="B59" s="16" t="n">
        <v>3206338.81</v>
      </c>
      <c r="C59" s="17" t="inlineStr">
        <is>
          <t>DIVINA INDUSTRIA DE COURO LTDA - EM RECUPERACAO JUDICIAL</t>
        </is>
      </c>
      <c r="D59" s="18" t="inlineStr">
        <is>
          <t>NEW</t>
        </is>
      </c>
      <c r="E59" s="19" t="inlineStr"/>
      <c r="F59" s="18" t="inlineStr"/>
      <c r="G59" s="19" t="inlineStr"/>
      <c r="H59" s="18" t="inlineStr"/>
      <c r="I59" s="20" t="inlineStr">
        <is>
          <t>ADRIANO FERRAZ GOMES</t>
        </is>
      </c>
      <c r="J59" s="20" t="inlineStr">
        <is>
          <t>Sócio-Administrador</t>
        </is>
      </c>
      <c r="K59" s="20" t="inlineStr">
        <is>
          <t>(81) 9411-3643</t>
        </is>
      </c>
      <c r="L59" s="20" t="inlineStr"/>
      <c r="M59" s="20" t="inlineStr"/>
      <c r="N59" s="20" t="inlineStr"/>
      <c r="O59" s="20" t="inlineStr"/>
      <c r="P59" s="20" t="inlineStr"/>
      <c r="Q59" s="20" t="inlineStr"/>
      <c r="R59" s="20" t="inlineStr"/>
      <c r="S59" s="20" t="inlineStr"/>
      <c r="T59" s="21" t="n">
        <v>3206338.81</v>
      </c>
      <c r="U59" s="22" t="inlineStr">
        <is>
          <t>B</t>
        </is>
      </c>
      <c r="V59" s="23">
        <f>IFERROR(VLOOKUP(U59,Assumptions!$A$7:$D$11,2,FALSE),0)</f>
        <v/>
      </c>
      <c r="W59" s="24">
        <f>MAX(0.5,IFERROR(VLOOKUP(U59,Assumptions!$A$7:$D$11,3,FALSE),3)+IFERROR(VLOOKUP(U59,Assumptions!$A$7:$D$11,4,FALSE),8)/2-IF(AN59="",0,YEAR(TODAY())-AN59))</f>
        <v/>
      </c>
      <c r="X59" s="21">
        <f>T59*V59/(1+Assumptions!$B$3)^W59</f>
        <v/>
      </c>
      <c r="Y59" s="25">
        <f>IF(T59=0,"",ROUND(X59/T59*100,1))</f>
        <v/>
      </c>
      <c r="Z59" s="26">
        <f>X59*Assumptions!$B$4</f>
        <v/>
      </c>
      <c r="AA59" s="25">
        <f>IF(T59=0,"",ROUND(Z59/T59*100,1))</f>
        <v/>
      </c>
      <c r="AB59" s="26">
        <f>X59-Z59</f>
        <v/>
      </c>
      <c r="AC59" s="25">
        <f>IF(T59=0,"",ROUND((X59-Z59)/T59*100,1))</f>
        <v/>
      </c>
      <c r="AD59" s="27" t="inlineStr">
        <is>
          <t>ESTIMATED</t>
        </is>
      </c>
      <c r="AE59" s="28" t="inlineStr">
        <is>
          <t>https://lrflideres.com.br/wp-content/plugins/download-attachments/includes/download.php?id=6252</t>
        </is>
      </c>
      <c r="AF59" s="27" t="inlineStr">
        <is>
          <t>p2 r34</t>
        </is>
      </c>
      <c r="AG59" s="27" t="inlineStr">
        <is>
          <t>p2: R$ 3.206.338,81</t>
        </is>
      </c>
      <c r="AH59" s="27" t="inlineStr">
        <is>
          <t>AJ_LIST</t>
        </is>
      </c>
      <c r="AI59" s="27" t="inlineStr">
        <is>
          <t>2024-11-27</t>
        </is>
      </c>
      <c r="AJ59" s="27" t="inlineStr">
        <is>
          <t>QUARANTINED</t>
        </is>
      </c>
      <c r="AK59" s="29" t="inlineStr">
        <is>
          <t>0000721-61.2024.8.17.2620</t>
        </is>
      </c>
      <c r="AL59" s="29" t="inlineStr">
        <is>
          <t>TJPE</t>
        </is>
      </c>
      <c r="AM59" s="29" t="inlineStr">
        <is>
          <t>ACTIVE</t>
        </is>
      </c>
      <c r="AN59" s="29" t="n">
        <v>2024</v>
      </c>
      <c r="AO59" s="29" t="inlineStr">
        <is>
          <t>live case, no plan document yet</t>
        </is>
      </c>
      <c r="AP59" s="29" t="inlineStr">
        <is>
          <t>FLORESTA</t>
        </is>
      </c>
      <c r="AQ59" s="29" t="inlineStr">
        <is>
          <t>PE</t>
        </is>
      </c>
      <c r="AR59" s="29" t="inlineStr">
        <is>
          <t>Fabricação de calçados de couro</t>
        </is>
      </c>
      <c r="AS59" s="29" t="inlineStr">
        <is>
          <t>DEMAIS</t>
        </is>
      </c>
      <c r="AT59" s="29" t="inlineStr">
        <is>
          <t>MID-MARKET</t>
        </is>
      </c>
      <c r="AU59" s="29" t="inlineStr">
        <is>
          <t>08785522</t>
        </is>
      </c>
      <c r="AV59" s="29" t="n">
        <v>1</v>
      </c>
      <c r="AW59" s="29" t="inlineStr">
        <is>
          <t>PARTIAL_DOC_CLASS_III_RECONCILED ROWS:p2r34</t>
        </is>
      </c>
    </row>
    <row r="60">
      <c r="A60" s="15" t="inlineStr">
        <is>
          <t>BRASQUIMICA PRODUTOS ASFALTICOS LTDA</t>
        </is>
      </c>
      <c r="B60" s="16" t="n">
        <v>3879789.49</v>
      </c>
      <c r="C60" s="17" t="inlineStr">
        <is>
          <t>CONSTRUTORA ANDRADE GUEDES LDTA – Diligence Administração em Recuperação Judicial e Falência</t>
        </is>
      </c>
      <c r="D60" s="18" t="inlineStr">
        <is>
          <t>NEW</t>
        </is>
      </c>
      <c r="E60" s="19" t="inlineStr"/>
      <c r="F60" s="18" t="inlineStr"/>
      <c r="G60" s="19" t="inlineStr"/>
      <c r="H60" s="18" t="inlineStr"/>
      <c r="I60" s="20" t="inlineStr">
        <is>
          <t>Ronan Drumond</t>
        </is>
      </c>
      <c r="J60" s="20" t="inlineStr">
        <is>
          <t>Commercial Director</t>
        </is>
      </c>
      <c r="K60" s="20" t="inlineStr">
        <is>
          <t>(71) 3118-2100</t>
        </is>
      </c>
      <c r="L60" s="20" t="inlineStr"/>
      <c r="M60" s="20" t="inlineStr"/>
      <c r="N60" s="20" t="inlineStr"/>
      <c r="O60" s="20" t="inlineStr"/>
      <c r="P60" s="20" t="inlineStr">
        <is>
          <t>Kelmara Pereira</t>
        </is>
      </c>
      <c r="Q60" s="20" t="inlineStr">
        <is>
          <t>Technical Manager</t>
        </is>
      </c>
      <c r="R60" s="20" t="inlineStr"/>
      <c r="S60" s="20" t="inlineStr"/>
      <c r="T60" s="21" t="n">
        <v>3879789.49</v>
      </c>
      <c r="U60" s="31" t="inlineStr">
        <is>
          <t>C</t>
        </is>
      </c>
      <c r="V60" s="23">
        <f>IFERROR(VLOOKUP(U60,Assumptions!$A$7:$D$11,2,FALSE),0)</f>
        <v/>
      </c>
      <c r="W60" s="24">
        <f>MAX(0.5,IFERROR(VLOOKUP(U60,Assumptions!$A$7:$D$11,3,FALSE),3)+IFERROR(VLOOKUP(U60,Assumptions!$A$7:$D$11,4,FALSE),8)/2-IF(AN60="",0,YEAR(TODAY())-AN60))</f>
        <v/>
      </c>
      <c r="X60" s="21">
        <f>T60*V60/(1+Assumptions!$B$3)^W60</f>
        <v/>
      </c>
      <c r="Y60" s="25">
        <f>IF(T60=0,"",ROUND(X60/T60*100,1))</f>
        <v/>
      </c>
      <c r="Z60" s="26">
        <f>X60*Assumptions!$B$4</f>
        <v/>
      </c>
      <c r="AA60" s="25">
        <f>IF(T60=0,"",ROUND(Z60/T60*100,1))</f>
        <v/>
      </c>
      <c r="AB60" s="26">
        <f>X60-Z60</f>
        <v/>
      </c>
      <c r="AC60" s="25">
        <f>IF(T60=0,"",ROUND((X60-Z60)/T60*100,1))</f>
        <v/>
      </c>
      <c r="AD60" s="27" t="inlineStr">
        <is>
          <t>ESTIMATED</t>
        </is>
      </c>
      <c r="AE60" s="28" t="inlineStr">
        <is>
          <t>https://diligence.adm.br/wp-content/plugins/download-attachments/includes/download.php?id=4599</t>
        </is>
      </c>
      <c r="AF60" s="27" t="inlineStr">
        <is>
          <t>p10 r10</t>
        </is>
      </c>
      <c r="AG60" s="27" t="inlineStr">
        <is>
          <t>p10: R$ 3.879.789,49</t>
        </is>
      </c>
      <c r="AH60" s="27" t="inlineStr">
        <is>
          <t>AJ_LIST</t>
        </is>
      </c>
      <c r="AI60" s="27" t="inlineStr">
        <is>
          <t>2024-06-25</t>
        </is>
      </c>
      <c r="AJ60" s="27" t="inlineStr">
        <is>
          <t>OK_NO_TOTALS</t>
        </is>
      </c>
      <c r="AK60" s="29" t="inlineStr">
        <is>
          <t>0000880-57.2020.8.17.2001</t>
        </is>
      </c>
      <c r="AL60" s="29" t="inlineStr">
        <is>
          <t>TJPE</t>
        </is>
      </c>
      <c r="AM60" s="29" t="inlineStr">
        <is>
          <t>ACTIVE</t>
        </is>
      </c>
      <c r="AN60" s="29" t="n">
        <v>2020</v>
      </c>
      <c r="AO60" s="29" t="inlineStr">
        <is>
          <t>6y since filing, no plan document</t>
        </is>
      </c>
      <c r="AP60" s="29" t="inlineStr">
        <is>
          <t>SALVADOR</t>
        </is>
      </c>
      <c r="AQ60" s="29" t="inlineStr">
        <is>
          <t>BA</t>
        </is>
      </c>
      <c r="AR60" s="29" t="inlineStr">
        <is>
          <t>Comércio atacadista de outros produtos químicos e petroquímicos não especificados anteriormente</t>
        </is>
      </c>
      <c r="AS60" s="29" t="inlineStr">
        <is>
          <t>DEMAIS</t>
        </is>
      </c>
      <c r="AT60" s="29" t="inlineStr">
        <is>
          <t>MID-MARKET</t>
        </is>
      </c>
      <c r="AU60" s="29" t="inlineStr">
        <is>
          <t>13829957</t>
        </is>
      </c>
      <c r="AV60" s="29" t="n">
        <v>1</v>
      </c>
      <c r="AW60" s="29" t="inlineStr">
        <is>
          <t>ALT_VALUE:R$3.849.447,97 ALT_VALUE:R$30.341,52 ROWS:p10r10 UNRECONCILED_SOURCE VALUE_COL:2ª_Lista</t>
        </is>
      </c>
    </row>
    <row r="61">
      <c r="A61" s="15" t="inlineStr">
        <is>
          <t>YARA BRASIL FERTILIZANTES S/A</t>
        </is>
      </c>
      <c r="B61" s="16" t="n">
        <v>4591380</v>
      </c>
      <c r="C61" s="17" t="inlineStr"/>
      <c r="D61" s="18" t="inlineStr">
        <is>
          <t>NEW</t>
        </is>
      </c>
      <c r="E61" s="19" t="inlineStr"/>
      <c r="F61" s="18" t="inlineStr"/>
      <c r="G61" s="19" t="inlineStr"/>
      <c r="H61" s="18" t="inlineStr"/>
      <c r="I61" s="20" t="inlineStr">
        <is>
          <t>Adriana Nunez</t>
        </is>
      </c>
      <c r="J61" s="20" t="inlineStr">
        <is>
          <t>CFO Yara Brazil</t>
        </is>
      </c>
      <c r="K61" s="20" t="inlineStr">
        <is>
          <t>(51) 3230-1300</t>
        </is>
      </c>
      <c r="L61" s="20" t="inlineStr"/>
      <c r="M61" s="20" t="inlineStr"/>
      <c r="N61" s="20" t="inlineStr">
        <is>
          <t>adriana.nunez@yara.com</t>
        </is>
      </c>
      <c r="O61" s="20" t="inlineStr">
        <is>
          <t>michele.kabov@yara.com</t>
        </is>
      </c>
      <c r="P61" s="20" t="inlineStr">
        <is>
          <t>Michele Kabov</t>
        </is>
      </c>
      <c r="Q61" s="20" t="inlineStr">
        <is>
          <t>Credito</t>
        </is>
      </c>
      <c r="R61" s="20" t="inlineStr"/>
      <c r="S61" s="20" t="inlineStr">
        <is>
          <t>michele.kabov@yara.com</t>
        </is>
      </c>
      <c r="T61" s="21" t="n">
        <v>4591380</v>
      </c>
      <c r="U61" s="22" t="inlineStr">
        <is>
          <t>B</t>
        </is>
      </c>
      <c r="V61" s="23">
        <f>IFERROR(VLOOKUP(U61,Assumptions!$A$7:$D$11,2,FALSE),0)</f>
        <v/>
      </c>
      <c r="W61" s="24">
        <f>MAX(0.5,IFERROR(VLOOKUP(U61,Assumptions!$A$7:$D$11,3,FALSE),3)+IFERROR(VLOOKUP(U61,Assumptions!$A$7:$D$11,4,FALSE),8)/2-IF(AN61="",0,YEAR(TODAY())-AN61))</f>
        <v/>
      </c>
      <c r="X61" s="21">
        <f>T61*V61/(1+Assumptions!$B$3)^W61</f>
        <v/>
      </c>
      <c r="Y61" s="25">
        <f>IF(T61=0,"",ROUND(X61/T61*100,1))</f>
        <v/>
      </c>
      <c r="Z61" s="26">
        <f>X61*Assumptions!$B$4</f>
        <v/>
      </c>
      <c r="AA61" s="25">
        <f>IF(T61=0,"",ROUND(Z61/T61*100,1))</f>
        <v/>
      </c>
      <c r="AB61" s="26">
        <f>X61-Z61</f>
        <v/>
      </c>
      <c r="AC61" s="25">
        <f>IF(T61=0,"",ROUND((X61-Z61)/T61*100,1))</f>
        <v/>
      </c>
      <c r="AD61" s="27" t="inlineStr">
        <is>
          <t>ESTIMATED</t>
        </is>
      </c>
      <c r="AE61" s="28" t="inlineStr">
        <is>
          <t>https://scalzilliaj.com.br/sgc/download.php?file=files/processo_documento/processo_documento11421222052026_1_.pdf&amp;nome=08. Lista de credores do edital do art. 52, §1º da LREF</t>
        </is>
      </c>
      <c r="AF61" s="27" t="inlineStr">
        <is>
          <t>p3 r7</t>
        </is>
      </c>
      <c r="AG61" s="27" t="inlineStr">
        <is>
          <t>p3: R$ 4.591.380,00</t>
        </is>
      </c>
      <c r="AH61" s="27" t="inlineStr">
        <is>
          <t>UNKNOWN</t>
        </is>
      </c>
      <c r="AI61" s="27" t="inlineStr"/>
      <c r="AJ61" s="27" t="inlineStr">
        <is>
          <t>OK_NO_TOTALS</t>
        </is>
      </c>
      <c r="AK61" s="29" t="inlineStr">
        <is>
          <t>5011369-81.2026.8.09.0093</t>
        </is>
      </c>
      <c r="AL61" s="29" t="inlineStr">
        <is>
          <t>TJGO</t>
        </is>
      </c>
      <c r="AM61" s="29" t="inlineStr">
        <is>
          <t>ACTIVE</t>
        </is>
      </c>
      <c r="AN61" s="29" t="n">
        <v>2026</v>
      </c>
      <c r="AO61" s="29" t="inlineStr">
        <is>
          <t>live case, no plan document yet</t>
        </is>
      </c>
      <c r="AP61" s="29" t="inlineStr">
        <is>
          <t>PORTO ALEGRE</t>
        </is>
      </c>
      <c r="AQ61" s="29" t="inlineStr">
        <is>
          <t>RS</t>
        </is>
      </c>
      <c r="AR61" s="29" t="inlineStr">
        <is>
          <t>Fabricação de adubos e fertilizantes, exceto organo-minerais</t>
        </is>
      </c>
      <c r="AS61" s="29" t="inlineStr">
        <is>
          <t>DEMAIS</t>
        </is>
      </c>
      <c r="AT61" s="29" t="inlineStr">
        <is>
          <t>LARGE CORP</t>
        </is>
      </c>
      <c r="AU61" s="29" t="inlineStr">
        <is>
          <t>92660604</t>
        </is>
      </c>
      <c r="AV61" s="29" t="n">
        <v>1</v>
      </c>
      <c r="AW61" s="29" t="inlineStr">
        <is>
          <t>ROWS:p3r7 UNRECONCILED_SOURCE</t>
        </is>
      </c>
    </row>
    <row r="62">
      <c r="A62" s="15" t="inlineStr">
        <is>
          <t>MISTRAS SOUTH AMERICA COMERCIO E SERVICOS LTDA</t>
        </is>
      </c>
      <c r="B62" s="16" t="n">
        <v>6623625.24</v>
      </c>
      <c r="C62" s="17" t="inlineStr">
        <is>
          <t>EGESA ENGENHARIA S/A (Consórcio ETDI)</t>
        </is>
      </c>
      <c r="D62" s="18" t="inlineStr">
        <is>
          <t>NEW</t>
        </is>
      </c>
      <c r="E62" s="19" t="inlineStr"/>
      <c r="F62" s="18" t="inlineStr"/>
      <c r="G62" s="19" t="inlineStr"/>
      <c r="H62" s="18" t="inlineStr"/>
      <c r="I62" s="20" t="inlineStr">
        <is>
          <t>Caio Martins</t>
        </is>
      </c>
      <c r="J62" s="20" t="inlineStr">
        <is>
          <t>Head of Finance</t>
        </is>
      </c>
      <c r="K62" s="20" t="inlineStr">
        <is>
          <t>(11) 2061-8626</t>
        </is>
      </c>
      <c r="L62" s="20" t="inlineStr"/>
      <c r="M62" s="20" t="inlineStr"/>
      <c r="N62" s="20" t="inlineStr">
        <is>
          <t>caio.martins@mistras.com.br</t>
        </is>
      </c>
      <c r="O62" s="20" t="inlineStr">
        <is>
          <t>pedro@mistras.com.br</t>
        </is>
      </c>
      <c r="P62" s="20" t="inlineStr">
        <is>
          <t>Pedro Filho</t>
        </is>
      </c>
      <c r="Q62" s="20" t="inlineStr">
        <is>
          <t>Mistras South America CEO</t>
        </is>
      </c>
      <c r="R62" s="20" t="inlineStr"/>
      <c r="S62" s="20" t="inlineStr">
        <is>
          <t>pedro@mistras.com.br</t>
        </is>
      </c>
      <c r="T62" s="21" t="n">
        <v>6623625.24</v>
      </c>
      <c r="U62" s="30" t="inlineStr">
        <is>
          <t>?</t>
        </is>
      </c>
      <c r="V62" s="23">
        <f>IFERROR(VLOOKUP(U62,Assumptions!$A$7:$D$11,2,FALSE),0)</f>
        <v/>
      </c>
      <c r="W62" s="24">
        <f>MAX(0.5,IFERROR(VLOOKUP(U62,Assumptions!$A$7:$D$11,3,FALSE),3)+IFERROR(VLOOKUP(U62,Assumptions!$A$7:$D$11,4,FALSE),8)/2-IF(AN62="",0,YEAR(TODAY())-AN62))</f>
        <v/>
      </c>
      <c r="X62" s="21">
        <f>T62*V62/(1+Assumptions!$B$3)^W62</f>
        <v/>
      </c>
      <c r="Y62" s="25">
        <f>IF(T62=0,"",ROUND(X62/T62*100,1))</f>
        <v/>
      </c>
      <c r="Z62" s="26">
        <f>X62*Assumptions!$B$4</f>
        <v/>
      </c>
      <c r="AA62" s="25">
        <f>IF(T62=0,"",ROUND(Z62/T62*100,1))</f>
        <v/>
      </c>
      <c r="AB62" s="26">
        <f>X62-Z62</f>
        <v/>
      </c>
      <c r="AC62" s="25">
        <f>IF(T62=0,"",ROUND((X62-Z62)/T62*100,1))</f>
        <v/>
      </c>
      <c r="AD62" s="27" t="inlineStr">
        <is>
          <t>UNKNOWN</t>
        </is>
      </c>
      <c r="AE62" s="28" t="inlineStr">
        <is>
          <t>https://scalzilliaj.com.br/sgc/download.php?file=files/processo_documento/processo_documento09514021082025_1_.pdf&amp;nome=04 - Relação de credores das Recuperandas</t>
        </is>
      </c>
      <c r="AF62" s="27" t="inlineStr">
        <is>
          <t>p70 r9</t>
        </is>
      </c>
      <c r="AG62" s="27" t="inlineStr">
        <is>
          <t>p70: R$ 6.623.625,24</t>
        </is>
      </c>
      <c r="AH62" s="27" t="inlineStr">
        <is>
          <t>DEBTOR_LIST</t>
        </is>
      </c>
      <c r="AI62" s="27" t="inlineStr"/>
      <c r="AJ62" s="27" t="inlineStr">
        <is>
          <t>OK</t>
        </is>
      </c>
      <c r="AK62" s="29" t="inlineStr">
        <is>
          <t>(not printed)</t>
        </is>
      </c>
      <c r="AL62" s="29" t="inlineStr"/>
      <c r="AM62" s="29" t="inlineStr"/>
      <c r="AN62" s="29" t="inlineStr"/>
      <c r="AO62" s="29" t="inlineStr">
        <is>
          <t>RJ case number not identified on the document</t>
        </is>
      </c>
      <c r="AP62" s="29" t="inlineStr">
        <is>
          <t>SAO PAULO</t>
        </is>
      </c>
      <c r="AQ62" s="29" t="inlineStr">
        <is>
          <t>SP</t>
        </is>
      </c>
      <c r="AR62" s="29" t="inlineStr">
        <is>
          <t>Testes e análises técnicas</t>
        </is>
      </c>
      <c r="AS62" s="29" t="inlineStr">
        <is>
          <t>DEMAIS</t>
        </is>
      </c>
      <c r="AT62" s="29" t="inlineStr">
        <is>
          <t>MID-MARKET</t>
        </is>
      </c>
      <c r="AU62" s="29" t="inlineStr">
        <is>
          <t>61615191</t>
        </is>
      </c>
      <c r="AV62" s="29" t="n">
        <v>1</v>
      </c>
      <c r="AW62" s="29" t="inlineStr">
        <is>
          <t>ROWS:p70r9 VALUE_COL:Valor_Atualizado CASE_NUMBER_CORRECTED</t>
        </is>
      </c>
    </row>
    <row r="63">
      <c r="A63" s="15" t="inlineStr">
        <is>
          <t>FLEXIVEL INDUSTRIA E COMERCIO LTDA</t>
        </is>
      </c>
      <c r="B63" s="16" t="n">
        <v>2550639.65</v>
      </c>
      <c r="C63" s="17" t="inlineStr"/>
      <c r="D63" s="18" t="inlineStr">
        <is>
          <t>NEW</t>
        </is>
      </c>
      <c r="E63" s="19" t="inlineStr"/>
      <c r="F63" s="18" t="inlineStr"/>
      <c r="G63" s="19" t="inlineStr"/>
      <c r="H63" s="18" t="inlineStr"/>
      <c r="I63" s="20" t="inlineStr">
        <is>
          <t>ANGELA VILMA GADOTTI JUNKES</t>
        </is>
      </c>
      <c r="J63" s="20" t="inlineStr">
        <is>
          <t>Administrador</t>
        </is>
      </c>
      <c r="K63" s="20" t="inlineStr">
        <is>
          <t>(47) 3270-1900</t>
        </is>
      </c>
      <c r="L63" s="20" t="inlineStr"/>
      <c r="M63" s="20" t="inlineStr"/>
      <c r="N63" s="20" t="inlineStr"/>
      <c r="O63" s="20" t="inlineStr"/>
      <c r="P63" s="20" t="inlineStr">
        <is>
          <t>LEODATO CHRISTIANO JUNKES</t>
        </is>
      </c>
      <c r="Q63" s="20" t="inlineStr">
        <is>
          <t>Administrador</t>
        </is>
      </c>
      <c r="R63" s="20" t="inlineStr">
        <is>
          <t>(47) 3270-1900</t>
        </is>
      </c>
      <c r="S63" s="20" t="inlineStr"/>
      <c r="T63" s="21" t="n">
        <v>2550639.65</v>
      </c>
      <c r="U63" s="31" t="inlineStr">
        <is>
          <t>C</t>
        </is>
      </c>
      <c r="V63" s="23">
        <f>IFERROR(VLOOKUP(U63,Assumptions!$A$7:$D$11,2,FALSE),0)</f>
        <v/>
      </c>
      <c r="W63" s="24">
        <f>MAX(0.5,IFERROR(VLOOKUP(U63,Assumptions!$A$7:$D$11,3,FALSE),3)+IFERROR(VLOOKUP(U63,Assumptions!$A$7:$D$11,4,FALSE),8)/2-IF(AN63="",0,YEAR(TODAY())-AN63))</f>
        <v/>
      </c>
      <c r="X63" s="21">
        <f>T63*V63/(1+Assumptions!$B$3)^W63</f>
        <v/>
      </c>
      <c r="Y63" s="25">
        <f>IF(T63=0,"",ROUND(X63/T63*100,1))</f>
        <v/>
      </c>
      <c r="Z63" s="26">
        <f>X63*Assumptions!$B$4</f>
        <v/>
      </c>
      <c r="AA63" s="25">
        <f>IF(T63=0,"",ROUND(Z63/T63*100,1))</f>
        <v/>
      </c>
      <c r="AB63" s="26">
        <f>X63-Z63</f>
        <v/>
      </c>
      <c r="AC63" s="25">
        <f>IF(T63=0,"",ROUND((X63-Z63)/T63*100,1))</f>
        <v/>
      </c>
      <c r="AD63" s="27" t="inlineStr">
        <is>
          <t>UNKNOWN</t>
        </is>
      </c>
      <c r="AE63" s="28" t="inlineStr">
        <is>
          <t>https://administradorajudicialgs.com.br/wp-content/uploads/2024/12/relacao-de-credores-da-falida.pdf</t>
        </is>
      </c>
      <c r="AF63" s="27" t="inlineStr">
        <is>
          <t>p14 r49</t>
        </is>
      </c>
      <c r="AG63" s="27" t="inlineStr">
        <is>
          <t>p14: R$ 2.550.639,65</t>
        </is>
      </c>
      <c r="AH63" s="27" t="inlineStr">
        <is>
          <t>UNKNOWN</t>
        </is>
      </c>
      <c r="AI63" s="27" t="inlineStr">
        <is>
          <t>2025-03-25</t>
        </is>
      </c>
      <c r="AJ63" s="27" t="inlineStr">
        <is>
          <t>OK_NO_TOTALS</t>
        </is>
      </c>
      <c r="AK63" s="29" t="inlineStr">
        <is>
          <t>0005010-50.2013.8.24.0026</t>
        </is>
      </c>
      <c r="AL63" s="29" t="inlineStr">
        <is>
          <t>TJ</t>
        </is>
      </c>
      <c r="AM63" s="29" t="inlineStr"/>
      <c r="AN63" s="29" t="n">
        <v>2013</v>
      </c>
      <c r="AO63" s="29" t="inlineStr">
        <is>
          <t>13y since filing, no plan document</t>
        </is>
      </c>
      <c r="AP63" s="29" t="inlineStr">
        <is>
          <t>JARAGUA DO SUL</t>
        </is>
      </c>
      <c r="AQ63" s="29" t="inlineStr">
        <is>
          <t>SC</t>
        </is>
      </c>
      <c r="AR63" s="29" t="inlineStr">
        <is>
          <t>Fabricação de outros produtos químicos não especificados anteriormente</t>
        </is>
      </c>
      <c r="AS63" s="29" t="inlineStr">
        <is>
          <t>DEMAIS</t>
        </is>
      </c>
      <c r="AT63" s="29" t="inlineStr">
        <is>
          <t>MID-MARKET</t>
        </is>
      </c>
      <c r="AU63" s="29" t="inlineStr">
        <is>
          <t>03076832</t>
        </is>
      </c>
      <c r="AV63" s="29" t="n">
        <v>1</v>
      </c>
      <c r="AW63" s="29" t="inlineStr">
        <is>
          <t>ROWS:p14r49 UNRECONCILED_SOURCE</t>
        </is>
      </c>
    </row>
    <row r="64">
      <c r="A64" s="15" t="inlineStr">
        <is>
          <t>FALCON DISTRIBUICAO, ARMAZENAMENTO E TRANSPORTES S.A.</t>
        </is>
      </c>
      <c r="B64" s="16" t="n">
        <v>2199541.23</v>
      </c>
      <c r="C64" s="17" t="inlineStr">
        <is>
          <t>VEV COMERCIO DE MEDICAMENTOS LTDA EM RECUPERACAO JUDICIAL</t>
        </is>
      </c>
      <c r="D64" s="18" t="inlineStr">
        <is>
          <t>NEW</t>
        </is>
      </c>
      <c r="E64" s="19" t="inlineStr"/>
      <c r="F64" s="18" t="inlineStr"/>
      <c r="G64" s="19" t="inlineStr"/>
      <c r="H64" s="18" t="inlineStr"/>
      <c r="I64" s="20" t="inlineStr">
        <is>
          <t>ADRIANO DE CONTI BERNARDI</t>
        </is>
      </c>
      <c r="J64" s="20" t="inlineStr">
        <is>
          <t>Diretor</t>
        </is>
      </c>
      <c r="K64" s="20" t="inlineStr">
        <is>
          <t>(11) 9177-5953</t>
        </is>
      </c>
      <c r="L64" s="20" t="inlineStr"/>
      <c r="M64" s="20" t="inlineStr"/>
      <c r="N64" s="20" t="inlineStr"/>
      <c r="O64" s="20" t="inlineStr"/>
      <c r="P64" s="20" t="inlineStr">
        <is>
          <t>CELSO UBIRAJARA BLANCO DOS SANTOS</t>
        </is>
      </c>
      <c r="Q64" s="20" t="inlineStr">
        <is>
          <t>Diretor</t>
        </is>
      </c>
      <c r="R64" s="20" t="inlineStr">
        <is>
          <t>(11) 9177-5953</t>
        </is>
      </c>
      <c r="S64" s="20" t="inlineStr"/>
      <c r="T64" s="21" t="n">
        <v>2199541.23</v>
      </c>
      <c r="U64" s="22" t="inlineStr">
        <is>
          <t>B</t>
        </is>
      </c>
      <c r="V64" s="23">
        <f>IFERROR(VLOOKUP(U64,Assumptions!$A$7:$D$11,2,FALSE),0)</f>
        <v/>
      </c>
      <c r="W64" s="24">
        <f>MAX(0.5,IFERROR(VLOOKUP(U64,Assumptions!$A$7:$D$11,3,FALSE),3)+IFERROR(VLOOKUP(U64,Assumptions!$A$7:$D$11,4,FALSE),8)/2-IF(AN64="",0,YEAR(TODAY())-AN64))</f>
        <v/>
      </c>
      <c r="X64" s="21">
        <f>T64*V64/(1+Assumptions!$B$3)^W64</f>
        <v/>
      </c>
      <c r="Y64" s="25">
        <f>IF(T64=0,"",ROUND(X64/T64*100,1))</f>
        <v/>
      </c>
      <c r="Z64" s="26">
        <f>X64*Assumptions!$B$4</f>
        <v/>
      </c>
      <c r="AA64" s="25">
        <f>IF(T64=0,"",ROUND(Z64/T64*100,1))</f>
        <v/>
      </c>
      <c r="AB64" s="26">
        <f>X64-Z64</f>
        <v/>
      </c>
      <c r="AC64" s="25">
        <f>IF(T64=0,"",ROUND((X64-Z64)/T64*100,1))</f>
        <v/>
      </c>
      <c r="AD64" s="27" t="inlineStr">
        <is>
          <t>ESTIMATED</t>
        </is>
      </c>
      <c r="AE64" s="28" t="inlineStr">
        <is>
          <t>https://marquesadmjudicial.com.br/sgc/download.php?file=files/processo_documento/processo_documento15293208032024_1_.pdf&amp;nome=Relação Nominal de Credores da AJ-Sintética</t>
        </is>
      </c>
      <c r="AF64" s="27" t="inlineStr">
        <is>
          <t>p25 r5</t>
        </is>
      </c>
      <c r="AG64" s="27" t="inlineStr">
        <is>
          <t>p25: R$ 2.199.541,23</t>
        </is>
      </c>
      <c r="AH64" s="27" t="inlineStr">
        <is>
          <t>AJ_LIST</t>
        </is>
      </c>
      <c r="AI64" s="27" t="inlineStr">
        <is>
          <t>2023-03-02</t>
        </is>
      </c>
      <c r="AJ64" s="27" t="inlineStr">
        <is>
          <t>QUARANTINED</t>
        </is>
      </c>
      <c r="AK64" s="29" t="inlineStr">
        <is>
          <t>0005010-98.2023.8.16.0001</t>
        </is>
      </c>
      <c r="AL64" s="29" t="inlineStr">
        <is>
          <t>TJPR</t>
        </is>
      </c>
      <c r="AM64" s="29" t="inlineStr">
        <is>
          <t>ACTIVE</t>
        </is>
      </c>
      <c r="AN64" s="29" t="n">
        <v>2023</v>
      </c>
      <c r="AO64" s="29" t="inlineStr">
        <is>
          <t>live case, no plan document yet</t>
        </is>
      </c>
      <c r="AP64" s="29" t="inlineStr">
        <is>
          <t>GOIANIA</t>
        </is>
      </c>
      <c r="AQ64" s="29" t="inlineStr">
        <is>
          <t>GO</t>
        </is>
      </c>
      <c r="AR64" s="29" t="inlineStr">
        <is>
          <t>Comércio atacadista de produtos de higiene pessoal</t>
        </is>
      </c>
      <c r="AS64" s="29" t="inlineStr">
        <is>
          <t>DEMAIS</t>
        </is>
      </c>
      <c r="AT64" s="29" t="inlineStr">
        <is>
          <t>LARGE CORP</t>
        </is>
      </c>
      <c r="AU64" s="29" t="inlineStr">
        <is>
          <t>23191831</t>
        </is>
      </c>
      <c r="AV64" s="29" t="n">
        <v>1</v>
      </c>
      <c r="AW64" s="29" t="inlineStr">
        <is>
          <t>PARTIAL_DOC_CLASS_III_RECONCILED ROWS:p25r5</t>
        </is>
      </c>
    </row>
    <row r="65">
      <c r="A65" s="15" t="inlineStr">
        <is>
          <t>LOROTTI EMPREENDIMENTOS IMOBILIARIOS LTDA</t>
        </is>
      </c>
      <c r="B65" s="16" t="n">
        <v>3159739.59</v>
      </c>
      <c r="C65" s="17" t="inlineStr">
        <is>
          <t>COMERCIO RACOES BEM BOM LTDA</t>
        </is>
      </c>
      <c r="D65" s="18" t="inlineStr">
        <is>
          <t>NEW</t>
        </is>
      </c>
      <c r="E65" s="19" t="inlineStr"/>
      <c r="F65" s="18" t="inlineStr"/>
      <c r="G65" s="19" t="inlineStr"/>
      <c r="H65" s="18" t="inlineStr"/>
      <c r="I65" s="20" t="inlineStr">
        <is>
          <t>ALINE RAZEM ABRAO</t>
        </is>
      </c>
      <c r="J65" s="20" t="inlineStr">
        <is>
          <t>Sócio-Administrador</t>
        </is>
      </c>
      <c r="K65" s="20" t="inlineStr">
        <is>
          <t>(61) 3366-4288</t>
        </is>
      </c>
      <c r="L65" s="20" t="inlineStr"/>
      <c r="M65" s="20" t="inlineStr"/>
      <c r="N65" s="20" t="inlineStr"/>
      <c r="O65" s="20" t="inlineStr"/>
      <c r="P65" s="20" t="inlineStr">
        <is>
          <t>ANA PAOLA BRANDAO RAZEM ABRAO</t>
        </is>
      </c>
      <c r="Q65" s="20" t="inlineStr">
        <is>
          <t>Sócio-Administrador</t>
        </is>
      </c>
      <c r="R65" s="20" t="inlineStr">
        <is>
          <t>(61) 3366-4288</t>
        </is>
      </c>
      <c r="S65" s="20" t="inlineStr"/>
      <c r="T65" s="21" t="n">
        <v>3159739.59</v>
      </c>
      <c r="U65" s="32" t="inlineStr">
        <is>
          <t>A</t>
        </is>
      </c>
      <c r="V65" s="23">
        <f>IFERROR(VLOOKUP(U65,Assumptions!$A$7:$D$11,2,FALSE),0)</f>
        <v/>
      </c>
      <c r="W65" s="24">
        <f>MAX(0.5,IFERROR(VLOOKUP(U65,Assumptions!$A$7:$D$11,3,FALSE),3)+IFERROR(VLOOKUP(U65,Assumptions!$A$7:$D$11,4,FALSE),8)/2-IF(AN65="",0,YEAR(TODAY())-AN65))</f>
        <v/>
      </c>
      <c r="X65" s="21">
        <f>T65*V65/(1+Assumptions!$B$3)^W65</f>
        <v/>
      </c>
      <c r="Y65" s="25">
        <f>IF(T65=0,"",ROUND(X65/T65*100,1))</f>
        <v/>
      </c>
      <c r="Z65" s="26">
        <f>X65*Assumptions!$B$4</f>
        <v/>
      </c>
      <c r="AA65" s="25">
        <f>IF(T65=0,"",ROUND(Z65/T65*100,1))</f>
        <v/>
      </c>
      <c r="AB65" s="26">
        <f>X65-Z65</f>
        <v/>
      </c>
      <c r="AC65" s="25">
        <f>IF(T65=0,"",ROUND((X65-Z65)/T65*100,1))</f>
        <v/>
      </c>
      <c r="AD65" s="27" t="inlineStr">
        <is>
          <t>CONFIRMED</t>
        </is>
      </c>
      <c r="AE65" s="28" t="inlineStr">
        <is>
          <t>https://stenius.com.br/wp-content/uploads/2026/06/EDITAL-GRUPO-3E.pdf</t>
        </is>
      </c>
      <c r="AF65" s="27" t="inlineStr">
        <is>
          <t>p15 r31</t>
        </is>
      </c>
      <c r="AG65" s="27" t="inlineStr">
        <is>
          <t>p15: R$ 3.159.739,59</t>
        </is>
      </c>
      <c r="AH65" s="27" t="inlineStr">
        <is>
          <t>DEBTOR_LIST</t>
        </is>
      </c>
      <c r="AI65" s="27" t="inlineStr">
        <is>
          <t>2026-06-22</t>
        </is>
      </c>
      <c r="AJ65" s="27" t="inlineStr">
        <is>
          <t>OK_NO_TOTALS</t>
        </is>
      </c>
      <c r="AK65" s="29" t="inlineStr">
        <is>
          <t>5341375-33.2026.8.09.0049</t>
        </is>
      </c>
      <c r="AL65" s="29" t="inlineStr">
        <is>
          <t>TJGO</t>
        </is>
      </c>
      <c r="AM65" s="29" t="inlineStr">
        <is>
          <t>ACTIVE</t>
        </is>
      </c>
      <c r="AN65" s="29" t="n">
        <v>2026</v>
      </c>
      <c r="AO65" s="29" t="inlineStr">
        <is>
          <t>plan/homologation document found</t>
        </is>
      </c>
      <c r="AP65" s="29" t="inlineStr">
        <is>
          <t>BRASILIA</t>
        </is>
      </c>
      <c r="AQ65" s="29" t="inlineStr">
        <is>
          <t>DF</t>
        </is>
      </c>
      <c r="AR65" s="29" t="inlineStr">
        <is>
          <t>Construção de edifícios</t>
        </is>
      </c>
      <c r="AS65" s="29" t="inlineStr">
        <is>
          <t>DEMAIS</t>
        </is>
      </c>
      <c r="AT65" s="29" t="inlineStr">
        <is>
          <t>MID-MARKET</t>
        </is>
      </c>
      <c r="AU65" s="29" t="inlineStr">
        <is>
          <t>10505803</t>
        </is>
      </c>
      <c r="AV65" s="29" t="n">
        <v>1</v>
      </c>
      <c r="AW65" s="29" t="inlineStr">
        <is>
          <t>ROWS:p15r31 UNRECONCILED_SOURCE</t>
        </is>
      </c>
    </row>
    <row r="66">
      <c r="A66" s="15" t="inlineStr">
        <is>
          <t>SALESFORCE TECNOLOGIA LTDA</t>
        </is>
      </c>
      <c r="B66" s="16" t="n">
        <v>3349893.45</v>
      </c>
      <c r="C66" s="17" t="inlineStr"/>
      <c r="D66" s="18" t="inlineStr">
        <is>
          <t>NEW</t>
        </is>
      </c>
      <c r="E66" s="19" t="inlineStr"/>
      <c r="F66" s="18" t="inlineStr"/>
      <c r="G66" s="19" t="inlineStr"/>
      <c r="H66" s="18" t="inlineStr"/>
      <c r="I66" s="20" t="inlineStr">
        <is>
          <t>Alexandre Costa</t>
        </is>
      </c>
      <c r="J66" s="20" t="inlineStr">
        <is>
          <t>Controller Director</t>
        </is>
      </c>
      <c r="K66" s="20" t="inlineStr">
        <is>
          <t>(11) 2110-3141</t>
        </is>
      </c>
      <c r="L66" s="20" t="inlineStr"/>
      <c r="M66" s="20" t="inlineStr"/>
      <c r="N66" s="20" t="inlineStr">
        <is>
          <t>alexandre.costa@salesforce.com</t>
        </is>
      </c>
      <c r="O66" s="20" t="inlineStr">
        <is>
          <t>mmendes@salesforce.com</t>
        </is>
      </c>
      <c r="P66" s="20" t="inlineStr">
        <is>
          <t>Marcio Mendes</t>
        </is>
      </c>
      <c r="Q66" s="20" t="inlineStr">
        <is>
          <t>Finance Controller</t>
        </is>
      </c>
      <c r="R66" s="20" t="inlineStr"/>
      <c r="S66" s="20" t="inlineStr">
        <is>
          <t>mmendes@salesforce.com</t>
        </is>
      </c>
      <c r="T66" s="21" t="n">
        <v>3349893.45</v>
      </c>
      <c r="U66" s="22" t="inlineStr">
        <is>
          <t>B</t>
        </is>
      </c>
      <c r="V66" s="23">
        <f>IFERROR(VLOOKUP(U66,Assumptions!$A$7:$D$11,2,FALSE),0)</f>
        <v/>
      </c>
      <c r="W66" s="24">
        <f>MAX(0.5,IFERROR(VLOOKUP(U66,Assumptions!$A$7:$D$11,3,FALSE),3)+IFERROR(VLOOKUP(U66,Assumptions!$A$7:$D$11,4,FALSE),8)/2-IF(AN66="",0,YEAR(TODAY())-AN66))</f>
        <v/>
      </c>
      <c r="X66" s="21">
        <f>T66*V66/(1+Assumptions!$B$3)^W66</f>
        <v/>
      </c>
      <c r="Y66" s="25">
        <f>IF(T66=0,"",ROUND(X66/T66*100,1))</f>
        <v/>
      </c>
      <c r="Z66" s="26">
        <f>X66*Assumptions!$B$4</f>
        <v/>
      </c>
      <c r="AA66" s="25">
        <f>IF(T66=0,"",ROUND(Z66/T66*100,1))</f>
        <v/>
      </c>
      <c r="AB66" s="26">
        <f>X66-Z66</f>
        <v/>
      </c>
      <c r="AC66" s="25">
        <f>IF(T66=0,"",ROUND((X66-Z66)/T66*100,1))</f>
        <v/>
      </c>
      <c r="AD66" s="27" t="inlineStr">
        <is>
          <t>UNKNOWN</t>
        </is>
      </c>
      <c r="AE66" s="28" t="inlineStr">
        <is>
          <t>https://credibilita.com.br/wp-content/uploads/2025/09/Relacao-Credores-29.04.2026.pdf</t>
        </is>
      </c>
      <c r="AF66" s="27" t="inlineStr">
        <is>
          <t>p2 r16</t>
        </is>
      </c>
      <c r="AG66" s="27" t="inlineStr">
        <is>
          <t>p2: R$ 3.349.893,45</t>
        </is>
      </c>
      <c r="AH66" s="27" t="inlineStr">
        <is>
          <t>UNKNOWN</t>
        </is>
      </c>
      <c r="AI66" s="27" t="inlineStr"/>
      <c r="AJ66" s="27" t="inlineStr">
        <is>
          <t>OK_NO_TOTALS</t>
        </is>
      </c>
      <c r="AK66" s="29" t="inlineStr">
        <is>
          <t>5057720-48.2025.8.24.0023</t>
        </is>
      </c>
      <c r="AL66" s="29" t="inlineStr">
        <is>
          <t>TJ</t>
        </is>
      </c>
      <c r="AM66" s="29" t="inlineStr"/>
      <c r="AN66" s="29" t="n">
        <v>2025</v>
      </c>
      <c r="AO66" s="29" t="inlineStr">
        <is>
          <t>live case, no plan document yet</t>
        </is>
      </c>
      <c r="AP66" s="29" t="inlineStr">
        <is>
          <t>SAO PAULO</t>
        </is>
      </c>
      <c r="AQ66" s="29" t="inlineStr">
        <is>
          <t>SP</t>
        </is>
      </c>
      <c r="AR66" s="29" t="inlineStr">
        <is>
          <t>Desenvolvimento e licenciamento de programas de computador customizáveis</t>
        </is>
      </c>
      <c r="AS66" s="29" t="inlineStr">
        <is>
          <t>DEMAIS</t>
        </is>
      </c>
      <c r="AT66" s="29" t="inlineStr">
        <is>
          <t>MID-MARKET</t>
        </is>
      </c>
      <c r="AU66" s="29" t="inlineStr">
        <is>
          <t>01080512</t>
        </is>
      </c>
      <c r="AV66" s="29" t="n">
        <v>1</v>
      </c>
      <c r="AW66" s="29" t="inlineStr">
        <is>
          <t>ROWS:p2r16 UNRECONCILED_SOURCE VALUE_COL:Valor_Após_Analise</t>
        </is>
      </c>
    </row>
    <row r="67">
      <c r="A67" s="15" t="inlineStr">
        <is>
          <t>VENTISOL DA AMAZONIA INDUSTRIA DE APARELHOS ELETRICOS LTDA</t>
        </is>
      </c>
      <c r="B67" s="16" t="n">
        <v>2121705.89</v>
      </c>
      <c r="C67" s="17" t="inlineStr">
        <is>
          <t>REAL DISTRIBUIDORA ÚNICA RIO COMÉRCIO DE REFRIGERAÇÃO LTDA</t>
        </is>
      </c>
      <c r="D67" s="18" t="inlineStr">
        <is>
          <t>NEW</t>
        </is>
      </c>
      <c r="E67" s="19" t="inlineStr"/>
      <c r="F67" s="18" t="inlineStr"/>
      <c r="G67" s="19" t="inlineStr"/>
      <c r="H67" s="18" t="inlineStr"/>
      <c r="I67" s="20" t="inlineStr">
        <is>
          <t>Marcos Bittencourt</t>
        </is>
      </c>
      <c r="J67" s="20" t="inlineStr">
        <is>
          <t>Financial Manager</t>
        </is>
      </c>
      <c r="K67" s="20" t="inlineStr">
        <is>
          <t>(92) 3029-1000</t>
        </is>
      </c>
      <c r="L67" s="20" t="inlineStr"/>
      <c r="M67" s="20" t="inlineStr"/>
      <c r="N67" s="20" t="inlineStr">
        <is>
          <t>marcos@ventisol.com.br</t>
        </is>
      </c>
      <c r="O67" s="20" t="inlineStr">
        <is>
          <t>fernanda@ventisol.com.br</t>
        </is>
      </c>
      <c r="P67" s="20" t="inlineStr">
        <is>
          <t>Fernanda Candido</t>
        </is>
      </c>
      <c r="Q67" s="20" t="inlineStr">
        <is>
          <t>Commercial Director</t>
        </is>
      </c>
      <c r="R67" s="20" t="inlineStr"/>
      <c r="S67" s="20" t="inlineStr">
        <is>
          <t>fernanda@ventisol.com.br</t>
        </is>
      </c>
      <c r="T67" s="21" t="n">
        <v>2121705.89</v>
      </c>
      <c r="U67" s="22" t="inlineStr">
        <is>
          <t>B</t>
        </is>
      </c>
      <c r="V67" s="23">
        <f>IFERROR(VLOOKUP(U67,Assumptions!$A$7:$D$11,2,FALSE),0)</f>
        <v/>
      </c>
      <c r="W67" s="24">
        <f>MAX(0.5,IFERROR(VLOOKUP(U67,Assumptions!$A$7:$D$11,3,FALSE),3)+IFERROR(VLOOKUP(U67,Assumptions!$A$7:$D$11,4,FALSE),8)/2-IF(AN67="",0,YEAR(TODAY())-AN67))</f>
        <v/>
      </c>
      <c r="X67" s="21">
        <f>T67*V67/(1+Assumptions!$B$3)^W67</f>
        <v/>
      </c>
      <c r="Y67" s="25">
        <f>IF(T67=0,"",ROUND(X67/T67*100,1))</f>
        <v/>
      </c>
      <c r="Z67" s="26">
        <f>X67*Assumptions!$B$4</f>
        <v/>
      </c>
      <c r="AA67" s="25">
        <f>IF(T67=0,"",ROUND(Z67/T67*100,1))</f>
        <v/>
      </c>
      <c r="AB67" s="26">
        <f>X67-Z67</f>
        <v/>
      </c>
      <c r="AC67" s="25">
        <f>IF(T67=0,"",ROUND((X67-Z67)/T67*100,1))</f>
        <v/>
      </c>
      <c r="AD67" s="27" t="inlineStr">
        <is>
          <t>UNKNOWN</t>
        </is>
      </c>
      <c r="AE67" s="28" t="inlineStr">
        <is>
          <t>https://inova-aj.com.br/wp-content/uploads/2026/08/1a-Relacao-de-Credores-Real.pdf</t>
        </is>
      </c>
      <c r="AF67" s="27" t="inlineStr">
        <is>
          <t>p2 r16</t>
        </is>
      </c>
      <c r="AG67" s="27" t="inlineStr">
        <is>
          <t>p2: R$ 2.121.705,89</t>
        </is>
      </c>
      <c r="AH67" s="27" t="inlineStr">
        <is>
          <t>AJ_LIST</t>
        </is>
      </c>
      <c r="AI67" s="27" t="inlineStr">
        <is>
          <t>2023-06-05</t>
        </is>
      </c>
      <c r="AJ67" s="27" t="inlineStr">
        <is>
          <t>OK</t>
        </is>
      </c>
      <c r="AK67" s="29" t="inlineStr">
        <is>
          <t>0873061-47.2023.8.19.0001</t>
        </is>
      </c>
      <c r="AL67" s="29" t="inlineStr">
        <is>
          <t>TJ</t>
        </is>
      </c>
      <c r="AM67" s="29" t="inlineStr"/>
      <c r="AN67" s="29" t="n">
        <v>2023</v>
      </c>
      <c r="AO67" s="29" t="inlineStr">
        <is>
          <t>live case, no plan document yet</t>
        </is>
      </c>
      <c r="AP67" s="29" t="inlineStr">
        <is>
          <t>MANAUS</t>
        </is>
      </c>
      <c r="AQ67" s="29" t="inlineStr">
        <is>
          <t>AM</t>
        </is>
      </c>
      <c r="AR67" s="29" t="inlineStr">
        <is>
          <t>Fabricação de aparelhos e equipamentos de ar condicionado para uso industrial</t>
        </is>
      </c>
      <c r="AS67" s="29" t="inlineStr">
        <is>
          <t>DEMAIS</t>
        </is>
      </c>
      <c r="AT67" s="29" t="inlineStr">
        <is>
          <t>LARGE CORP</t>
        </is>
      </c>
      <c r="AU67" s="29" t="inlineStr">
        <is>
          <t>17417928</t>
        </is>
      </c>
      <c r="AV67" s="29" t="n">
        <v>1</v>
      </c>
      <c r="AW67" s="29" t="inlineStr">
        <is>
          <t>ALT_VALUE:R$1.542.709,43 ROWS:p2r16</t>
        </is>
      </c>
    </row>
    <row r="68">
      <c r="A68" s="15" t="inlineStr">
        <is>
          <t>NUTRIEN SOLUCOES AGRICOLAS LTDA</t>
        </is>
      </c>
      <c r="B68" s="16" t="n">
        <v>3009813.42</v>
      </c>
      <c r="C68" s="17" t="inlineStr">
        <is>
          <t>COMERCIO RACOES BEM BOM LTDA</t>
        </is>
      </c>
      <c r="D68" s="18" t="inlineStr">
        <is>
          <t>NEW</t>
        </is>
      </c>
      <c r="E68" s="19" t="inlineStr"/>
      <c r="F68" s="18" t="inlineStr"/>
      <c r="G68" s="19" t="inlineStr"/>
      <c r="H68" s="18" t="inlineStr"/>
      <c r="I68" s="20" t="inlineStr">
        <is>
          <t>Thiago Costa</t>
        </is>
      </c>
      <c r="J68" s="20" t="inlineStr">
        <is>
          <t>Gerente Contas a Receber e Centro de Serviços Compartilhados</t>
        </is>
      </c>
      <c r="K68" s="20" t="inlineStr">
        <is>
          <t>(11) 5400-0021</t>
        </is>
      </c>
      <c r="L68" s="20" t="inlineStr"/>
      <c r="M68" s="20" t="inlineStr"/>
      <c r="N68" s="20" t="inlineStr">
        <is>
          <t>thiago.costa@nutrien.com</t>
        </is>
      </c>
      <c r="O68" s="20" t="inlineStr">
        <is>
          <t>emerson.freitas@nutrien.com</t>
        </is>
      </c>
      <c r="P68" s="20" t="inlineStr">
        <is>
          <t>Emerson Freitas</t>
        </is>
      </c>
      <c r="Q68" s="20" t="inlineStr">
        <is>
          <t>Gerente de Tesouraria | Tesouraria Estratégica</t>
        </is>
      </c>
      <c r="R68" s="20" t="inlineStr"/>
      <c r="S68" s="20" t="inlineStr">
        <is>
          <t>emerson.freitas@nutrien.com</t>
        </is>
      </c>
      <c r="T68" s="21" t="n">
        <v>3009813.42</v>
      </c>
      <c r="U68" s="32" t="inlineStr">
        <is>
          <t>A</t>
        </is>
      </c>
      <c r="V68" s="23">
        <f>IFERROR(VLOOKUP(U68,Assumptions!$A$7:$D$11,2,FALSE),0)</f>
        <v/>
      </c>
      <c r="W68" s="24">
        <f>MAX(0.5,IFERROR(VLOOKUP(U68,Assumptions!$A$7:$D$11,3,FALSE),3)+IFERROR(VLOOKUP(U68,Assumptions!$A$7:$D$11,4,FALSE),8)/2-IF(AN68="",0,YEAR(TODAY())-AN68))</f>
        <v/>
      </c>
      <c r="X68" s="21">
        <f>T68*V68/(1+Assumptions!$B$3)^W68</f>
        <v/>
      </c>
      <c r="Y68" s="25">
        <f>IF(T68=0,"",ROUND(X68/T68*100,1))</f>
        <v/>
      </c>
      <c r="Z68" s="26">
        <f>X68*Assumptions!$B$4</f>
        <v/>
      </c>
      <c r="AA68" s="25">
        <f>IF(T68=0,"",ROUND(Z68/T68*100,1))</f>
        <v/>
      </c>
      <c r="AB68" s="26">
        <f>X68-Z68</f>
        <v/>
      </c>
      <c r="AC68" s="25">
        <f>IF(T68=0,"",ROUND((X68-Z68)/T68*100,1))</f>
        <v/>
      </c>
      <c r="AD68" s="27" t="inlineStr">
        <is>
          <t>CONFIRMED</t>
        </is>
      </c>
      <c r="AE68" s="28" t="inlineStr">
        <is>
          <t>https://stenius.com.br/wp-content/uploads/2026/06/EDITAL-GRUPO-3E.pdf</t>
        </is>
      </c>
      <c r="AF68" s="27" t="inlineStr">
        <is>
          <t>p16 r30</t>
        </is>
      </c>
      <c r="AG68" s="27" t="inlineStr">
        <is>
          <t>p16: R$ 3.009.813,42</t>
        </is>
      </c>
      <c r="AH68" s="27" t="inlineStr">
        <is>
          <t>DEBTOR_LIST</t>
        </is>
      </c>
      <c r="AI68" s="27" t="inlineStr">
        <is>
          <t>2026-06-22</t>
        </is>
      </c>
      <c r="AJ68" s="27" t="inlineStr">
        <is>
          <t>OK_NO_TOTALS</t>
        </is>
      </c>
      <c r="AK68" s="29" t="inlineStr">
        <is>
          <t>5341375-33.2026.8.09.0049</t>
        </is>
      </c>
      <c r="AL68" s="29" t="inlineStr">
        <is>
          <t>TJGO</t>
        </is>
      </c>
      <c r="AM68" s="29" t="inlineStr">
        <is>
          <t>ACTIVE</t>
        </is>
      </c>
      <c r="AN68" s="29" t="n">
        <v>2026</v>
      </c>
      <c r="AO68" s="29" t="inlineStr">
        <is>
          <t>plan/homologation document found</t>
        </is>
      </c>
      <c r="AP68" s="29" t="inlineStr">
        <is>
          <t>SAO PAULO</t>
        </is>
      </c>
      <c r="AQ68" s="29" t="inlineStr">
        <is>
          <t>SP</t>
        </is>
      </c>
      <c r="AR68" s="29" t="inlineStr">
        <is>
          <t>Comércio atacadista de defensivos agrícolas, adubos, fertilizantes e corretivos do solo</t>
        </is>
      </c>
      <c r="AS68" s="29" t="inlineStr">
        <is>
          <t>DEMAIS</t>
        </is>
      </c>
      <c r="AT68" s="29" t="inlineStr">
        <is>
          <t>LARGE CORP</t>
        </is>
      </c>
      <c r="AU68" s="29" t="inlineStr">
        <is>
          <t>88305859</t>
        </is>
      </c>
      <c r="AV68" s="29" t="n">
        <v>1</v>
      </c>
      <c r="AW68" s="29" t="inlineStr">
        <is>
          <t>ROWS:p16r30 UNRECONCILED_SOURCE</t>
        </is>
      </c>
    </row>
    <row r="69">
      <c r="A69" s="15" t="inlineStr">
        <is>
          <t>REICHENBACH EQUIPAMENTOS INDUSTRIA E COMERCIO LTDA</t>
        </is>
      </c>
      <c r="B69" s="16" t="n">
        <v>2002544.34</v>
      </c>
      <c r="C69" s="17" t="inlineStr">
        <is>
          <t>Conduscabos Brasil Indústria Comércio de</t>
        </is>
      </c>
      <c r="D69" s="18" t="inlineStr">
        <is>
          <t>NEW</t>
        </is>
      </c>
      <c r="E69" s="19" t="inlineStr"/>
      <c r="F69" s="18" t="inlineStr"/>
      <c r="G69" s="19" t="inlineStr"/>
      <c r="H69" s="18" t="inlineStr"/>
      <c r="I69" s="20" t="inlineStr">
        <is>
          <t>Curt Reichenbach</t>
        </is>
      </c>
      <c r="J69" s="20" t="inlineStr">
        <is>
          <t>General Manager</t>
        </is>
      </c>
      <c r="K69" s="20" t="inlineStr">
        <is>
          <t>(11) 4181-5054</t>
        </is>
      </c>
      <c r="L69" s="20" t="inlineStr"/>
      <c r="M69" s="20" t="inlineStr"/>
      <c r="N69" s="20" t="inlineStr">
        <is>
          <t>curt@reichenbach.com.br</t>
        </is>
      </c>
      <c r="O69" s="20" t="inlineStr">
        <is>
          <t>allan@reichenbach.com.br</t>
        </is>
      </c>
      <c r="P69" s="20" t="inlineStr">
        <is>
          <t>Allan Reichenbach</t>
        </is>
      </c>
      <c r="Q69" s="20" t="inlineStr">
        <is>
          <t>Business Development Manager (ex Controller, owner family)</t>
        </is>
      </c>
      <c r="R69" s="20" t="inlineStr"/>
      <c r="S69" s="20" t="inlineStr">
        <is>
          <t>allan@reichenbach.com.br</t>
        </is>
      </c>
      <c r="T69" s="21" t="n">
        <v>2002544.34</v>
      </c>
      <c r="U69" s="22" t="inlineStr">
        <is>
          <t>B</t>
        </is>
      </c>
      <c r="V69" s="23">
        <f>IFERROR(VLOOKUP(U69,Assumptions!$A$7:$D$11,2,FALSE),0)</f>
        <v/>
      </c>
      <c r="W69" s="24">
        <f>MAX(0.5,IFERROR(VLOOKUP(U69,Assumptions!$A$7:$D$11,3,FALSE),3)+IFERROR(VLOOKUP(U69,Assumptions!$A$7:$D$11,4,FALSE),8)/2-IF(AN69="",0,YEAR(TODAY())-AN69))</f>
        <v/>
      </c>
      <c r="X69" s="21">
        <f>T69*V69/(1+Assumptions!$B$3)^W69</f>
        <v/>
      </c>
      <c r="Y69" s="25">
        <f>IF(T69=0,"",ROUND(X69/T69*100,1))</f>
        <v/>
      </c>
      <c r="Z69" s="26">
        <f>X69*Assumptions!$B$4</f>
        <v/>
      </c>
      <c r="AA69" s="25">
        <f>IF(T69=0,"",ROUND(Z69/T69*100,1))</f>
        <v/>
      </c>
      <c r="AB69" s="26">
        <f>X69-Z69</f>
        <v/>
      </c>
      <c r="AC69" s="25">
        <f>IF(T69=0,"",ROUND((X69-Z69)/T69*100,1))</f>
        <v/>
      </c>
      <c r="AD69" s="27" t="inlineStr">
        <is>
          <t>ESTIMATED</t>
        </is>
      </c>
      <c r="AE69" s="28" t="inlineStr">
        <is>
          <t>https://assistjud.com.br/wp-content/uploads/elementor/forms/65098c80a5824.pdf</t>
        </is>
      </c>
      <c r="AF69" s="27" t="inlineStr">
        <is>
          <t>p19 r6</t>
        </is>
      </c>
      <c r="AG69" s="27" t="inlineStr">
        <is>
          <t>p19: R$ 2.002.544,34</t>
        </is>
      </c>
      <c r="AH69" s="27" t="inlineStr">
        <is>
          <t>AJ_LIST</t>
        </is>
      </c>
      <c r="AI69" s="27" t="inlineStr">
        <is>
          <t>2023-09-18</t>
        </is>
      </c>
      <c r="AJ69" s="27" t="inlineStr">
        <is>
          <t>OK_NO_TOTALS</t>
        </is>
      </c>
      <c r="AK69" s="29" t="inlineStr">
        <is>
          <t>8005129-09.2023.8.05.0039</t>
        </is>
      </c>
      <c r="AL69" s="29" t="inlineStr">
        <is>
          <t>TJBA</t>
        </is>
      </c>
      <c r="AM69" s="29" t="inlineStr">
        <is>
          <t>ACTIVE</t>
        </is>
      </c>
      <c r="AN69" s="29" t="n">
        <v>2023</v>
      </c>
      <c r="AO69" s="29" t="inlineStr">
        <is>
          <t>live case, no plan document yet</t>
        </is>
      </c>
      <c r="AP69" s="29" t="inlineStr">
        <is>
          <t>CARAPICUIBA</t>
        </is>
      </c>
      <c r="AQ69" s="29" t="inlineStr">
        <is>
          <t>SP</t>
        </is>
      </c>
      <c r="AR69" s="29" t="inlineStr">
        <is>
          <t>Fabricação de outras máquinas e equipamentos de uso geral não especificados anteriormente, peças e acessórios</t>
        </is>
      </c>
      <c r="AS69" s="29" t="inlineStr">
        <is>
          <t>DEMAIS</t>
        </is>
      </c>
      <c r="AT69" s="29" t="inlineStr">
        <is>
          <t>MID-MARKET</t>
        </is>
      </c>
      <c r="AU69" s="29" t="inlineStr">
        <is>
          <t>71799001</t>
        </is>
      </c>
      <c r="AV69" s="29" t="n">
        <v>1</v>
      </c>
      <c r="AW69" s="29" t="inlineStr">
        <is>
          <t>ROWS:p19r6 UNRECONCILED_SOURCE</t>
        </is>
      </c>
    </row>
    <row r="70">
      <c r="A70" s="15" t="inlineStr">
        <is>
          <t>AGRO INDUSTRIA NUTRIHORTO LTDA</t>
        </is>
      </c>
      <c r="B70" s="16" t="n">
        <v>1993755.38</v>
      </c>
      <c r="C70" s="17" t="inlineStr">
        <is>
          <t>BBR AGRO SUPLEMENTOS LTDA EM RECUPERACAO JUDICIAL</t>
        </is>
      </c>
      <c r="D70" s="18" t="inlineStr">
        <is>
          <t>NEW</t>
        </is>
      </c>
      <c r="E70" s="19" t="inlineStr"/>
      <c r="F70" s="18" t="inlineStr"/>
      <c r="G70" s="19" t="inlineStr"/>
      <c r="H70" s="18" t="inlineStr"/>
      <c r="I70" s="20" t="inlineStr">
        <is>
          <t>Valeria Zuca</t>
        </is>
      </c>
      <c r="J70" s="20" t="inlineStr">
        <is>
          <t>Director</t>
        </is>
      </c>
      <c r="K70" s="20" t="inlineStr">
        <is>
          <t>(19) 3199-1270</t>
        </is>
      </c>
      <c r="L70" s="20" t="inlineStr"/>
      <c r="M70" s="20" t="inlineStr"/>
      <c r="N70" s="20" t="inlineStr"/>
      <c r="O70" s="20" t="inlineStr"/>
      <c r="P70" s="20" t="inlineStr"/>
      <c r="Q70" s="20" t="inlineStr"/>
      <c r="R70" s="20" t="inlineStr"/>
      <c r="S70" s="20" t="inlineStr"/>
      <c r="T70" s="21" t="n">
        <v>1993755.38</v>
      </c>
      <c r="U70" s="22" t="inlineStr">
        <is>
          <t>B</t>
        </is>
      </c>
      <c r="V70" s="23">
        <f>IFERROR(VLOOKUP(U70,Assumptions!$A$7:$D$11,2,FALSE),0)</f>
        <v/>
      </c>
      <c r="W70" s="24">
        <f>MAX(0.5,IFERROR(VLOOKUP(U70,Assumptions!$A$7:$D$11,3,FALSE),3)+IFERROR(VLOOKUP(U70,Assumptions!$A$7:$D$11,4,FALSE),8)/2-IF(AN70="",0,YEAR(TODAY())-AN70))</f>
        <v/>
      </c>
      <c r="X70" s="21">
        <f>T70*V70/(1+Assumptions!$B$3)^W70</f>
        <v/>
      </c>
      <c r="Y70" s="25">
        <f>IF(T70=0,"",ROUND(X70/T70*100,1))</f>
        <v/>
      </c>
      <c r="Z70" s="26">
        <f>X70*Assumptions!$B$4</f>
        <v/>
      </c>
      <c r="AA70" s="25">
        <f>IF(T70=0,"",ROUND(Z70/T70*100,1))</f>
        <v/>
      </c>
      <c r="AB70" s="26">
        <f>X70-Z70</f>
        <v/>
      </c>
      <c r="AC70" s="25">
        <f>IF(T70=0,"",ROUND((X70-Z70)/T70*100,1))</f>
        <v/>
      </c>
      <c r="AD70" s="27" t="inlineStr">
        <is>
          <t>ESTIMATED</t>
        </is>
      </c>
      <c r="AE70" s="28" t="inlineStr">
        <is>
          <t>https://ajruiz.com.br/sites/default/files/public/arquivos-processos/2026-06/alto_uruguai_qgc_junho.2026.pdf</t>
        </is>
      </c>
      <c r="AF70" s="27" t="inlineStr">
        <is>
          <t>p1 r3</t>
        </is>
      </c>
      <c r="AG70" s="27" t="inlineStr">
        <is>
          <t>p1: R$ 1.993.755,38</t>
        </is>
      </c>
      <c r="AH70" s="27" t="inlineStr">
        <is>
          <t>UNKNOWN</t>
        </is>
      </c>
      <c r="AI70" s="27" t="inlineStr"/>
      <c r="AJ70" s="27" t="inlineStr">
        <is>
          <t>OK</t>
        </is>
      </c>
      <c r="AK70" s="29" t="inlineStr">
        <is>
          <t>5012743-51.2023.8.24.0019</t>
        </is>
      </c>
      <c r="AL70" s="29" t="inlineStr">
        <is>
          <t>TJSC</t>
        </is>
      </c>
      <c r="AM70" s="29" t="inlineStr">
        <is>
          <t>ACTIVE</t>
        </is>
      </c>
      <c r="AN70" s="29" t="n">
        <v>2023</v>
      </c>
      <c r="AO70" s="29" t="inlineStr">
        <is>
          <t>live case, no plan document yet</t>
        </is>
      </c>
      <c r="AP70" s="29" t="inlineStr">
        <is>
          <t>MONTE MOR</t>
        </is>
      </c>
      <c r="AQ70" s="29" t="inlineStr">
        <is>
          <t>SP</t>
        </is>
      </c>
      <c r="AR70" s="29" t="inlineStr">
        <is>
          <t>Recuperação de materiais não especificados anteriormente</t>
        </is>
      </c>
      <c r="AS70" s="29" t="inlineStr">
        <is>
          <t>DEMAIS</t>
        </is>
      </c>
      <c r="AT70" s="29" t="inlineStr">
        <is>
          <t>MID-MARKET</t>
        </is>
      </c>
      <c r="AU70" s="29" t="inlineStr">
        <is>
          <t>29652131</t>
        </is>
      </c>
      <c r="AV70" s="29" t="n">
        <v>1</v>
      </c>
      <c r="AW70" s="29" t="inlineStr">
        <is>
          <t>ROWS:p1r3 VALUE_COL:Valor_Do_Crédito</t>
        </is>
      </c>
    </row>
    <row r="71">
      <c r="A71" s="15" t="inlineStr">
        <is>
          <t>SUZANO S.A.</t>
        </is>
      </c>
      <c r="B71" s="16" t="n">
        <v>5686333.34</v>
      </c>
      <c r="C71" s="17" t="inlineStr"/>
      <c r="D71" s="18" t="inlineStr">
        <is>
          <t>NEW</t>
        </is>
      </c>
      <c r="E71" s="19" t="inlineStr"/>
      <c r="F71" s="18" t="inlineStr"/>
      <c r="G71" s="19" t="inlineStr"/>
      <c r="H71" s="18" t="inlineStr"/>
      <c r="I71" s="20" t="inlineStr">
        <is>
          <t>Erik Santos</t>
        </is>
      </c>
      <c r="J71" s="20" t="inlineStr">
        <is>
          <t>Analista Contas a Receber Sênior - CSC</t>
        </is>
      </c>
      <c r="K71" s="20" t="inlineStr">
        <is>
          <t>(11) 3636-5000</t>
        </is>
      </c>
      <c r="L71" s="20" t="inlineStr"/>
      <c r="M71" s="20" t="inlineStr"/>
      <c r="N71" s="20" t="inlineStr"/>
      <c r="O71" s="20" t="inlineStr">
        <is>
          <t>fabiolira@suzano.com.br</t>
        </is>
      </c>
      <c r="P71" s="20" t="inlineStr">
        <is>
          <t>Fabio Lira</t>
        </is>
      </c>
      <c r="Q71" s="20" t="inlineStr">
        <is>
          <t>Analista de Contas a Receber Jr</t>
        </is>
      </c>
      <c r="R71" s="20" t="inlineStr"/>
      <c r="S71" s="20" t="inlineStr">
        <is>
          <t>fabiolira@suzano.com.br</t>
        </is>
      </c>
      <c r="T71" s="21" t="n">
        <v>5686333.34</v>
      </c>
      <c r="U71" s="30" t="inlineStr">
        <is>
          <t>?</t>
        </is>
      </c>
      <c r="V71" s="23">
        <f>IFERROR(VLOOKUP(U71,Assumptions!$A$7:$D$11,2,FALSE),0)</f>
        <v/>
      </c>
      <c r="W71" s="24">
        <f>MAX(0.5,IFERROR(VLOOKUP(U71,Assumptions!$A$7:$D$11,3,FALSE),3)+IFERROR(VLOOKUP(U71,Assumptions!$A$7:$D$11,4,FALSE),8)/2-IF(AN71="",0,YEAR(TODAY())-AN71))</f>
        <v/>
      </c>
      <c r="X71" s="21">
        <f>T71*V71/(1+Assumptions!$B$3)^W71</f>
        <v/>
      </c>
      <c r="Y71" s="25">
        <f>IF(T71=0,"",ROUND(X71/T71*100,1))</f>
        <v/>
      </c>
      <c r="Z71" s="26">
        <f>X71*Assumptions!$B$4</f>
        <v/>
      </c>
      <c r="AA71" s="25">
        <f>IF(T71=0,"",ROUND(Z71/T71*100,1))</f>
        <v/>
      </c>
      <c r="AB71" s="26">
        <f>X71-Z71</f>
        <v/>
      </c>
      <c r="AC71" s="25">
        <f>IF(T71=0,"",ROUND((X71-Z71)/T71*100,1))</f>
        <v/>
      </c>
      <c r="AD71" s="27" t="inlineStr">
        <is>
          <t>UNKNOWN</t>
        </is>
      </c>
      <c r="AE71" s="28" t="inlineStr">
        <is>
          <t>https://ajruiz.com.br/sites/default/files/public/arquivos-processos/2023-11/4_relacao_de_credores_analitica_art._51_iii_da_lre.pdf</t>
        </is>
      </c>
      <c r="AF71" s="27" t="inlineStr">
        <is>
          <t>p4 r14</t>
        </is>
      </c>
      <c r="AG71" s="27" t="inlineStr">
        <is>
          <t>p4: R$ 5.686.333,34</t>
        </is>
      </c>
      <c r="AH71" s="27" t="inlineStr">
        <is>
          <t>UNKNOWN</t>
        </is>
      </c>
      <c r="AI71" s="27" t="inlineStr"/>
      <c r="AJ71" s="27" t="inlineStr">
        <is>
          <t>OK</t>
        </is>
      </c>
      <c r="AK71" s="29" t="inlineStr">
        <is>
          <t>(not printed)</t>
        </is>
      </c>
      <c r="AL71" s="29" t="inlineStr"/>
      <c r="AM71" s="29" t="inlineStr"/>
      <c r="AN71" s="29" t="inlineStr"/>
      <c r="AO71" s="29" t="inlineStr">
        <is>
          <t>RJ case number not identified on the document</t>
        </is>
      </c>
      <c r="AP71" s="29" t="inlineStr">
        <is>
          <t>SALVADOR</t>
        </is>
      </c>
      <c r="AQ71" s="29" t="inlineStr">
        <is>
          <t>BA</t>
        </is>
      </c>
      <c r="AR71" s="29" t="inlineStr">
        <is>
          <t>Fabricação de celulose e outras pastas para a fabricação de papel</t>
        </is>
      </c>
      <c r="AS71" s="29" t="inlineStr">
        <is>
          <t>DEMAIS</t>
        </is>
      </c>
      <c r="AT71" s="29" t="inlineStr">
        <is>
          <t>LARGE CORP</t>
        </is>
      </c>
      <c r="AU71" s="29" t="inlineStr">
        <is>
          <t>16404287</t>
        </is>
      </c>
      <c r="AV71" s="29" t="n">
        <v>1</v>
      </c>
      <c r="AW71" s="29" t="inlineStr">
        <is>
          <t>ROWS:p4r14 CASE_NUMBER_CORRECTED</t>
        </is>
      </c>
    </row>
    <row r="72">
      <c r="A72" s="15" t="inlineStr">
        <is>
          <t>VEGETAL AGRONEGOCIOS LTDA</t>
        </is>
      </c>
      <c r="B72" s="16" t="n">
        <v>3014807.2</v>
      </c>
      <c r="C72" s="17" t="inlineStr">
        <is>
          <t>NORTESUL COMERCIAL AGRICOLA LTDA EM RECUPERACAO JUDICIAL</t>
        </is>
      </c>
      <c r="D72" s="18" t="inlineStr">
        <is>
          <t>NEW</t>
        </is>
      </c>
      <c r="E72" s="19" t="inlineStr"/>
      <c r="F72" s="18" t="inlineStr"/>
      <c r="G72" s="19" t="inlineStr"/>
      <c r="H72" s="18" t="inlineStr"/>
      <c r="I72" s="20" t="inlineStr">
        <is>
          <t>Phelipy Goulart</t>
        </is>
      </c>
      <c r="J72" s="20" t="inlineStr">
        <is>
          <t>Administrative and Financial Manager</t>
        </is>
      </c>
      <c r="K72" s="20" t="inlineStr">
        <is>
          <t>(61) 3234-8485</t>
        </is>
      </c>
      <c r="L72" s="20" t="inlineStr"/>
      <c r="M72" s="20" t="inlineStr"/>
      <c r="N72" s="20" t="inlineStr">
        <is>
          <t>phelipy@vegetalagro.com.br</t>
        </is>
      </c>
      <c r="O72" s="20" t="inlineStr">
        <is>
          <t>lidiane@vegetalagro.com.br</t>
        </is>
      </c>
      <c r="P72" s="20" t="inlineStr">
        <is>
          <t>Lidiane Fernandes</t>
        </is>
      </c>
      <c r="Q72" s="20" t="inlineStr">
        <is>
          <t>Gestora de Crédito e Cobrança.</t>
        </is>
      </c>
      <c r="R72" s="20" t="inlineStr"/>
      <c r="S72" s="20" t="inlineStr">
        <is>
          <t>lidiane@vegetalagro.com.br</t>
        </is>
      </c>
      <c r="T72" s="21" t="n">
        <v>3014807.2</v>
      </c>
      <c r="U72" s="22" t="inlineStr">
        <is>
          <t>B</t>
        </is>
      </c>
      <c r="V72" s="23">
        <f>IFERROR(VLOOKUP(U72,Assumptions!$A$7:$D$11,2,FALSE),0)</f>
        <v/>
      </c>
      <c r="W72" s="24">
        <f>MAX(0.5,IFERROR(VLOOKUP(U72,Assumptions!$A$7:$D$11,3,FALSE),3)+IFERROR(VLOOKUP(U72,Assumptions!$A$7:$D$11,4,FALSE),8)/2-IF(AN72="",0,YEAR(TODAY())-AN72))</f>
        <v/>
      </c>
      <c r="X72" s="21">
        <f>T72*V72/(1+Assumptions!$B$3)^W72</f>
        <v/>
      </c>
      <c r="Y72" s="25">
        <f>IF(T72=0,"",ROUND(X72/T72*100,1))</f>
        <v/>
      </c>
      <c r="Z72" s="26">
        <f>X72*Assumptions!$B$4</f>
        <v/>
      </c>
      <c r="AA72" s="25">
        <f>IF(T72=0,"",ROUND(Z72/T72*100,1))</f>
        <v/>
      </c>
      <c r="AB72" s="26">
        <f>X72-Z72</f>
        <v/>
      </c>
      <c r="AC72" s="25">
        <f>IF(T72=0,"",ROUND((X72-Z72)/T72*100,1))</f>
        <v/>
      </c>
      <c r="AD72" s="27" t="inlineStr">
        <is>
          <t>ESTIMATED</t>
        </is>
      </c>
      <c r="AE72" s="28" t="inlineStr">
        <is>
          <t>https://lrflideres.com.br/wp-content/plugins/download-attachments/includes/download.php?id=6879</t>
        </is>
      </c>
      <c r="AF72" s="27" t="inlineStr">
        <is>
          <t>p2 r13</t>
        </is>
      </c>
      <c r="AG72" s="27" t="inlineStr">
        <is>
          <t>p2: R$ 3.014.807,20</t>
        </is>
      </c>
      <c r="AH72" s="27" t="inlineStr">
        <is>
          <t>AJ_LIST</t>
        </is>
      </c>
      <c r="AI72" s="27" t="inlineStr">
        <is>
          <t>2026-01-15</t>
        </is>
      </c>
      <c r="AJ72" s="27" t="inlineStr">
        <is>
          <t>OK</t>
        </is>
      </c>
      <c r="AK72" s="29" t="inlineStr">
        <is>
          <t>0804401-51.2025.8.14.0039</t>
        </is>
      </c>
      <c r="AL72" s="29" t="inlineStr">
        <is>
          <t>TJPA</t>
        </is>
      </c>
      <c r="AM72" s="29" t="inlineStr">
        <is>
          <t>ACTIVE</t>
        </is>
      </c>
      <c r="AN72" s="29" t="n">
        <v>2025</v>
      </c>
      <c r="AO72" s="29" t="inlineStr">
        <is>
          <t>live case, no plan document yet</t>
        </is>
      </c>
      <c r="AP72" s="29" t="inlineStr">
        <is>
          <t>BRASILIA</t>
        </is>
      </c>
      <c r="AQ72" s="29" t="inlineStr">
        <is>
          <t>DF</t>
        </is>
      </c>
      <c r="AR72" s="29" t="inlineStr">
        <is>
          <t>Comércio atacadista de defensivos agrícolas, adubos, fertilizantes e corretivos do solo</t>
        </is>
      </c>
      <c r="AS72" s="29" t="inlineStr">
        <is>
          <t>DEMAIS</t>
        </is>
      </c>
      <c r="AT72" s="29" t="inlineStr">
        <is>
          <t>MID-MARKET</t>
        </is>
      </c>
      <c r="AU72" s="29" t="inlineStr">
        <is>
          <t>05429994</t>
        </is>
      </c>
      <c r="AV72" s="29" t="n">
        <v>1</v>
      </c>
      <c r="AW72" s="29" t="inlineStr">
        <is>
          <t>ROWS:p2r13</t>
        </is>
      </c>
    </row>
    <row r="73">
      <c r="A73" s="15" t="inlineStr">
        <is>
          <t>TRESBOMM COMERCIO E EXPORTACAO DE GRAOS LTDA EM RECUPERACAO JUDICIAL</t>
        </is>
      </c>
      <c r="B73" s="16" t="n">
        <v>2398511.33</v>
      </c>
      <c r="C73" s="17" t="inlineStr"/>
      <c r="D73" s="18" t="inlineStr">
        <is>
          <t>NEW</t>
        </is>
      </c>
      <c r="E73" s="19" t="inlineStr"/>
      <c r="F73" s="18" t="inlineStr"/>
      <c r="G73" s="19" t="inlineStr"/>
      <c r="H73" s="18" t="inlineStr"/>
      <c r="I73" s="20" t="inlineStr">
        <is>
          <t>Rafaela Radtke</t>
        </is>
      </c>
      <c r="J73" s="20" t="inlineStr">
        <is>
          <t>Coordenadora de Controladoria</t>
        </is>
      </c>
      <c r="K73" s="20" t="inlineStr">
        <is>
          <t>(44) 3649-1240</t>
        </is>
      </c>
      <c r="L73" s="20" t="inlineStr"/>
      <c r="M73" s="20" t="inlineStr"/>
      <c r="N73" s="20" t="inlineStr">
        <is>
          <t>rafaela.sereniski@bomm.com.br</t>
        </is>
      </c>
      <c r="O73" s="20" t="inlineStr">
        <is>
          <t>leandro@bomm.com.br</t>
        </is>
      </c>
      <c r="P73" s="20" t="inlineStr">
        <is>
          <t>Leandro Rosa</t>
        </is>
      </c>
      <c r="Q73" s="20" t="inlineStr">
        <is>
          <t>Gerente de Agropecuária</t>
        </is>
      </c>
      <c r="R73" s="20" t="inlineStr"/>
      <c r="S73" s="20" t="inlineStr">
        <is>
          <t>leandro@bomm.com.br</t>
        </is>
      </c>
      <c r="T73" s="21" t="n">
        <v>2398511.33</v>
      </c>
      <c r="U73" s="22" t="inlineStr">
        <is>
          <t>B</t>
        </is>
      </c>
      <c r="V73" s="23">
        <f>IFERROR(VLOOKUP(U73,Assumptions!$A$7:$D$11,2,FALSE),0)</f>
        <v/>
      </c>
      <c r="W73" s="24">
        <f>MAX(0.5,IFERROR(VLOOKUP(U73,Assumptions!$A$7:$D$11,3,FALSE),3)+IFERROR(VLOOKUP(U73,Assumptions!$A$7:$D$11,4,FALSE),8)/2-IF(AN73="",0,YEAR(TODAY())-AN73))</f>
        <v/>
      </c>
      <c r="X73" s="21">
        <f>T73*V73/(1+Assumptions!$B$3)^W73</f>
        <v/>
      </c>
      <c r="Y73" s="25">
        <f>IF(T73=0,"",ROUND(X73/T73*100,1))</f>
        <v/>
      </c>
      <c r="Z73" s="26">
        <f>X73*Assumptions!$B$4</f>
        <v/>
      </c>
      <c r="AA73" s="25">
        <f>IF(T73=0,"",ROUND(Z73/T73*100,1))</f>
        <v/>
      </c>
      <c r="AB73" s="26">
        <f>X73-Z73</f>
        <v/>
      </c>
      <c r="AC73" s="25">
        <f>IF(T73=0,"",ROUND((X73-Z73)/T73*100,1))</f>
        <v/>
      </c>
      <c r="AD73" s="27" t="inlineStr">
        <is>
          <t>ESTIMATED</t>
        </is>
      </c>
      <c r="AE73" s="28" t="inlineStr">
        <is>
          <t>https://rlg-aj.com.br/wp-content/uploads/2024/11/07.-Relação-de-credores.pdf</t>
        </is>
      </c>
      <c r="AF73" s="27" t="inlineStr">
        <is>
          <t>p1 r36</t>
        </is>
      </c>
      <c r="AG73" s="27" t="inlineStr">
        <is>
          <t>p1: R$ 2.398.511,33</t>
        </is>
      </c>
      <c r="AH73" s="27" t="inlineStr">
        <is>
          <t>UNKNOWN</t>
        </is>
      </c>
      <c r="AI73" s="27" t="inlineStr"/>
      <c r="AJ73" s="27" t="inlineStr">
        <is>
          <t>OK_NO_TOTALS</t>
        </is>
      </c>
      <c r="AK73" s="29" t="inlineStr">
        <is>
          <t>5009149-92.2024.8.24.0019</t>
        </is>
      </c>
      <c r="AL73" s="29" t="inlineStr">
        <is>
          <t>TJSC</t>
        </is>
      </c>
      <c r="AM73" s="29" t="inlineStr">
        <is>
          <t>ACTIVE</t>
        </is>
      </c>
      <c r="AN73" s="29" t="n">
        <v>2024</v>
      </c>
      <c r="AO73" s="29" t="inlineStr">
        <is>
          <t>live case, no plan document yet</t>
        </is>
      </c>
      <c r="AP73" s="29" t="inlineStr">
        <is>
          <t>PALOTINA</t>
        </is>
      </c>
      <c r="AQ73" s="29" t="inlineStr">
        <is>
          <t>PR</t>
        </is>
      </c>
      <c r="AR73" s="29" t="inlineStr">
        <is>
          <t>Comércio atacadista de matérias-primas agrícolas não especificadas anteriormente</t>
        </is>
      </c>
      <c r="AS73" s="29" t="inlineStr">
        <is>
          <t>DEMAIS</t>
        </is>
      </c>
      <c r="AT73" s="29" t="inlineStr">
        <is>
          <t>MID-MARKET</t>
        </is>
      </c>
      <c r="AU73" s="29" t="inlineStr">
        <is>
          <t>15660513</t>
        </is>
      </c>
      <c r="AV73" s="29" t="n">
        <v>1</v>
      </c>
      <c r="AW73" s="29" t="inlineStr">
        <is>
          <t>ROWS:p1r36 UNRECONCILED_SOURCE</t>
        </is>
      </c>
    </row>
    <row r="74">
      <c r="A74" s="15" t="inlineStr">
        <is>
          <t>GEOLAB INDUSTRIA FARMACEUTICA S/A</t>
        </is>
      </c>
      <c r="B74" s="16" t="n">
        <v>1918724.72</v>
      </c>
      <c r="C74" s="17" t="inlineStr">
        <is>
          <t>VEV COMERCIO DE MEDICAMENTOS LTDA EM RECUPERACAO JUDICIAL</t>
        </is>
      </c>
      <c r="D74" s="18" t="inlineStr">
        <is>
          <t>NEW</t>
        </is>
      </c>
      <c r="E74" s="19" t="inlineStr"/>
      <c r="F74" s="18" t="inlineStr"/>
      <c r="G74" s="19" t="inlineStr"/>
      <c r="H74" s="18" t="inlineStr"/>
      <c r="I74" s="20" t="inlineStr">
        <is>
          <t>GEORGES HAJJAR JUNIOR</t>
        </is>
      </c>
      <c r="J74" s="20" t="inlineStr">
        <is>
          <t>Presidente</t>
        </is>
      </c>
      <c r="K74" s="20" t="inlineStr">
        <is>
          <t>(62) 4015-4000</t>
        </is>
      </c>
      <c r="L74" s="20" t="inlineStr"/>
      <c r="M74" s="20" t="inlineStr"/>
      <c r="N74" s="20" t="inlineStr"/>
      <c r="O74" s="20" t="inlineStr"/>
      <c r="P74" s="20" t="inlineStr">
        <is>
          <t>ANDRE LUIZ HAJJAR</t>
        </is>
      </c>
      <c r="Q74" s="20" t="inlineStr">
        <is>
          <t>Diretor</t>
        </is>
      </c>
      <c r="R74" s="20" t="inlineStr">
        <is>
          <t>(62) 4015-4000</t>
        </is>
      </c>
      <c r="S74" s="20" t="inlineStr"/>
      <c r="T74" s="21" t="n">
        <v>1918724.72</v>
      </c>
      <c r="U74" s="22" t="inlineStr">
        <is>
          <t>B</t>
        </is>
      </c>
      <c r="V74" s="23">
        <f>IFERROR(VLOOKUP(U74,Assumptions!$A$7:$D$11,2,FALSE),0)</f>
        <v/>
      </c>
      <c r="W74" s="24">
        <f>MAX(0.5,IFERROR(VLOOKUP(U74,Assumptions!$A$7:$D$11,3,FALSE),3)+IFERROR(VLOOKUP(U74,Assumptions!$A$7:$D$11,4,FALSE),8)/2-IF(AN74="",0,YEAR(TODAY())-AN74))</f>
        <v/>
      </c>
      <c r="X74" s="21">
        <f>T74*V74/(1+Assumptions!$B$3)^W74</f>
        <v/>
      </c>
      <c r="Y74" s="25">
        <f>IF(T74=0,"",ROUND(X74/T74*100,1))</f>
        <v/>
      </c>
      <c r="Z74" s="26">
        <f>X74*Assumptions!$B$4</f>
        <v/>
      </c>
      <c r="AA74" s="25">
        <f>IF(T74=0,"",ROUND(Z74/T74*100,1))</f>
        <v/>
      </c>
      <c r="AB74" s="26">
        <f>X74-Z74</f>
        <v/>
      </c>
      <c r="AC74" s="25">
        <f>IF(T74=0,"",ROUND((X74-Z74)/T74*100,1))</f>
        <v/>
      </c>
      <c r="AD74" s="27" t="inlineStr">
        <is>
          <t>ESTIMATED</t>
        </is>
      </c>
      <c r="AE74" s="28" t="inlineStr">
        <is>
          <t>https://marquesadmjudicial.com.br/sgc/download.php?file=files/processo_documento/processo_documento15293208032024_1_.pdf&amp;nome=Relação Nominal de Credores da AJ-Sintética</t>
        </is>
      </c>
      <c r="AF74" s="27" t="inlineStr">
        <is>
          <t>p26 r3</t>
        </is>
      </c>
      <c r="AG74" s="27" t="inlineStr">
        <is>
          <t>p26: R$ 1.918.724,72</t>
        </is>
      </c>
      <c r="AH74" s="27" t="inlineStr">
        <is>
          <t>AJ_LIST</t>
        </is>
      </c>
      <c r="AI74" s="27" t="inlineStr">
        <is>
          <t>2023-03-02</t>
        </is>
      </c>
      <c r="AJ74" s="27" t="inlineStr">
        <is>
          <t>QUARANTINED</t>
        </is>
      </c>
      <c r="AK74" s="29" t="inlineStr">
        <is>
          <t>0005010-98.2023.8.16.0001</t>
        </is>
      </c>
      <c r="AL74" s="29" t="inlineStr">
        <is>
          <t>TJPR</t>
        </is>
      </c>
      <c r="AM74" s="29" t="inlineStr">
        <is>
          <t>ACTIVE</t>
        </is>
      </c>
      <c r="AN74" s="29" t="n">
        <v>2023</v>
      </c>
      <c r="AO74" s="29" t="inlineStr">
        <is>
          <t>live case, no plan document yet</t>
        </is>
      </c>
      <c r="AP74" s="29" t="inlineStr">
        <is>
          <t>ANAPOLIS</t>
        </is>
      </c>
      <c r="AQ74" s="29" t="inlineStr">
        <is>
          <t>GO</t>
        </is>
      </c>
      <c r="AR74" s="29" t="inlineStr">
        <is>
          <t>Fabricação de medicamentos alopáticos para uso humano</t>
        </is>
      </c>
      <c r="AS74" s="29" t="inlineStr">
        <is>
          <t>DEMAIS</t>
        </is>
      </c>
      <c r="AT74" s="29" t="inlineStr">
        <is>
          <t>LARGE CORP</t>
        </is>
      </c>
      <c r="AU74" s="29" t="inlineStr">
        <is>
          <t>03485572</t>
        </is>
      </c>
      <c r="AV74" s="29" t="n">
        <v>1</v>
      </c>
      <c r="AW74" s="29" t="inlineStr">
        <is>
          <t>PARTIAL_DOC_CLASS_III_RECONCILED ROWS:p26r3</t>
        </is>
      </c>
    </row>
    <row r="75">
      <c r="A75" s="15" t="inlineStr">
        <is>
          <t>SOCIEDADE ESPORTIVA PALMEIRAS</t>
        </is>
      </c>
      <c r="B75" s="16" t="n">
        <v>1867912.24</v>
      </c>
      <c r="C75" s="17" t="inlineStr">
        <is>
          <t>CLUBE NAUTICO CAPIBARIBE - EM RECUPERACAO JUDICIAL</t>
        </is>
      </c>
      <c r="D75" s="18" t="inlineStr">
        <is>
          <t>NEW</t>
        </is>
      </c>
      <c r="E75" s="19" t="inlineStr"/>
      <c r="F75" s="18" t="inlineStr"/>
      <c r="G75" s="19" t="inlineStr"/>
      <c r="H75" s="18" t="inlineStr"/>
      <c r="I75" s="20" t="inlineStr">
        <is>
          <t>Luciano Cavalli</t>
        </is>
      </c>
      <c r="J75" s="20" t="inlineStr">
        <is>
          <t>Diretor Executivo Administrativo</t>
        </is>
      </c>
      <c r="K75" s="20" t="inlineStr">
        <is>
          <t>(11) 3874-6500</t>
        </is>
      </c>
      <c r="L75" s="20" t="inlineStr">
        <is>
          <t>(11) 3679-7859</t>
        </is>
      </c>
      <c r="M75" s="20" t="inlineStr"/>
      <c r="N75" s="20" t="inlineStr">
        <is>
          <t>luciano.cavalli@palmeiras.com.br</t>
        </is>
      </c>
      <c r="O75" s="20" t="inlineStr"/>
      <c r="P75" s="20" t="inlineStr"/>
      <c r="Q75" s="20" t="inlineStr"/>
      <c r="R75" s="20" t="inlineStr"/>
      <c r="S75" s="20" t="inlineStr"/>
      <c r="T75" s="21" t="n">
        <v>1867912.24</v>
      </c>
      <c r="U75" s="22" t="inlineStr">
        <is>
          <t>B</t>
        </is>
      </c>
      <c r="V75" s="23">
        <f>IFERROR(VLOOKUP(U75,Assumptions!$A$7:$D$11,2,FALSE),0)</f>
        <v/>
      </c>
      <c r="W75" s="24">
        <f>MAX(0.5,IFERROR(VLOOKUP(U75,Assumptions!$A$7:$D$11,3,FALSE),3)+IFERROR(VLOOKUP(U75,Assumptions!$A$7:$D$11,4,FALSE),8)/2-IF(AN75="",0,YEAR(TODAY())-AN75))</f>
        <v/>
      </c>
      <c r="X75" s="21">
        <f>T75*V75/(1+Assumptions!$B$3)^W75</f>
        <v/>
      </c>
      <c r="Y75" s="25">
        <f>IF(T75=0,"",ROUND(X75/T75*100,1))</f>
        <v/>
      </c>
      <c r="Z75" s="26">
        <f>X75*Assumptions!$B$4</f>
        <v/>
      </c>
      <c r="AA75" s="25">
        <f>IF(T75=0,"",ROUND(Z75/T75*100,1))</f>
        <v/>
      </c>
      <c r="AB75" s="26">
        <f>X75-Z75</f>
        <v/>
      </c>
      <c r="AC75" s="25">
        <f>IF(T75=0,"",ROUND((X75-Z75)/T75*100,1))</f>
        <v/>
      </c>
      <c r="AD75" s="27" t="inlineStr">
        <is>
          <t>ESTIMATED</t>
        </is>
      </c>
      <c r="AE75" s="28" t="inlineStr">
        <is>
          <t>https://lrflideres.com.br/wp-content/plugins/download-attachments/includes/download.php?id=5589</t>
        </is>
      </c>
      <c r="AF75" s="27" t="inlineStr">
        <is>
          <t>p12 r43</t>
        </is>
      </c>
      <c r="AG75" s="27" t="inlineStr">
        <is>
          <t>p12: R$ 1.867.912,24</t>
        </is>
      </c>
      <c r="AH75" s="27" t="inlineStr">
        <is>
          <t>AJ_LIST</t>
        </is>
      </c>
      <c r="AI75" s="27" t="inlineStr">
        <is>
          <t>2023-11-27</t>
        </is>
      </c>
      <c r="AJ75" s="27" t="inlineStr">
        <is>
          <t>QUARANTINED</t>
        </is>
      </c>
      <c r="AK75" s="29" t="inlineStr">
        <is>
          <t>0011283-80.2023.8.17.2001</t>
        </is>
      </c>
      <c r="AL75" s="29" t="inlineStr">
        <is>
          <t>TJPE</t>
        </is>
      </c>
      <c r="AM75" s="29" t="inlineStr">
        <is>
          <t>ACTIVE</t>
        </is>
      </c>
      <c r="AN75" s="29" t="n">
        <v>2023</v>
      </c>
      <c r="AO75" s="29" t="inlineStr">
        <is>
          <t>live case, no plan document yet</t>
        </is>
      </c>
      <c r="AP75" s="29" t="inlineStr">
        <is>
          <t>SAO PAULO</t>
        </is>
      </c>
      <c r="AQ75" s="29" t="inlineStr">
        <is>
          <t>SP</t>
        </is>
      </c>
      <c r="AR75" s="29" t="inlineStr">
        <is>
          <t>Clubes sociais, esportivos e similares</t>
        </is>
      </c>
      <c r="AS75" s="29" t="inlineStr">
        <is>
          <t>DEMAIS</t>
        </is>
      </c>
      <c r="AT75" s="29" t="inlineStr">
        <is>
          <t>MID-MARKET</t>
        </is>
      </c>
      <c r="AU75" s="29" t="inlineStr">
        <is>
          <t>61750345</t>
        </is>
      </c>
      <c r="AV75" s="29" t="n">
        <v>1</v>
      </c>
      <c r="AW75" s="29" t="inlineStr">
        <is>
          <t>PARTIAL_DOC_CLASS_III_RECONCILED ROWS:p12r43</t>
        </is>
      </c>
    </row>
    <row r="76">
      <c r="A76" s="15" t="inlineStr">
        <is>
          <t>IRANY COMERCIO EXTERIOR LTDA</t>
        </is>
      </c>
      <c r="B76" s="16" t="n">
        <v>2916553.74</v>
      </c>
      <c r="C76" s="17" t="inlineStr">
        <is>
          <t>BACKES SOLUCOES LTDA</t>
        </is>
      </c>
      <c r="D76" s="18" t="inlineStr">
        <is>
          <t>NEW</t>
        </is>
      </c>
      <c r="E76" s="19" t="inlineStr"/>
      <c r="F76" s="18" t="inlineStr"/>
      <c r="G76" s="19" t="inlineStr"/>
      <c r="H76" s="18" t="inlineStr"/>
      <c r="I76" s="20" t="inlineStr">
        <is>
          <t>IRANY GASPAR PACHECO DOS SANTOS</t>
        </is>
      </c>
      <c r="J76" s="20" t="inlineStr">
        <is>
          <t>Sócio-Administrador</t>
        </is>
      </c>
      <c r="K76" s="20" t="inlineStr">
        <is>
          <t>(42) 9871-7035</t>
        </is>
      </c>
      <c r="L76" s="20" t="inlineStr"/>
      <c r="M76" s="20" t="inlineStr"/>
      <c r="N76" s="20" t="inlineStr"/>
      <c r="O76" s="20" t="inlineStr"/>
      <c r="P76" s="20" t="inlineStr"/>
      <c r="Q76" s="20" t="inlineStr"/>
      <c r="R76" s="20" t="inlineStr"/>
      <c r="S76" s="20" t="inlineStr"/>
      <c r="T76" s="21" t="n">
        <v>2916553.74</v>
      </c>
      <c r="U76" s="22" t="inlineStr">
        <is>
          <t>B</t>
        </is>
      </c>
      <c r="V76" s="23">
        <f>IFERROR(VLOOKUP(U76,Assumptions!$A$7:$D$11,2,FALSE),0)</f>
        <v/>
      </c>
      <c r="W76" s="24">
        <f>MAX(0.5,IFERROR(VLOOKUP(U76,Assumptions!$A$7:$D$11,3,FALSE),3)+IFERROR(VLOOKUP(U76,Assumptions!$A$7:$D$11,4,FALSE),8)/2-IF(AN76="",0,YEAR(TODAY())-AN76))</f>
        <v/>
      </c>
      <c r="X76" s="21">
        <f>T76*V76/(1+Assumptions!$B$3)^W76</f>
        <v/>
      </c>
      <c r="Y76" s="25">
        <f>IF(T76=0,"",ROUND(X76/T76*100,1))</f>
        <v/>
      </c>
      <c r="Z76" s="26">
        <f>X76*Assumptions!$B$4</f>
        <v/>
      </c>
      <c r="AA76" s="25">
        <f>IF(T76=0,"",ROUND(Z76/T76*100,1))</f>
        <v/>
      </c>
      <c r="AB76" s="26">
        <f>X76-Z76</f>
        <v/>
      </c>
      <c r="AC76" s="25">
        <f>IF(T76=0,"",ROUND((X76-Z76)/T76*100,1))</f>
        <v/>
      </c>
      <c r="AD76" s="27" t="inlineStr">
        <is>
          <t>ESTIMATED</t>
        </is>
      </c>
      <c r="AE76" s="28" t="inlineStr">
        <is>
          <t>https://marquesadmjudicial.com.br/sgc/download.php?file=files/processo_documento/processo_documento18581929042026_1_.pdf&amp;nome=3º Edital - Relação de Credores e PRJ</t>
        </is>
      </c>
      <c r="AF76" s="27" t="inlineStr">
        <is>
          <t>p1 r46</t>
        </is>
      </c>
      <c r="AG76" s="27" t="inlineStr">
        <is>
          <t>p1: R$ 2.916.553,74</t>
        </is>
      </c>
      <c r="AH76" s="27" t="inlineStr">
        <is>
          <t>AJ_LIST</t>
        </is>
      </c>
      <c r="AI76" s="27" t="inlineStr">
        <is>
          <t>2025-09-12</t>
        </is>
      </c>
      <c r="AJ76" s="27" t="inlineStr">
        <is>
          <t>OK_NO_TOTALS</t>
        </is>
      </c>
      <c r="AK76" s="29" t="inlineStr">
        <is>
          <t>0043030-30.2025.8.16.0021</t>
        </is>
      </c>
      <c r="AL76" s="29" t="inlineStr">
        <is>
          <t>TJPR</t>
        </is>
      </c>
      <c r="AM76" s="29" t="inlineStr">
        <is>
          <t>ACTIVE</t>
        </is>
      </c>
      <c r="AN76" s="29" t="n">
        <v>2025</v>
      </c>
      <c r="AO76" s="29" t="inlineStr">
        <is>
          <t>live case, no plan document yet</t>
        </is>
      </c>
      <c r="AP76" s="29" t="inlineStr">
        <is>
          <t>ITAPOA</t>
        </is>
      </c>
      <c r="AQ76" s="29" t="inlineStr">
        <is>
          <t>SC</t>
        </is>
      </c>
      <c r="AR76" s="29" t="inlineStr">
        <is>
          <t>Comércio atacadista de cereais e leguminosas beneficiados</t>
        </is>
      </c>
      <c r="AS76" s="29" t="inlineStr">
        <is>
          <t>DEMAIS</t>
        </is>
      </c>
      <c r="AT76" s="29" t="inlineStr">
        <is>
          <t>MID-MARKET</t>
        </is>
      </c>
      <c r="AU76" s="29" t="inlineStr">
        <is>
          <t>47320705</t>
        </is>
      </c>
      <c r="AV76" s="29" t="n">
        <v>1</v>
      </c>
      <c r="AW76" s="29" t="inlineStr">
        <is>
          <t>ROWS:p1r46 UNRECONCILED_SOURCE</t>
        </is>
      </c>
    </row>
    <row r="77">
      <c r="A77" s="15" t="inlineStr">
        <is>
          <t>B S DISTRIBUIDORA DE PRODUTOS DE HIGIENE LTDA</t>
        </is>
      </c>
      <c r="B77" s="16" t="n">
        <v>1819744.46</v>
      </c>
      <c r="C77" s="17" t="inlineStr">
        <is>
          <t>VEV COMERCIO DE MEDICAMENTOS LTDA EM RECUPERACAO JUDICIAL</t>
        </is>
      </c>
      <c r="D77" s="18" t="inlineStr">
        <is>
          <t>NEW</t>
        </is>
      </c>
      <c r="E77" s="19" t="inlineStr"/>
      <c r="F77" s="18" t="inlineStr"/>
      <c r="G77" s="19" t="inlineStr"/>
      <c r="H77" s="18" t="inlineStr"/>
      <c r="I77" s="20" t="inlineStr">
        <is>
          <t>ANA CAROLINA DE MORAES FRANZINE</t>
        </is>
      </c>
      <c r="J77" s="20" t="inlineStr">
        <is>
          <t>Sócio-Administrador</t>
        </is>
      </c>
      <c r="K77" s="20" t="inlineStr">
        <is>
          <t>(11) 5103-5350</t>
        </is>
      </c>
      <c r="L77" s="20" t="inlineStr"/>
      <c r="M77" s="20" t="inlineStr"/>
      <c r="N77" s="20" t="inlineStr"/>
      <c r="O77" s="20" t="inlineStr"/>
      <c r="P77" s="20" t="inlineStr">
        <is>
          <t>RODRIGO REBELO DE MORAES</t>
        </is>
      </c>
      <c r="Q77" s="20" t="inlineStr">
        <is>
          <t>Sócio-Administrador</t>
        </is>
      </c>
      <c r="R77" s="20" t="inlineStr">
        <is>
          <t>(11) 5103-5350</t>
        </is>
      </c>
      <c r="S77" s="20" t="inlineStr"/>
      <c r="T77" s="21" t="n">
        <v>1819744.46</v>
      </c>
      <c r="U77" s="22" t="inlineStr">
        <is>
          <t>B</t>
        </is>
      </c>
      <c r="V77" s="23">
        <f>IFERROR(VLOOKUP(U77,Assumptions!$A$7:$D$11,2,FALSE),0)</f>
        <v/>
      </c>
      <c r="W77" s="24">
        <f>MAX(0.5,IFERROR(VLOOKUP(U77,Assumptions!$A$7:$D$11,3,FALSE),3)+IFERROR(VLOOKUP(U77,Assumptions!$A$7:$D$11,4,FALSE),8)/2-IF(AN77="",0,YEAR(TODAY())-AN77))</f>
        <v/>
      </c>
      <c r="X77" s="21">
        <f>T77*V77/(1+Assumptions!$B$3)^W77</f>
        <v/>
      </c>
      <c r="Y77" s="25">
        <f>IF(T77=0,"",ROUND(X77/T77*100,1))</f>
        <v/>
      </c>
      <c r="Z77" s="26">
        <f>X77*Assumptions!$B$4</f>
        <v/>
      </c>
      <c r="AA77" s="25">
        <f>IF(T77=0,"",ROUND(Z77/T77*100,1))</f>
        <v/>
      </c>
      <c r="AB77" s="26">
        <f>X77-Z77</f>
        <v/>
      </c>
      <c r="AC77" s="25">
        <f>IF(T77=0,"",ROUND((X77-Z77)/T77*100,1))</f>
        <v/>
      </c>
      <c r="AD77" s="27" t="inlineStr">
        <is>
          <t>ESTIMATED</t>
        </is>
      </c>
      <c r="AE77" s="28" t="inlineStr">
        <is>
          <t>https://marquesadmjudicial.com.br/sgc/download.php?file=files/processo_documento/processo_documento15293208032024_1_.pdf&amp;nome=Relação Nominal de Credores da AJ-Sintética</t>
        </is>
      </c>
      <c r="AF77" s="27" t="inlineStr">
        <is>
          <t>p20 r3</t>
        </is>
      </c>
      <c r="AG77" s="27" t="inlineStr">
        <is>
          <t>p20: R$ 1.819.744,46</t>
        </is>
      </c>
      <c r="AH77" s="27" t="inlineStr">
        <is>
          <t>AJ_LIST</t>
        </is>
      </c>
      <c r="AI77" s="27" t="inlineStr">
        <is>
          <t>2023-03-02</t>
        </is>
      </c>
      <c r="AJ77" s="27" t="inlineStr">
        <is>
          <t>QUARANTINED</t>
        </is>
      </c>
      <c r="AK77" s="29" t="inlineStr">
        <is>
          <t>0005010-98.2023.8.16.0001</t>
        </is>
      </c>
      <c r="AL77" s="29" t="inlineStr">
        <is>
          <t>TJPR</t>
        </is>
      </c>
      <c r="AM77" s="29" t="inlineStr">
        <is>
          <t>ACTIVE</t>
        </is>
      </c>
      <c r="AN77" s="29" t="n">
        <v>2023</v>
      </c>
      <c r="AO77" s="29" t="inlineStr">
        <is>
          <t>live case, no plan document yet</t>
        </is>
      </c>
      <c r="AP77" s="29" t="inlineStr">
        <is>
          <t>SAO PAULO</t>
        </is>
      </c>
      <c r="AQ77" s="29" t="inlineStr">
        <is>
          <t>SP</t>
        </is>
      </c>
      <c r="AR77" s="29" t="inlineStr">
        <is>
          <t>Comércio atacadista de cosméticos e produtos de perfumaria</t>
        </is>
      </c>
      <c r="AS77" s="29" t="inlineStr">
        <is>
          <t>DEMAIS</t>
        </is>
      </c>
      <c r="AT77" s="29" t="inlineStr">
        <is>
          <t>MID-MARKET</t>
        </is>
      </c>
      <c r="AU77" s="29" t="inlineStr">
        <is>
          <t>43587344</t>
        </is>
      </c>
      <c r="AV77" s="29" t="n">
        <v>1</v>
      </c>
      <c r="AW77" s="29" t="inlineStr">
        <is>
          <t>PARTIAL_DOC_CLASS_III_RECONCILED ROWS:p20r3</t>
        </is>
      </c>
    </row>
    <row r="78">
      <c r="A78" s="15" t="inlineStr">
        <is>
          <t>AGRO SAFRA INDUSTRIA E COMERCIO DE ADUBOS LTDA</t>
        </is>
      </c>
      <c r="B78" s="16" t="n">
        <v>1685996.32</v>
      </c>
      <c r="C78" s="17" t="inlineStr">
        <is>
          <t>JOAQUIM JOSE XAVIER ISAAC</t>
        </is>
      </c>
      <c r="D78" s="18" t="inlineStr">
        <is>
          <t>NEW</t>
        </is>
      </c>
      <c r="E78" s="19" t="inlineStr"/>
      <c r="F78" s="18" t="inlineStr"/>
      <c r="G78" s="19" t="inlineStr"/>
      <c r="H78" s="18" t="inlineStr"/>
      <c r="I78" s="20" t="inlineStr">
        <is>
          <t>Almir Souza</t>
        </is>
      </c>
      <c r="J78" s="20" t="inlineStr">
        <is>
          <t>Manager</t>
        </is>
      </c>
      <c r="K78" s="20" t="inlineStr">
        <is>
          <t>(01) 13687-5766</t>
        </is>
      </c>
      <c r="L78" s="20" t="inlineStr"/>
      <c r="M78" s="20" t="inlineStr"/>
      <c r="N78" s="20" t="inlineStr">
        <is>
          <t>rh@agro-safra.com.br</t>
        </is>
      </c>
      <c r="O78" s="20" t="inlineStr"/>
      <c r="P78" s="20" t="inlineStr">
        <is>
          <t>JOAQUIM JOSE XAVIER ISAAC</t>
        </is>
      </c>
      <c r="Q78" s="20" t="inlineStr">
        <is>
          <t>Sócio-Administrador</t>
        </is>
      </c>
      <c r="R78" s="20" t="inlineStr">
        <is>
          <t>(01) 13687-5766</t>
        </is>
      </c>
      <c r="S78" s="20" t="inlineStr"/>
      <c r="T78" s="21" t="n">
        <v>1685996.32</v>
      </c>
      <c r="U78" s="32" t="inlineStr">
        <is>
          <t>A</t>
        </is>
      </c>
      <c r="V78" s="23">
        <f>IFERROR(VLOOKUP(U78,Assumptions!$A$7:$D$11,2,FALSE),0)</f>
        <v/>
      </c>
      <c r="W78" s="24">
        <f>MAX(0.5,IFERROR(VLOOKUP(U78,Assumptions!$A$7:$D$11,3,FALSE),3)+IFERROR(VLOOKUP(U78,Assumptions!$A$7:$D$11,4,FALSE),8)/2-IF(AN78="",0,YEAR(TODAY())-AN78))</f>
        <v/>
      </c>
      <c r="X78" s="21">
        <f>T78*V78/(1+Assumptions!$B$3)^W78</f>
        <v/>
      </c>
      <c r="Y78" s="25">
        <f>IF(T78=0,"",ROUND(X78/T78*100,1))</f>
        <v/>
      </c>
      <c r="Z78" s="26">
        <f>X78*Assumptions!$B$4</f>
        <v/>
      </c>
      <c r="AA78" s="25">
        <f>IF(T78=0,"",ROUND(Z78/T78*100,1))</f>
        <v/>
      </c>
      <c r="AB78" s="26">
        <f>X78-Z78</f>
        <v/>
      </c>
      <c r="AC78" s="25">
        <f>IF(T78=0,"",ROUND((X78-Z78)/T78*100,1))</f>
        <v/>
      </c>
      <c r="AD78" s="27" t="inlineStr">
        <is>
          <t>CONFIRMED</t>
        </is>
      </c>
      <c r="AE78" s="28" t="inlineStr">
        <is>
          <t>https://vivanteaj.com.br/wp-content/uploads/2025/02/2a-lista-de-credores-Agro-Safra-e-outros.pdf</t>
        </is>
      </c>
      <c r="AF78" s="27" t="inlineStr">
        <is>
          <t>p3 r2</t>
        </is>
      </c>
      <c r="AG78" s="27" t="inlineStr">
        <is>
          <t>p3: R$ 1.685.996,32</t>
        </is>
      </c>
      <c r="AH78" s="27" t="inlineStr">
        <is>
          <t>UNKNOWN</t>
        </is>
      </c>
      <c r="AI78" s="27" t="inlineStr"/>
      <c r="AJ78" s="27" t="inlineStr">
        <is>
          <t>OK_NO_TOTALS</t>
        </is>
      </c>
      <c r="AK78" s="29" t="inlineStr">
        <is>
          <t>1003322-70.2024.8.26.0260</t>
        </is>
      </c>
      <c r="AL78" s="29" t="inlineStr">
        <is>
          <t>TJSP</t>
        </is>
      </c>
      <c r="AM78" s="29" t="inlineStr">
        <is>
          <t>ACTIVE</t>
        </is>
      </c>
      <c r="AN78" s="29" t="n">
        <v>2024</v>
      </c>
      <c r="AO78" s="29" t="inlineStr">
        <is>
          <t>plan/homologation document found</t>
        </is>
      </c>
      <c r="AP78" s="29" t="inlineStr">
        <is>
          <t>OSASCO</t>
        </is>
      </c>
      <c r="AQ78" s="29" t="inlineStr">
        <is>
          <t>SP</t>
        </is>
      </c>
      <c r="AR78" s="29" t="inlineStr">
        <is>
          <t>Fabricação de adubos e fertilizantes, exceto organo-minerais</t>
        </is>
      </c>
      <c r="AS78" s="29" t="inlineStr">
        <is>
          <t>DEMAIS</t>
        </is>
      </c>
      <c r="AT78" s="29" t="inlineStr">
        <is>
          <t>MID-MARKET</t>
        </is>
      </c>
      <c r="AU78" s="29" t="inlineStr">
        <is>
          <t>47827332</t>
        </is>
      </c>
      <c r="AV78" s="29" t="n">
        <v>1</v>
      </c>
      <c r="AW78" s="29" t="inlineStr">
        <is>
          <t>LONG_CHUNK MULTI_ROOT ROWS:p3r2 UNRECONCILED_SOURCE</t>
        </is>
      </c>
    </row>
    <row r="79">
      <c r="A79" s="15" t="inlineStr">
        <is>
          <t>CAMBUCI S/A</t>
        </is>
      </c>
      <c r="B79" s="16" t="n">
        <v>1782661.24</v>
      </c>
      <c r="C79" s="17" t="inlineStr">
        <is>
          <t>CLUBE NAUTICO CAPIBARIBE - EM RECUPERACAO JUDICIAL</t>
        </is>
      </c>
      <c r="D79" s="18" t="inlineStr">
        <is>
          <t>NEW</t>
        </is>
      </c>
      <c r="E79" s="19" t="inlineStr"/>
      <c r="F79" s="18" t="inlineStr"/>
      <c r="G79" s="19" t="inlineStr"/>
      <c r="H79" s="18" t="inlineStr"/>
      <c r="I79" s="20" t="inlineStr">
        <is>
          <t>ALEXANDRE SCHULER</t>
        </is>
      </c>
      <c r="J79" s="20" t="inlineStr">
        <is>
          <t>Presidente</t>
        </is>
      </c>
      <c r="K79" s="20" t="inlineStr">
        <is>
          <t>(11) 4713-9500</t>
        </is>
      </c>
      <c r="L79" s="20" t="inlineStr"/>
      <c r="M79" s="20" t="inlineStr"/>
      <c r="N79" s="20" t="inlineStr"/>
      <c r="O79" s="20" t="inlineStr"/>
      <c r="P79" s="20" t="inlineStr">
        <is>
          <t>EMERSON TSUNEJI SHIROMARU</t>
        </is>
      </c>
      <c r="Q79" s="20" t="inlineStr">
        <is>
          <t>Diretor</t>
        </is>
      </c>
      <c r="R79" s="20" t="inlineStr">
        <is>
          <t>(11) 4713-9500</t>
        </is>
      </c>
      <c r="S79" s="20" t="inlineStr"/>
      <c r="T79" s="21" t="n">
        <v>1782661.24</v>
      </c>
      <c r="U79" s="22" t="inlineStr">
        <is>
          <t>B</t>
        </is>
      </c>
      <c r="V79" s="23">
        <f>IFERROR(VLOOKUP(U79,Assumptions!$A$7:$D$11,2,FALSE),0)</f>
        <v/>
      </c>
      <c r="W79" s="24">
        <f>MAX(0.5,IFERROR(VLOOKUP(U79,Assumptions!$A$7:$D$11,3,FALSE),3)+IFERROR(VLOOKUP(U79,Assumptions!$A$7:$D$11,4,FALSE),8)/2-IF(AN79="",0,YEAR(TODAY())-AN79))</f>
        <v/>
      </c>
      <c r="X79" s="21">
        <f>T79*V79/(1+Assumptions!$B$3)^W79</f>
        <v/>
      </c>
      <c r="Y79" s="25">
        <f>IF(T79=0,"",ROUND(X79/T79*100,1))</f>
        <v/>
      </c>
      <c r="Z79" s="26">
        <f>X79*Assumptions!$B$4</f>
        <v/>
      </c>
      <c r="AA79" s="25">
        <f>IF(T79=0,"",ROUND(Z79/T79*100,1))</f>
        <v/>
      </c>
      <c r="AB79" s="26">
        <f>X79-Z79</f>
        <v/>
      </c>
      <c r="AC79" s="25">
        <f>IF(T79=0,"",ROUND((X79-Z79)/T79*100,1))</f>
        <v/>
      </c>
      <c r="AD79" s="27" t="inlineStr">
        <is>
          <t>ESTIMATED</t>
        </is>
      </c>
      <c r="AE79" s="28" t="inlineStr">
        <is>
          <t>https://lrflideres.com.br/wp-content/plugins/download-attachments/includes/download.php?id=5589</t>
        </is>
      </c>
      <c r="AF79" s="27" t="inlineStr">
        <is>
          <t>p11 r68</t>
        </is>
      </c>
      <c r="AG79" s="27" t="inlineStr">
        <is>
          <t>p11: R$ 1.782.661,24</t>
        </is>
      </c>
      <c r="AH79" s="27" t="inlineStr">
        <is>
          <t>AJ_LIST</t>
        </is>
      </c>
      <c r="AI79" s="27" t="inlineStr">
        <is>
          <t>2023-11-27</t>
        </is>
      </c>
      <c r="AJ79" s="27" t="inlineStr">
        <is>
          <t>QUARANTINED</t>
        </is>
      </c>
      <c r="AK79" s="29" t="inlineStr">
        <is>
          <t>0011283-80.2023.8.17.2001</t>
        </is>
      </c>
      <c r="AL79" s="29" t="inlineStr">
        <is>
          <t>TJPE</t>
        </is>
      </c>
      <c r="AM79" s="29" t="inlineStr">
        <is>
          <t>ACTIVE</t>
        </is>
      </c>
      <c r="AN79" s="29" t="n">
        <v>2023</v>
      </c>
      <c r="AO79" s="29" t="inlineStr">
        <is>
          <t>live case, no plan document yet</t>
        </is>
      </c>
      <c r="AP79" s="29" t="inlineStr">
        <is>
          <t>SAO PAULO</t>
        </is>
      </c>
      <c r="AQ79" s="29" t="inlineStr">
        <is>
          <t>SP</t>
        </is>
      </c>
      <c r="AR79" s="29" t="inlineStr">
        <is>
          <t>Fabricação de artefatos de couro não especificados anteriormente</t>
        </is>
      </c>
      <c r="AS79" s="29" t="inlineStr">
        <is>
          <t>DEMAIS</t>
        </is>
      </c>
      <c r="AT79" s="29" t="inlineStr">
        <is>
          <t>LARGE CORP</t>
        </is>
      </c>
      <c r="AU79" s="29" t="inlineStr">
        <is>
          <t>61088894</t>
        </is>
      </c>
      <c r="AV79" s="29" t="n">
        <v>1</v>
      </c>
      <c r="AW79" s="29" t="inlineStr">
        <is>
          <t>PARTIAL_DOC_CLASS_III_RECONCILED ROWS:p11r68</t>
        </is>
      </c>
    </row>
    <row r="80">
      <c r="A80" s="15" t="inlineStr">
        <is>
          <t>DISCOMED COMERCIO DE PRODUTOS HOSPITALARES LTDA</t>
        </is>
      </c>
      <c r="B80" s="16" t="n">
        <v>1372648.38</v>
      </c>
      <c r="C80" s="17" t="inlineStr">
        <is>
          <t>ASSOCIACAO DE CARIDADE SANTA CASA DE RIO GRANDE</t>
        </is>
      </c>
      <c r="D80" s="18" t="inlineStr">
        <is>
          <t>NEW</t>
        </is>
      </c>
      <c r="E80" s="19" t="inlineStr"/>
      <c r="F80" s="18" t="inlineStr"/>
      <c r="G80" s="19" t="inlineStr"/>
      <c r="H80" s="18" t="inlineStr"/>
      <c r="I80" s="20" t="inlineStr">
        <is>
          <t>David Feijo</t>
        </is>
      </c>
      <c r="J80" s="20" t="inlineStr">
        <is>
          <t>Financial Coordinator</t>
        </is>
      </c>
      <c r="K80" s="20" t="inlineStr"/>
      <c r="L80" s="20" t="inlineStr"/>
      <c r="M80" s="20" t="inlineStr"/>
      <c r="N80" s="20" t="inlineStr">
        <is>
          <t>david@discomed.com.br</t>
        </is>
      </c>
      <c r="O80" s="20" t="inlineStr">
        <is>
          <t>juliana@discomed.com.br</t>
        </is>
      </c>
      <c r="P80" s="20" t="inlineStr">
        <is>
          <t>Juliana Silveira</t>
        </is>
      </c>
      <c r="Q80" s="20" t="inlineStr">
        <is>
          <t>Financial / Controladoria</t>
        </is>
      </c>
      <c r="R80" s="20" t="inlineStr"/>
      <c r="S80" s="20" t="inlineStr">
        <is>
          <t>juliana@discomed.com.br</t>
        </is>
      </c>
      <c r="T80" s="21" t="n">
        <v>1372648.38</v>
      </c>
      <c r="U80" s="22" t="inlineStr">
        <is>
          <t>B</t>
        </is>
      </c>
      <c r="V80" s="23">
        <f>IFERROR(VLOOKUP(U80,Assumptions!$A$7:$D$11,2,FALSE),0)</f>
        <v/>
      </c>
      <c r="W80" s="24">
        <f>MAX(0.5,IFERROR(VLOOKUP(U80,Assumptions!$A$7:$D$11,3,FALSE),3)+IFERROR(VLOOKUP(U80,Assumptions!$A$7:$D$11,4,FALSE),8)/2-IF(AN80="",0,YEAR(TODAY())-AN80))</f>
        <v/>
      </c>
      <c r="X80" s="21">
        <f>T80*V80/(1+Assumptions!$B$3)^W80</f>
        <v/>
      </c>
      <c r="Y80" s="25">
        <f>IF(T80=0,"",ROUND(X80/T80*100,1))</f>
        <v/>
      </c>
      <c r="Z80" s="26">
        <f>X80*Assumptions!$B$4</f>
        <v/>
      </c>
      <c r="AA80" s="25">
        <f>IF(T80=0,"",ROUND(Z80/T80*100,1))</f>
        <v/>
      </c>
      <c r="AB80" s="26">
        <f>X80-Z80</f>
        <v/>
      </c>
      <c r="AC80" s="25">
        <f>IF(T80=0,"",ROUND((X80-Z80)/T80*100,1))</f>
        <v/>
      </c>
      <c r="AD80" s="27" t="inlineStr">
        <is>
          <t>ESTIMATED</t>
        </is>
      </c>
      <c r="AE80" s="28" t="inlineStr">
        <is>
          <t>https://scalzilliaj.com.br/sgc/download.php?file=files/processo_documento/processo_documento09120721032023_1_.pdf&amp;nome=15 - Edital do art. 7º, §2º e 53 da Lei 11.101/2005 (segunda lista de credores e recebimento do plano))</t>
        </is>
      </c>
      <c r="AF80" s="27" t="inlineStr">
        <is>
          <t>p27 r9</t>
        </is>
      </c>
      <c r="AG80" s="27" t="inlineStr">
        <is>
          <t>p27: R$ 1.372.648,38</t>
        </is>
      </c>
      <c r="AH80" s="27" t="inlineStr">
        <is>
          <t>AJ_LIST</t>
        </is>
      </c>
      <c r="AI80" s="27" t="inlineStr">
        <is>
          <t>2023-03-21</t>
        </is>
      </c>
      <c r="AJ80" s="27" t="inlineStr">
        <is>
          <t>OK_NO_TOTALS</t>
        </is>
      </c>
      <c r="AK80" s="29" t="inlineStr">
        <is>
          <t>5012306-16.2022.8.21.0023</t>
        </is>
      </c>
      <c r="AL80" s="29" t="inlineStr">
        <is>
          <t>TJRS</t>
        </is>
      </c>
      <c r="AM80" s="29" t="inlineStr">
        <is>
          <t>ACTIVE</t>
        </is>
      </c>
      <c r="AN80" s="29" t="n">
        <v>2022</v>
      </c>
      <c r="AO80" s="29" t="inlineStr">
        <is>
          <t>live case, no plan document yet</t>
        </is>
      </c>
      <c r="AP80" s="29" t="inlineStr">
        <is>
          <t>PORTO ALEGRE</t>
        </is>
      </c>
      <c r="AQ80" s="29" t="inlineStr">
        <is>
          <t>RS</t>
        </is>
      </c>
      <c r="AR80" s="29" t="inlineStr">
        <is>
          <t>Comércio atacadista de instrumentos e materiais para uso médico, cirúrgico, hospitalar e de laboratórios</t>
        </is>
      </c>
      <c r="AS80" s="29" t="inlineStr">
        <is>
          <t>DEMAIS</t>
        </is>
      </c>
      <c r="AT80" s="29" t="inlineStr">
        <is>
          <t>MID-MARKET</t>
        </is>
      </c>
      <c r="AU80" s="29" t="inlineStr">
        <is>
          <t>00417145</t>
        </is>
      </c>
      <c r="AV80" s="29" t="n">
        <v>1</v>
      </c>
      <c r="AW80" s="29" t="inlineStr">
        <is>
          <t>ROWS:p27r9 UNRECONCILED_SOURCE</t>
        </is>
      </c>
    </row>
    <row r="81">
      <c r="A81" s="15" t="inlineStr">
        <is>
          <t>VIBRA ENERGIA S.A</t>
        </is>
      </c>
      <c r="B81" s="16" t="n">
        <v>5004769.6</v>
      </c>
      <c r="C81" s="17" t="inlineStr">
        <is>
          <t>EGESA ENGENHARIA S/A (Consórcio ETDI)</t>
        </is>
      </c>
      <c r="D81" s="18" t="inlineStr">
        <is>
          <t>NEW</t>
        </is>
      </c>
      <c r="E81" s="19" t="inlineStr"/>
      <c r="F81" s="18" t="inlineStr"/>
      <c r="G81" s="19" t="inlineStr"/>
      <c r="H81" s="18" t="inlineStr"/>
      <c r="I81" s="20" t="inlineStr">
        <is>
          <t>ERNESTO PERES POUSADA JUNIOR</t>
        </is>
      </c>
      <c r="J81" s="20" t="inlineStr">
        <is>
          <t>Presidente</t>
        </is>
      </c>
      <c r="K81" s="20" t="inlineStr">
        <is>
          <t>(21) 2354-3151</t>
        </is>
      </c>
      <c r="L81" s="20" t="inlineStr">
        <is>
          <t>(21) 2354-3146</t>
        </is>
      </c>
      <c r="M81" s="20" t="inlineStr"/>
      <c r="N81" s="20" t="inlineStr"/>
      <c r="O81" s="20" t="inlineStr"/>
      <c r="P81" s="20" t="inlineStr">
        <is>
          <t>DANIEL DRUMOND CAMPOS E SILVA</t>
        </is>
      </c>
      <c r="Q81" s="20" t="inlineStr">
        <is>
          <t>Diretor</t>
        </is>
      </c>
      <c r="R81" s="20" t="inlineStr">
        <is>
          <t>(21) 2354-3146</t>
        </is>
      </c>
      <c r="S81" s="20" t="inlineStr"/>
      <c r="T81" s="21" t="n">
        <v>5004769.6</v>
      </c>
      <c r="U81" s="30" t="inlineStr">
        <is>
          <t>?</t>
        </is>
      </c>
      <c r="V81" s="23">
        <f>IFERROR(VLOOKUP(U81,Assumptions!$A$7:$D$11,2,FALSE),0)</f>
        <v/>
      </c>
      <c r="W81" s="24">
        <f>MAX(0.5,IFERROR(VLOOKUP(U81,Assumptions!$A$7:$D$11,3,FALSE),3)+IFERROR(VLOOKUP(U81,Assumptions!$A$7:$D$11,4,FALSE),8)/2-IF(AN81="",0,YEAR(TODAY())-AN81))</f>
        <v/>
      </c>
      <c r="X81" s="21">
        <f>T81*V81/(1+Assumptions!$B$3)^W81</f>
        <v/>
      </c>
      <c r="Y81" s="25">
        <f>IF(T81=0,"",ROUND(X81/T81*100,1))</f>
        <v/>
      </c>
      <c r="Z81" s="26">
        <f>X81*Assumptions!$B$4</f>
        <v/>
      </c>
      <c r="AA81" s="25">
        <f>IF(T81=0,"",ROUND(Z81/T81*100,1))</f>
        <v/>
      </c>
      <c r="AB81" s="26">
        <f>X81-Z81</f>
        <v/>
      </c>
      <c r="AC81" s="25">
        <f>IF(T81=0,"",ROUND((X81-Z81)/T81*100,1))</f>
        <v/>
      </c>
      <c r="AD81" s="27" t="inlineStr">
        <is>
          <t>UNKNOWN</t>
        </is>
      </c>
      <c r="AE81" s="28" t="inlineStr">
        <is>
          <t>https://scalzilliaj.com.br/sgc/download.php?file=files/processo_documento/processo_documento09514021082025_1_.pdf&amp;nome=04 - Relação de credores das Recuperandas</t>
        </is>
      </c>
      <c r="AF81" s="27" t="inlineStr">
        <is>
          <t>p71 r8; p76 r5</t>
        </is>
      </c>
      <c r="AG81" s="27" t="inlineStr">
        <is>
          <t>p71: R$ 396.274,51; p76: R$ 4.608.495,09</t>
        </is>
      </c>
      <c r="AH81" s="27" t="inlineStr">
        <is>
          <t>DEBTOR_LIST</t>
        </is>
      </c>
      <c r="AI81" s="27" t="inlineStr"/>
      <c r="AJ81" s="27" t="inlineStr">
        <is>
          <t>OK</t>
        </is>
      </c>
      <c r="AK81" s="29" t="inlineStr">
        <is>
          <t>(not printed)</t>
        </is>
      </c>
      <c r="AL81" s="29" t="inlineStr"/>
      <c r="AM81" s="29" t="inlineStr"/>
      <c r="AN81" s="29" t="inlineStr"/>
      <c r="AO81" s="29" t="inlineStr">
        <is>
          <t>RJ case number not identified on the document</t>
        </is>
      </c>
      <c r="AP81" s="29" t="inlineStr">
        <is>
          <t>RIO DE JANEIRO</t>
        </is>
      </c>
      <c r="AQ81" s="29" t="inlineStr">
        <is>
          <t>RJ</t>
        </is>
      </c>
      <c r="AR81" s="29" t="inlineStr">
        <is>
          <t>Comércio atacadista de álcool carburante, biodiesel, gasolina e demais derivados de petróleo, exceto lubrificantes, não realizado por transportador re</t>
        </is>
      </c>
      <c r="AS81" s="29" t="inlineStr">
        <is>
          <t>DEMAIS</t>
        </is>
      </c>
      <c r="AT81" s="29" t="inlineStr">
        <is>
          <t>LARGE CORP</t>
        </is>
      </c>
      <c r="AU81" s="29" t="inlineStr">
        <is>
          <t>34274233</t>
        </is>
      </c>
      <c r="AV81" s="29" t="n">
        <v>2</v>
      </c>
      <c r="AW81" s="29" t="inlineStr">
        <is>
          <t>ROWS:p71r8,p76r5 VALUE_COL:Valor_Atualizado CASE_NUMBER_CORRECTED</t>
        </is>
      </c>
    </row>
    <row r="82">
      <c r="A82" s="15" t="inlineStr">
        <is>
          <t>GERMED FARMACEUTICA LTDA</t>
        </is>
      </c>
      <c r="B82" s="16" t="n">
        <v>1695831.1</v>
      </c>
      <c r="C82" s="17" t="inlineStr">
        <is>
          <t>VEV COMERCIO DE MEDICAMENTOS LTDA EM RECUPERACAO JUDICIAL</t>
        </is>
      </c>
      <c r="D82" s="18" t="inlineStr">
        <is>
          <t>NEW</t>
        </is>
      </c>
      <c r="E82" s="19" t="inlineStr"/>
      <c r="F82" s="18" t="inlineStr"/>
      <c r="G82" s="19" t="inlineStr"/>
      <c r="H82" s="18" t="inlineStr"/>
      <c r="I82" s="20" t="inlineStr">
        <is>
          <t>GUSTAVO ANDRE REGIS DUTRA SVENSSON</t>
        </is>
      </c>
      <c r="J82" s="20" t="inlineStr">
        <is>
          <t>Administrador</t>
        </is>
      </c>
      <c r="K82" s="20" t="inlineStr">
        <is>
          <t>(19) 3887-9800</t>
        </is>
      </c>
      <c r="L82" s="20" t="inlineStr"/>
      <c r="M82" s="20" t="inlineStr"/>
      <c r="N82" s="20" t="inlineStr"/>
      <c r="O82" s="20" t="inlineStr"/>
      <c r="P82" s="20" t="inlineStr">
        <is>
          <t>TATIANA AZEVEDO VILLELA SANTOS FONTES</t>
        </is>
      </c>
      <c r="Q82" s="20" t="inlineStr">
        <is>
          <t>Administrador</t>
        </is>
      </c>
      <c r="R82" s="20" t="inlineStr">
        <is>
          <t>(19) 3887-9800</t>
        </is>
      </c>
      <c r="S82" s="20" t="inlineStr"/>
      <c r="T82" s="21" t="n">
        <v>1695831.1</v>
      </c>
      <c r="U82" s="22" t="inlineStr">
        <is>
          <t>B</t>
        </is>
      </c>
      <c r="V82" s="23">
        <f>IFERROR(VLOOKUP(U82,Assumptions!$A$7:$D$11,2,FALSE),0)</f>
        <v/>
      </c>
      <c r="W82" s="24">
        <f>MAX(0.5,IFERROR(VLOOKUP(U82,Assumptions!$A$7:$D$11,3,FALSE),3)+IFERROR(VLOOKUP(U82,Assumptions!$A$7:$D$11,4,FALSE),8)/2-IF(AN82="",0,YEAR(TODAY())-AN82))</f>
        <v/>
      </c>
      <c r="X82" s="21">
        <f>T82*V82/(1+Assumptions!$B$3)^W82</f>
        <v/>
      </c>
      <c r="Y82" s="25">
        <f>IF(T82=0,"",ROUND(X82/T82*100,1))</f>
        <v/>
      </c>
      <c r="Z82" s="26">
        <f>X82*Assumptions!$B$4</f>
        <v/>
      </c>
      <c r="AA82" s="25">
        <f>IF(T82=0,"",ROUND(Z82/T82*100,1))</f>
        <v/>
      </c>
      <c r="AB82" s="26">
        <f>X82-Z82</f>
        <v/>
      </c>
      <c r="AC82" s="25">
        <f>IF(T82=0,"",ROUND((X82-Z82)/T82*100,1))</f>
        <v/>
      </c>
      <c r="AD82" s="27" t="inlineStr">
        <is>
          <t>ESTIMATED</t>
        </is>
      </c>
      <c r="AE82" s="28" t="inlineStr">
        <is>
          <t>https://marquesadmjudicial.com.br/sgc/download.php?file=files/processo_documento/processo_documento15293208032024_1_.pdf&amp;nome=Relação Nominal de Credores da AJ-Sintética</t>
        </is>
      </c>
      <c r="AF82" s="27" t="inlineStr">
        <is>
          <t>p26 r5</t>
        </is>
      </c>
      <c r="AG82" s="27" t="inlineStr">
        <is>
          <t>p26: R$ 1.695.831,10</t>
        </is>
      </c>
      <c r="AH82" s="27" t="inlineStr">
        <is>
          <t>AJ_LIST</t>
        </is>
      </c>
      <c r="AI82" s="27" t="inlineStr">
        <is>
          <t>2023-03-02</t>
        </is>
      </c>
      <c r="AJ82" s="27" t="inlineStr">
        <is>
          <t>QUARANTINED</t>
        </is>
      </c>
      <c r="AK82" s="29" t="inlineStr">
        <is>
          <t>0005010-98.2023.8.16.0001</t>
        </is>
      </c>
      <c r="AL82" s="29" t="inlineStr">
        <is>
          <t>TJPR</t>
        </is>
      </c>
      <c r="AM82" s="29" t="inlineStr">
        <is>
          <t>ACTIVE</t>
        </is>
      </c>
      <c r="AN82" s="29" t="n">
        <v>2023</v>
      </c>
      <c r="AO82" s="29" t="inlineStr">
        <is>
          <t>live case, no plan document yet</t>
        </is>
      </c>
      <c r="AP82" s="29" t="inlineStr">
        <is>
          <t>HORTOLANDIA</t>
        </is>
      </c>
      <c r="AQ82" s="29" t="inlineStr">
        <is>
          <t>SP</t>
        </is>
      </c>
      <c r="AR82" s="29" t="inlineStr">
        <is>
          <t>Fabricação de medicamentos alopáticos para uso humano</t>
        </is>
      </c>
      <c r="AS82" s="29" t="inlineStr">
        <is>
          <t>DEMAIS</t>
        </is>
      </c>
      <c r="AT82" s="29" t="inlineStr">
        <is>
          <t>MID-MARKET</t>
        </is>
      </c>
      <c r="AU82" s="29" t="inlineStr">
        <is>
          <t>45992062</t>
        </is>
      </c>
      <c r="AV82" s="29" t="n">
        <v>1</v>
      </c>
      <c r="AW82" s="29" t="inlineStr">
        <is>
          <t>PARTIAL_DOC_CLASS_III_RECONCILED ROWS:p26r5</t>
        </is>
      </c>
    </row>
    <row r="83">
      <c r="A83" s="15" t="inlineStr">
        <is>
          <t>WHITE MARTINS GASES INDUSTRIAIS LTDA</t>
        </is>
      </c>
      <c r="B83" s="16" t="n">
        <v>1341862.73</v>
      </c>
      <c r="C83" s="17" t="inlineStr">
        <is>
          <t>ASSOCIACAO DE CARIDADE SANTA CASA DE RIO GRANDE</t>
        </is>
      </c>
      <c r="D83" s="18" t="inlineStr">
        <is>
          <t>NEW</t>
        </is>
      </c>
      <c r="E83" s="19" t="inlineStr"/>
      <c r="F83" s="18" t="inlineStr"/>
      <c r="G83" s="19" t="inlineStr"/>
      <c r="H83" s="18" t="inlineStr"/>
      <c r="I83" s="20" t="inlineStr">
        <is>
          <t>Claudio Ferreira</t>
        </is>
      </c>
      <c r="J83" s="20" t="inlineStr">
        <is>
          <t>Supervisor Contas a Receber</t>
        </is>
      </c>
      <c r="K83" s="20" t="inlineStr">
        <is>
          <t>(21) 3279-9000</t>
        </is>
      </c>
      <c r="L83" s="20" t="inlineStr"/>
      <c r="M83" s="20" t="inlineStr"/>
      <c r="N83" s="20" t="inlineStr"/>
      <c r="O83" s="20" t="inlineStr"/>
      <c r="P83" s="20" t="inlineStr">
        <is>
          <t>Livia Pestana</t>
        </is>
      </c>
      <c r="Q83" s="20" t="inlineStr">
        <is>
          <t>Supervisor de Cobrança / Contas a Receber</t>
        </is>
      </c>
      <c r="R83" s="20" t="inlineStr"/>
      <c r="S83" s="20" t="inlineStr"/>
      <c r="T83" s="21" t="n">
        <v>1341862.73</v>
      </c>
      <c r="U83" s="22" t="inlineStr">
        <is>
          <t>B</t>
        </is>
      </c>
      <c r="V83" s="23">
        <f>IFERROR(VLOOKUP(U83,Assumptions!$A$7:$D$11,2,FALSE),0)</f>
        <v/>
      </c>
      <c r="W83" s="24">
        <f>MAX(0.5,IFERROR(VLOOKUP(U83,Assumptions!$A$7:$D$11,3,FALSE),3)+IFERROR(VLOOKUP(U83,Assumptions!$A$7:$D$11,4,FALSE),8)/2-IF(AN83="",0,YEAR(TODAY())-AN83))</f>
        <v/>
      </c>
      <c r="X83" s="21">
        <f>T83*V83/(1+Assumptions!$B$3)^W83</f>
        <v/>
      </c>
      <c r="Y83" s="25">
        <f>IF(T83=0,"",ROUND(X83/T83*100,1))</f>
        <v/>
      </c>
      <c r="Z83" s="26">
        <f>X83*Assumptions!$B$4</f>
        <v/>
      </c>
      <c r="AA83" s="25">
        <f>IF(T83=0,"",ROUND(Z83/T83*100,1))</f>
        <v/>
      </c>
      <c r="AB83" s="26">
        <f>X83-Z83</f>
        <v/>
      </c>
      <c r="AC83" s="25">
        <f>IF(T83=0,"",ROUND((X83-Z83)/T83*100,1))</f>
        <v/>
      </c>
      <c r="AD83" s="27" t="inlineStr">
        <is>
          <t>ESTIMATED</t>
        </is>
      </c>
      <c r="AE83" s="28" t="inlineStr">
        <is>
          <t>https://scalzilliaj.com.br/sgc/download.php?file=files/processo_documento/processo_documento09120721032023_1_.pdf&amp;nome=15 - Edital do art. 7º, §2º e 53 da Lei 11.101/2005 (segunda lista de credores e recebimento do plano))</t>
        </is>
      </c>
      <c r="AF83" s="27" t="inlineStr">
        <is>
          <t>p30 r37</t>
        </is>
      </c>
      <c r="AG83" s="27" t="inlineStr">
        <is>
          <t>p30: R$ 1.341.862,73</t>
        </is>
      </c>
      <c r="AH83" s="27" t="inlineStr">
        <is>
          <t>AJ_LIST</t>
        </is>
      </c>
      <c r="AI83" s="27" t="inlineStr">
        <is>
          <t>2023-03-21</t>
        </is>
      </c>
      <c r="AJ83" s="27" t="inlineStr">
        <is>
          <t>OK_NO_TOTALS</t>
        </is>
      </c>
      <c r="AK83" s="29" t="inlineStr">
        <is>
          <t>5012306-16.2022.8.21.0023</t>
        </is>
      </c>
      <c r="AL83" s="29" t="inlineStr">
        <is>
          <t>TJRS</t>
        </is>
      </c>
      <c r="AM83" s="29" t="inlineStr">
        <is>
          <t>ACTIVE</t>
        </is>
      </c>
      <c r="AN83" s="29" t="n">
        <v>2022</v>
      </c>
      <c r="AO83" s="29" t="inlineStr">
        <is>
          <t>live case, no plan document yet</t>
        </is>
      </c>
      <c r="AP83" s="29" t="inlineStr">
        <is>
          <t>RIO DE JANEIRO</t>
        </is>
      </c>
      <c r="AQ83" s="29" t="inlineStr">
        <is>
          <t>RJ</t>
        </is>
      </c>
      <c r="AR83" s="29" t="inlineStr">
        <is>
          <t>Atividades de consultoria em gestão empresarial, exceto consultoria técnica específica</t>
        </is>
      </c>
      <c r="AS83" s="29" t="inlineStr">
        <is>
          <t>DEMAIS</t>
        </is>
      </c>
      <c r="AT83" s="29" t="inlineStr">
        <is>
          <t>LARGE CORP</t>
        </is>
      </c>
      <c r="AU83" s="29" t="inlineStr">
        <is>
          <t>35820448</t>
        </is>
      </c>
      <c r="AV83" s="29" t="n">
        <v>1</v>
      </c>
      <c r="AW83" s="29" t="inlineStr">
        <is>
          <t>ROWS:p30r37 UNRECONCILED_SOURCE</t>
        </is>
      </c>
    </row>
    <row r="84">
      <c r="A84" s="15" t="inlineStr">
        <is>
          <t>ADM DO BRASIL LTDA</t>
        </is>
      </c>
      <c r="B84" s="16" t="n">
        <v>2086675.04</v>
      </c>
      <c r="C84" s="17" t="inlineStr"/>
      <c r="D84" s="18" t="inlineStr">
        <is>
          <t>NEW</t>
        </is>
      </c>
      <c r="E84" s="19" t="inlineStr"/>
      <c r="F84" s="18" t="inlineStr"/>
      <c r="G84" s="19" t="inlineStr"/>
      <c r="H84" s="18" t="inlineStr"/>
      <c r="I84" s="20" t="inlineStr">
        <is>
          <t>ANDREIELI RIBEIRO PINTO</t>
        </is>
      </c>
      <c r="J84" s="20" t="inlineStr">
        <is>
          <t>Administrador</t>
        </is>
      </c>
      <c r="K84" s="20" t="inlineStr">
        <is>
          <t>(11) 5185-3500</t>
        </is>
      </c>
      <c r="L84" s="20" t="inlineStr">
        <is>
          <t>(11) 5185-3649</t>
        </is>
      </c>
      <c r="M84" s="20" t="inlineStr"/>
      <c r="N84" s="20" t="inlineStr"/>
      <c r="O84" s="20" t="inlineStr"/>
      <c r="P84" s="20" t="inlineStr">
        <is>
          <t>DOMINGO ALEJANDRO LASTRA</t>
        </is>
      </c>
      <c r="Q84" s="20" t="inlineStr">
        <is>
          <t>Administrador</t>
        </is>
      </c>
      <c r="R84" s="20" t="inlineStr">
        <is>
          <t>(11) 5185-3649</t>
        </is>
      </c>
      <c r="S84" s="20" t="inlineStr"/>
      <c r="T84" s="21" t="n">
        <v>2086675.04</v>
      </c>
      <c r="U84" s="22" t="inlineStr">
        <is>
          <t>B</t>
        </is>
      </c>
      <c r="V84" s="23">
        <f>IFERROR(VLOOKUP(U84,Assumptions!$A$7:$D$11,2,FALSE),0)</f>
        <v/>
      </c>
      <c r="W84" s="24">
        <f>MAX(0.5,IFERROR(VLOOKUP(U84,Assumptions!$A$7:$D$11,3,FALSE),3)+IFERROR(VLOOKUP(U84,Assumptions!$A$7:$D$11,4,FALSE),8)/2-IF(AN84="",0,YEAR(TODAY())-AN84))</f>
        <v/>
      </c>
      <c r="X84" s="21">
        <f>T84*V84/(1+Assumptions!$B$3)^W84</f>
        <v/>
      </c>
      <c r="Y84" s="25">
        <f>IF(T84=0,"",ROUND(X84/T84*100,1))</f>
        <v/>
      </c>
      <c r="Z84" s="26">
        <f>X84*Assumptions!$B$4</f>
        <v/>
      </c>
      <c r="AA84" s="25">
        <f>IF(T84=0,"",ROUND(Z84/T84*100,1))</f>
        <v/>
      </c>
      <c r="AB84" s="26">
        <f>X84-Z84</f>
        <v/>
      </c>
      <c r="AC84" s="25">
        <f>IF(T84=0,"",ROUND((X84-Z84)/T84*100,1))</f>
        <v/>
      </c>
      <c r="AD84" s="27" t="inlineStr">
        <is>
          <t>ESTIMATED</t>
        </is>
      </c>
      <c r="AE84" s="28" t="inlineStr">
        <is>
          <t>https://rlg-aj.com.br/wp-content/uploads/2024/11/07.-Relação-de-credores.pdf</t>
        </is>
      </c>
      <c r="AF84" s="27" t="inlineStr">
        <is>
          <t>p1 r21</t>
        </is>
      </c>
      <c r="AG84" s="27" t="inlineStr">
        <is>
          <t>p1: R$ 2.086.675,04</t>
        </is>
      </c>
      <c r="AH84" s="27" t="inlineStr">
        <is>
          <t>UNKNOWN</t>
        </is>
      </c>
      <c r="AI84" s="27" t="inlineStr"/>
      <c r="AJ84" s="27" t="inlineStr">
        <is>
          <t>OK_NO_TOTALS</t>
        </is>
      </c>
      <c r="AK84" s="29" t="inlineStr">
        <is>
          <t>5009149-92.2024.8.24.0019</t>
        </is>
      </c>
      <c r="AL84" s="29" t="inlineStr">
        <is>
          <t>TJSC</t>
        </is>
      </c>
      <c r="AM84" s="29" t="inlineStr">
        <is>
          <t>ACTIVE</t>
        </is>
      </c>
      <c r="AN84" s="29" t="n">
        <v>2024</v>
      </c>
      <c r="AO84" s="29" t="inlineStr">
        <is>
          <t>live case, no plan document yet</t>
        </is>
      </c>
      <c r="AP84" s="29" t="inlineStr">
        <is>
          <t>VITORIA</t>
        </is>
      </c>
      <c r="AQ84" s="29" t="inlineStr">
        <is>
          <t>ES</t>
        </is>
      </c>
      <c r="AR84" s="29" t="inlineStr">
        <is>
          <t>Comércio atacadista de matérias-primas agrícolas não especificadas anteriormente</t>
        </is>
      </c>
      <c r="AS84" s="29" t="inlineStr">
        <is>
          <t>DEMAIS</t>
        </is>
      </c>
      <c r="AT84" s="29" t="inlineStr">
        <is>
          <t>LARGE CORP</t>
        </is>
      </c>
      <c r="AU84" s="29" t="inlineStr">
        <is>
          <t>02003402</t>
        </is>
      </c>
      <c r="AV84" s="29" t="n">
        <v>1</v>
      </c>
      <c r="AW84" s="29" t="inlineStr">
        <is>
          <t>ROWS:p1r21 UNRECONCILED_SOURCE</t>
        </is>
      </c>
    </row>
    <row r="85">
      <c r="A85" s="15" t="inlineStr">
        <is>
          <t>TRES TENTOS AGROINDUSTRIAL S/A</t>
        </is>
      </c>
      <c r="B85" s="16" t="n">
        <v>2076705.8</v>
      </c>
      <c r="C85" s="17" t="inlineStr"/>
      <c r="D85" s="18" t="inlineStr">
        <is>
          <t>NEW</t>
        </is>
      </c>
      <c r="E85" s="19" t="inlineStr"/>
      <c r="F85" s="18" t="inlineStr"/>
      <c r="G85" s="19" t="inlineStr"/>
      <c r="H85" s="18" t="inlineStr"/>
      <c r="I85" s="20" t="inlineStr">
        <is>
          <t>Cristiano Costa</t>
        </is>
      </c>
      <c r="J85" s="20" t="inlineStr">
        <is>
          <t>CFO</t>
        </is>
      </c>
      <c r="K85" s="20" t="inlineStr">
        <is>
          <t>(55) 3372-3700</t>
        </is>
      </c>
      <c r="L85" s="20" t="inlineStr">
        <is>
          <t>(55) 3372-3718</t>
        </is>
      </c>
      <c r="M85" s="20" t="inlineStr"/>
      <c r="N85" s="20" t="inlineStr">
        <is>
          <t>cristiano.costa@3tentos.com.br</t>
        </is>
      </c>
      <c r="O85" s="20" t="inlineStr">
        <is>
          <t>everson.ribas@3tentos.com.br</t>
        </is>
      </c>
      <c r="P85" s="20" t="inlineStr">
        <is>
          <t>Everson Ribas</t>
        </is>
      </c>
      <c r="Q85" s="20" t="inlineStr">
        <is>
          <t>Analista de Crédito e Cobrança - Pleno</t>
        </is>
      </c>
      <c r="R85" s="20" t="inlineStr"/>
      <c r="S85" s="20" t="inlineStr">
        <is>
          <t>everson.ribas@3tentos.com.br</t>
        </is>
      </c>
      <c r="T85" s="21" t="n">
        <v>2076705.8</v>
      </c>
      <c r="U85" s="22" t="inlineStr">
        <is>
          <t>B</t>
        </is>
      </c>
      <c r="V85" s="23">
        <f>IFERROR(VLOOKUP(U85,Assumptions!$A$7:$D$11,2,FALSE),0)</f>
        <v/>
      </c>
      <c r="W85" s="24">
        <f>MAX(0.5,IFERROR(VLOOKUP(U85,Assumptions!$A$7:$D$11,3,FALSE),3)+IFERROR(VLOOKUP(U85,Assumptions!$A$7:$D$11,4,FALSE),8)/2-IF(AN85="",0,YEAR(TODAY())-AN85))</f>
        <v/>
      </c>
      <c r="X85" s="21">
        <f>T85*V85/(1+Assumptions!$B$3)^W85</f>
        <v/>
      </c>
      <c r="Y85" s="25">
        <f>IF(T85=0,"",ROUND(X85/T85*100,1))</f>
        <v/>
      </c>
      <c r="Z85" s="26">
        <f>X85*Assumptions!$B$4</f>
        <v/>
      </c>
      <c r="AA85" s="25">
        <f>IF(T85=0,"",ROUND(Z85/T85*100,1))</f>
        <v/>
      </c>
      <c r="AB85" s="26">
        <f>X85-Z85</f>
        <v/>
      </c>
      <c r="AC85" s="25">
        <f>IF(T85=0,"",ROUND((X85-Z85)/T85*100,1))</f>
        <v/>
      </c>
      <c r="AD85" s="27" t="inlineStr">
        <is>
          <t>ESTIMATED</t>
        </is>
      </c>
      <c r="AE85" s="28" t="inlineStr">
        <is>
          <t>https://rlg-aj.com.br/wp-content/uploads/2024/11/07.-Relação-de-credores.pdf</t>
        </is>
      </c>
      <c r="AF85" s="27" t="inlineStr">
        <is>
          <t>p1 r20</t>
        </is>
      </c>
      <c r="AG85" s="27" t="inlineStr">
        <is>
          <t>p1: R$ 2.076.705,80</t>
        </is>
      </c>
      <c r="AH85" s="27" t="inlineStr">
        <is>
          <t>UNKNOWN</t>
        </is>
      </c>
      <c r="AI85" s="27" t="inlineStr"/>
      <c r="AJ85" s="27" t="inlineStr">
        <is>
          <t>OK_NO_TOTALS</t>
        </is>
      </c>
      <c r="AK85" s="29" t="inlineStr">
        <is>
          <t>5009149-92.2024.8.24.0019</t>
        </is>
      </c>
      <c r="AL85" s="29" t="inlineStr">
        <is>
          <t>TJSC</t>
        </is>
      </c>
      <c r="AM85" s="29" t="inlineStr">
        <is>
          <t>ACTIVE</t>
        </is>
      </c>
      <c r="AN85" s="29" t="n">
        <v>2024</v>
      </c>
      <c r="AO85" s="29" t="inlineStr">
        <is>
          <t>live case, no plan document yet</t>
        </is>
      </c>
      <c r="AP85" s="29" t="inlineStr">
        <is>
          <t>SANTA BARBARA DO SUL</t>
        </is>
      </c>
      <c r="AQ85" s="29" t="inlineStr">
        <is>
          <t>RS</t>
        </is>
      </c>
      <c r="AR85" s="29" t="inlineStr">
        <is>
          <t>Comércio atacadista de cereais e leguminosas beneficiados</t>
        </is>
      </c>
      <c r="AS85" s="29" t="inlineStr">
        <is>
          <t>DEMAIS</t>
        </is>
      </c>
      <c r="AT85" s="29" t="inlineStr">
        <is>
          <t>LARGE CORP</t>
        </is>
      </c>
      <c r="AU85" s="29" t="inlineStr">
        <is>
          <t>94813102</t>
        </is>
      </c>
      <c r="AV85" s="29" t="n">
        <v>1</v>
      </c>
      <c r="AW85" s="29" t="inlineStr">
        <is>
          <t>ROWS:p1r20 UNRECONCILED_SOURCE</t>
        </is>
      </c>
    </row>
    <row r="86">
      <c r="A86" s="15" t="inlineStr">
        <is>
          <t>DACARTO INDUSTRIA E COMERCIO DE PLASTICOS LTDA</t>
        </is>
      </c>
      <c r="B86" s="16" t="n">
        <v>1624039.19</v>
      </c>
      <c r="C86" s="17" t="inlineStr">
        <is>
          <t>Conduscabos Brasil Indústria Comércio de</t>
        </is>
      </c>
      <c r="D86" s="18" t="inlineStr">
        <is>
          <t>NEW</t>
        </is>
      </c>
      <c r="E86" s="19" t="inlineStr"/>
      <c r="F86" s="18" t="inlineStr"/>
      <c r="G86" s="19" t="inlineStr"/>
      <c r="H86" s="18" t="inlineStr"/>
      <c r="I86" s="20" t="inlineStr">
        <is>
          <t>Barbara Alauck</t>
        </is>
      </c>
      <c r="J86" s="20" t="inlineStr">
        <is>
          <t>Analista de Tesouraria Sênior</t>
        </is>
      </c>
      <c r="K86" s="20" t="inlineStr">
        <is>
          <t>(11) 3658-9459</t>
        </is>
      </c>
      <c r="L86" s="20" t="inlineStr"/>
      <c r="M86" s="20" t="inlineStr"/>
      <c r="N86" s="20" t="inlineStr">
        <is>
          <t>barbara.alauck@dacarto.com.br</t>
        </is>
      </c>
      <c r="O86" s="20" t="inlineStr">
        <is>
          <t>andre.pacheco@dacarto.com.br</t>
        </is>
      </c>
      <c r="P86" s="20" t="inlineStr">
        <is>
          <t>Andre Pacheco</t>
        </is>
      </c>
      <c r="Q86" s="20" t="inlineStr">
        <is>
          <t>Gerente de Contas Pleno</t>
        </is>
      </c>
      <c r="R86" s="20" t="inlineStr"/>
      <c r="S86" s="20" t="inlineStr">
        <is>
          <t>andre.pacheco@dacarto.com.br</t>
        </is>
      </c>
      <c r="T86" s="21" t="n">
        <v>1624039.19</v>
      </c>
      <c r="U86" s="22" t="inlineStr">
        <is>
          <t>B</t>
        </is>
      </c>
      <c r="V86" s="23">
        <f>IFERROR(VLOOKUP(U86,Assumptions!$A$7:$D$11,2,FALSE),0)</f>
        <v/>
      </c>
      <c r="W86" s="24">
        <f>MAX(0.5,IFERROR(VLOOKUP(U86,Assumptions!$A$7:$D$11,3,FALSE),3)+IFERROR(VLOOKUP(U86,Assumptions!$A$7:$D$11,4,FALSE),8)/2-IF(AN86="",0,YEAR(TODAY())-AN86))</f>
        <v/>
      </c>
      <c r="X86" s="21">
        <f>T86*V86/(1+Assumptions!$B$3)^W86</f>
        <v/>
      </c>
      <c r="Y86" s="25">
        <f>IF(T86=0,"",ROUND(X86/T86*100,1))</f>
        <v/>
      </c>
      <c r="Z86" s="26">
        <f>X86*Assumptions!$B$4</f>
        <v/>
      </c>
      <c r="AA86" s="25">
        <f>IF(T86=0,"",ROUND(Z86/T86*100,1))</f>
        <v/>
      </c>
      <c r="AB86" s="26">
        <f>X86-Z86</f>
        <v/>
      </c>
      <c r="AC86" s="25">
        <f>IF(T86=0,"",ROUND((X86-Z86)/T86*100,1))</f>
        <v/>
      </c>
      <c r="AD86" s="27" t="inlineStr">
        <is>
          <t>ESTIMATED</t>
        </is>
      </c>
      <c r="AE86" s="28" t="inlineStr">
        <is>
          <t>https://assistjud.com.br/wp-content/uploads/elementor/forms/65098c80a5824.pdf</t>
        </is>
      </c>
      <c r="AF86" s="27" t="inlineStr">
        <is>
          <t>p6 r12; p6 r13</t>
        </is>
      </c>
      <c r="AG86" s="27" t="inlineStr">
        <is>
          <t>p6: R$ 534.318,75; p6: R$ 1.089.720,44</t>
        </is>
      </c>
      <c r="AH86" s="27" t="inlineStr">
        <is>
          <t>AJ_LIST</t>
        </is>
      </c>
      <c r="AI86" s="27" t="inlineStr">
        <is>
          <t>2023-09-18</t>
        </is>
      </c>
      <c r="AJ86" s="27" t="inlineStr">
        <is>
          <t>OK_NO_TOTALS</t>
        </is>
      </c>
      <c r="AK86" s="29" t="inlineStr">
        <is>
          <t>8005129-09.2023.8.05.0039</t>
        </is>
      </c>
      <c r="AL86" s="29" t="inlineStr">
        <is>
          <t>TJBA</t>
        </is>
      </c>
      <c r="AM86" s="29" t="inlineStr">
        <is>
          <t>ACTIVE</t>
        </is>
      </c>
      <c r="AN86" s="29" t="n">
        <v>2023</v>
      </c>
      <c r="AO86" s="29" t="inlineStr">
        <is>
          <t>live case, no plan document yet</t>
        </is>
      </c>
      <c r="AP86" s="29" t="inlineStr">
        <is>
          <t>OSASCO</t>
        </is>
      </c>
      <c r="AQ86" s="29" t="inlineStr">
        <is>
          <t>SP</t>
        </is>
      </c>
      <c r="AR86" s="29" t="inlineStr">
        <is>
          <t>Fabricação de artefatos de material plástico para outros usos não especificados anteriormente</t>
        </is>
      </c>
      <c r="AS86" s="29" t="inlineStr">
        <is>
          <t>DEMAIS</t>
        </is>
      </c>
      <c r="AT86" s="29" t="inlineStr">
        <is>
          <t>MID-MARKET</t>
        </is>
      </c>
      <c r="AU86" s="29" t="inlineStr">
        <is>
          <t>62143847</t>
        </is>
      </c>
      <c r="AV86" s="29" t="n">
        <v>2</v>
      </c>
      <c r="AW86" s="29" t="inlineStr">
        <is>
          <t>ROWS:p6r12,p6r13 UNRECONCILED_SOURCE</t>
        </is>
      </c>
    </row>
    <row r="87">
      <c r="A87" s="15" t="inlineStr">
        <is>
          <t>TRANSPORTADORA MARCAN LTDA.</t>
        </is>
      </c>
      <c r="B87" s="16" t="n">
        <v>4757312.99</v>
      </c>
      <c r="C87" s="17" t="inlineStr">
        <is>
          <t>EGESA ENGENHARIA S/A (Consórcio ETDI)</t>
        </is>
      </c>
      <c r="D87" s="18" t="inlineStr">
        <is>
          <t>NEW</t>
        </is>
      </c>
      <c r="E87" s="19" t="inlineStr"/>
      <c r="F87" s="18" t="inlineStr"/>
      <c r="G87" s="19" t="inlineStr"/>
      <c r="H87" s="18" t="inlineStr"/>
      <c r="I87" s="20" t="inlineStr">
        <is>
          <t>GERVASIO TASSI FILHO</t>
        </is>
      </c>
      <c r="J87" s="20" t="inlineStr">
        <is>
          <t>Sócio-Administrador</t>
        </is>
      </c>
      <c r="K87" s="20" t="inlineStr">
        <is>
          <t>(81) 3543-0330</t>
        </is>
      </c>
      <c r="L87" s="20" t="inlineStr">
        <is>
          <t>(81) 9267-7488</t>
        </is>
      </c>
      <c r="M87" s="20" t="inlineStr"/>
      <c r="N87" s="20" t="inlineStr"/>
      <c r="O87" s="20" t="inlineStr"/>
      <c r="P87" s="20" t="inlineStr">
        <is>
          <t>MARIA EDUARDA QUEIROZ TASSI</t>
        </is>
      </c>
      <c r="Q87" s="20" t="inlineStr">
        <is>
          <t>Sócio-Administrador</t>
        </is>
      </c>
      <c r="R87" s="20" t="inlineStr">
        <is>
          <t>(81) 9267-7488</t>
        </is>
      </c>
      <c r="S87" s="20" t="inlineStr"/>
      <c r="T87" s="21" t="n">
        <v>4757312.99</v>
      </c>
      <c r="U87" s="30" t="inlineStr">
        <is>
          <t>?</t>
        </is>
      </c>
      <c r="V87" s="23">
        <f>IFERROR(VLOOKUP(U87,Assumptions!$A$7:$D$11,2,FALSE),0)</f>
        <v/>
      </c>
      <c r="W87" s="24">
        <f>MAX(0.5,IFERROR(VLOOKUP(U87,Assumptions!$A$7:$D$11,3,FALSE),3)+IFERROR(VLOOKUP(U87,Assumptions!$A$7:$D$11,4,FALSE),8)/2-IF(AN87="",0,YEAR(TODAY())-AN87))</f>
        <v/>
      </c>
      <c r="X87" s="21">
        <f>T87*V87/(1+Assumptions!$B$3)^W87</f>
        <v/>
      </c>
      <c r="Y87" s="25">
        <f>IF(T87=0,"",ROUND(X87/T87*100,1))</f>
        <v/>
      </c>
      <c r="Z87" s="26">
        <f>X87*Assumptions!$B$4</f>
        <v/>
      </c>
      <c r="AA87" s="25">
        <f>IF(T87=0,"",ROUND(Z87/T87*100,1))</f>
        <v/>
      </c>
      <c r="AB87" s="26">
        <f>X87-Z87</f>
        <v/>
      </c>
      <c r="AC87" s="25">
        <f>IF(T87=0,"",ROUND((X87-Z87)/T87*100,1))</f>
        <v/>
      </c>
      <c r="AD87" s="27" t="inlineStr">
        <is>
          <t>UNKNOWN</t>
        </is>
      </c>
      <c r="AE87" s="28" t="inlineStr">
        <is>
          <t>https://scalzilliaj.com.br/sgc/download.php?file=files/processo_documento/processo_documento09514021082025_1_.pdf&amp;nome=04 - Relação de credores das Recuperandas</t>
        </is>
      </c>
      <c r="AF87" s="27" t="inlineStr">
        <is>
          <t>p74 r13</t>
        </is>
      </c>
      <c r="AG87" s="27" t="inlineStr">
        <is>
          <t>p74: R$ 4.757.312,99</t>
        </is>
      </c>
      <c r="AH87" s="27" t="inlineStr">
        <is>
          <t>DEBTOR_LIST</t>
        </is>
      </c>
      <c r="AI87" s="27" t="inlineStr"/>
      <c r="AJ87" s="27" t="inlineStr">
        <is>
          <t>OK</t>
        </is>
      </c>
      <c r="AK87" s="29" t="inlineStr">
        <is>
          <t>(not printed)</t>
        </is>
      </c>
      <c r="AL87" s="29" t="inlineStr"/>
      <c r="AM87" s="29" t="inlineStr"/>
      <c r="AN87" s="29" t="inlineStr"/>
      <c r="AO87" s="29" t="inlineStr">
        <is>
          <t>RJ case number not identified on the document</t>
        </is>
      </c>
      <c r="AP87" s="29" t="inlineStr">
        <is>
          <t>IGARASSU</t>
        </is>
      </c>
      <c r="AQ87" s="29" t="inlineStr">
        <is>
          <t>PE</t>
        </is>
      </c>
      <c r="AR87" s="29" t="inlineStr">
        <is>
          <t>Transporte rodoviário coletivo de passageiros, com itinerário fixo, intermunicipal em região metropolitana</t>
        </is>
      </c>
      <c r="AS87" s="29" t="inlineStr">
        <is>
          <t>DEMAIS</t>
        </is>
      </c>
      <c r="AT87" s="29" t="inlineStr">
        <is>
          <t>MID-MARKET</t>
        </is>
      </c>
      <c r="AU87" s="29" t="inlineStr">
        <is>
          <t>19709369</t>
        </is>
      </c>
      <c r="AV87" s="29" t="n">
        <v>1</v>
      </c>
      <c r="AW87" s="29" t="inlineStr">
        <is>
          <t>ROWS:p74r13 VALUE_COL:Valor_Atualizado CASE_NUMBER_CORRECTED</t>
        </is>
      </c>
    </row>
    <row r="88">
      <c r="A88" s="15" t="inlineStr">
        <is>
          <t>FARMAX S.A.</t>
        </is>
      </c>
      <c r="B88" s="16" t="n">
        <v>1610365.54</v>
      </c>
      <c r="C88" s="17" t="inlineStr">
        <is>
          <t>VEV COMERCIO DE MEDICAMENTOS LTDA EM RECUPERACAO JUDICIAL</t>
        </is>
      </c>
      <c r="D88" s="18" t="inlineStr">
        <is>
          <t>NEW</t>
        </is>
      </c>
      <c r="E88" s="19" t="inlineStr"/>
      <c r="F88" s="18" t="inlineStr"/>
      <c r="G88" s="19" t="inlineStr"/>
      <c r="H88" s="18" t="inlineStr"/>
      <c r="I88" s="20" t="inlineStr">
        <is>
          <t>Rodrigo Amoroso</t>
        </is>
      </c>
      <c r="J88" s="20" t="inlineStr">
        <is>
          <t>Head de Tesouraria e Controladoria</t>
        </is>
      </c>
      <c r="K88" s="20" t="inlineStr">
        <is>
          <t>(37) 2101-9696</t>
        </is>
      </c>
      <c r="L88" s="20" t="inlineStr">
        <is>
          <t>(37) 2101-9603</t>
        </is>
      </c>
      <c r="M88" s="20" t="inlineStr"/>
      <c r="N88" s="20" t="inlineStr"/>
      <c r="O88" s="20" t="inlineStr">
        <is>
          <t>joziane.rachid@farmax.com.br</t>
        </is>
      </c>
      <c r="P88" s="20" t="inlineStr">
        <is>
          <t>Joziane Rachid</t>
        </is>
      </c>
      <c r="Q88" s="20" t="inlineStr">
        <is>
          <t>Analista Crédito e Cobrança</t>
        </is>
      </c>
      <c r="R88" s="20" t="inlineStr"/>
      <c r="S88" s="20" t="inlineStr">
        <is>
          <t>joziane.rachid@farmax.com.br</t>
        </is>
      </c>
      <c r="T88" s="21" t="n">
        <v>1610365.54</v>
      </c>
      <c r="U88" s="22" t="inlineStr">
        <is>
          <t>B</t>
        </is>
      </c>
      <c r="V88" s="23">
        <f>IFERROR(VLOOKUP(U88,Assumptions!$A$7:$D$11,2,FALSE),0)</f>
        <v/>
      </c>
      <c r="W88" s="24">
        <f>MAX(0.5,IFERROR(VLOOKUP(U88,Assumptions!$A$7:$D$11,3,FALSE),3)+IFERROR(VLOOKUP(U88,Assumptions!$A$7:$D$11,4,FALSE),8)/2-IF(AN88="",0,YEAR(TODAY())-AN88))</f>
        <v/>
      </c>
      <c r="X88" s="21">
        <f>T88*V88/(1+Assumptions!$B$3)^W88</f>
        <v/>
      </c>
      <c r="Y88" s="25">
        <f>IF(T88=0,"",ROUND(X88/T88*100,1))</f>
        <v/>
      </c>
      <c r="Z88" s="26">
        <f>X88*Assumptions!$B$4</f>
        <v/>
      </c>
      <c r="AA88" s="25">
        <f>IF(T88=0,"",ROUND(Z88/T88*100,1))</f>
        <v/>
      </c>
      <c r="AB88" s="26">
        <f>X88-Z88</f>
        <v/>
      </c>
      <c r="AC88" s="25">
        <f>IF(T88=0,"",ROUND((X88-Z88)/T88*100,1))</f>
        <v/>
      </c>
      <c r="AD88" s="27" t="inlineStr">
        <is>
          <t>ESTIMATED</t>
        </is>
      </c>
      <c r="AE88" s="28" t="inlineStr">
        <is>
          <t>https://marquesadmjudicial.com.br/sgc/download.php?file=files/processo_documento/processo_documento15293208032024_1_.pdf&amp;nome=Relação Nominal de Credores da AJ-Sintética</t>
        </is>
      </c>
      <c r="AF88" s="27" t="inlineStr">
        <is>
          <t>p25 r6</t>
        </is>
      </c>
      <c r="AG88" s="27" t="inlineStr">
        <is>
          <t>p25: R$ 1.610.365,54</t>
        </is>
      </c>
      <c r="AH88" s="27" t="inlineStr">
        <is>
          <t>AJ_LIST</t>
        </is>
      </c>
      <c r="AI88" s="27" t="inlineStr">
        <is>
          <t>2023-03-02</t>
        </is>
      </c>
      <c r="AJ88" s="27" t="inlineStr">
        <is>
          <t>QUARANTINED</t>
        </is>
      </c>
      <c r="AK88" s="29" t="inlineStr">
        <is>
          <t>0005010-98.2023.8.16.0001</t>
        </is>
      </c>
      <c r="AL88" s="29" t="inlineStr">
        <is>
          <t>TJPR</t>
        </is>
      </c>
      <c r="AM88" s="29" t="inlineStr">
        <is>
          <t>ACTIVE</t>
        </is>
      </c>
      <c r="AN88" s="29" t="n">
        <v>2023</v>
      </c>
      <c r="AO88" s="29" t="inlineStr">
        <is>
          <t>live case, no plan document yet</t>
        </is>
      </c>
      <c r="AP88" s="29" t="inlineStr">
        <is>
          <t>DIVINOPOLIS</t>
        </is>
      </c>
      <c r="AQ88" s="29" t="inlineStr">
        <is>
          <t>MG</t>
        </is>
      </c>
      <c r="AR88" s="29" t="inlineStr">
        <is>
          <t>Fabricação de cosméticos, produtos de perfumaria e de higiene pessoal</t>
        </is>
      </c>
      <c r="AS88" s="29" t="inlineStr">
        <is>
          <t>DEMAIS</t>
        </is>
      </c>
      <c r="AT88" s="29" t="inlineStr">
        <is>
          <t>LARGE CORP</t>
        </is>
      </c>
      <c r="AU88" s="29" t="inlineStr">
        <is>
          <t>21759758</t>
        </is>
      </c>
      <c r="AV88" s="29" t="n">
        <v>1</v>
      </c>
      <c r="AW88" s="29" t="inlineStr">
        <is>
          <t>PARTIAL_DOC_CLASS_III_RECONCILED ROWS:p25r6</t>
        </is>
      </c>
    </row>
    <row r="89">
      <c r="A89" s="15" t="inlineStr">
        <is>
          <t>ROCHE DIABETES CARE BRASIL LTDA</t>
        </is>
      </c>
      <c r="B89" s="16" t="n">
        <v>1608447.77</v>
      </c>
      <c r="C89" s="17" t="inlineStr">
        <is>
          <t>VEV COMERCIO DE MEDICAMENTOS LTDA EM RECUPERACAO JUDICIAL</t>
        </is>
      </c>
      <c r="D89" s="18" t="inlineStr">
        <is>
          <t>NEW</t>
        </is>
      </c>
      <c r="E89" s="19" t="inlineStr"/>
      <c r="F89" s="18" t="inlineStr"/>
      <c r="G89" s="19" t="inlineStr"/>
      <c r="H89" s="18" t="inlineStr"/>
      <c r="I89" s="20" t="inlineStr">
        <is>
          <t>ANA TUNON ORRICO</t>
        </is>
      </c>
      <c r="J89" s="20" t="inlineStr">
        <is>
          <t>Administrador</t>
        </is>
      </c>
      <c r="K89" s="20" t="inlineStr">
        <is>
          <t>(11) 3719-8888</t>
        </is>
      </c>
      <c r="L89" s="20" t="inlineStr"/>
      <c r="M89" s="20" t="inlineStr"/>
      <c r="N89" s="20" t="inlineStr"/>
      <c r="O89" s="20" t="inlineStr"/>
      <c r="P89" s="20" t="inlineStr">
        <is>
          <t>CAMILA HERNANDEZ MUSLEH</t>
        </is>
      </c>
      <c r="Q89" s="20" t="inlineStr">
        <is>
          <t>Administrador</t>
        </is>
      </c>
      <c r="R89" s="20" t="inlineStr">
        <is>
          <t>(11) 3719-8888</t>
        </is>
      </c>
      <c r="S89" s="20" t="inlineStr"/>
      <c r="T89" s="21" t="n">
        <v>1608447.77</v>
      </c>
      <c r="U89" s="22" t="inlineStr">
        <is>
          <t>B</t>
        </is>
      </c>
      <c r="V89" s="23">
        <f>IFERROR(VLOOKUP(U89,Assumptions!$A$7:$D$11,2,FALSE),0)</f>
        <v/>
      </c>
      <c r="W89" s="24">
        <f>MAX(0.5,IFERROR(VLOOKUP(U89,Assumptions!$A$7:$D$11,3,FALSE),3)+IFERROR(VLOOKUP(U89,Assumptions!$A$7:$D$11,4,FALSE),8)/2-IF(AN89="",0,YEAR(TODAY())-AN89))</f>
        <v/>
      </c>
      <c r="X89" s="21">
        <f>T89*V89/(1+Assumptions!$B$3)^W89</f>
        <v/>
      </c>
      <c r="Y89" s="25">
        <f>IF(T89=0,"",ROUND(X89/T89*100,1))</f>
        <v/>
      </c>
      <c r="Z89" s="26">
        <f>X89*Assumptions!$B$4</f>
        <v/>
      </c>
      <c r="AA89" s="25">
        <f>IF(T89=0,"",ROUND(Z89/T89*100,1))</f>
        <v/>
      </c>
      <c r="AB89" s="26">
        <f>X89-Z89</f>
        <v/>
      </c>
      <c r="AC89" s="25">
        <f>IF(T89=0,"",ROUND((X89-Z89)/T89*100,1))</f>
        <v/>
      </c>
      <c r="AD89" s="27" t="inlineStr">
        <is>
          <t>ESTIMATED</t>
        </is>
      </c>
      <c r="AE89" s="28" t="inlineStr">
        <is>
          <t>https://marquesadmjudicial.com.br/sgc/download.php?file=files/processo_documento/processo_documento15293208032024_1_.pdf&amp;nome=Relação Nominal de Credores da AJ-Sintética</t>
        </is>
      </c>
      <c r="AF89" s="27" t="inlineStr">
        <is>
          <t>p30 r12</t>
        </is>
      </c>
      <c r="AG89" s="27" t="inlineStr">
        <is>
          <t>p30: R$ 1.608.447,77</t>
        </is>
      </c>
      <c r="AH89" s="27" t="inlineStr">
        <is>
          <t>AJ_LIST</t>
        </is>
      </c>
      <c r="AI89" s="27" t="inlineStr">
        <is>
          <t>2023-03-02</t>
        </is>
      </c>
      <c r="AJ89" s="27" t="inlineStr">
        <is>
          <t>QUARANTINED</t>
        </is>
      </c>
      <c r="AK89" s="29" t="inlineStr">
        <is>
          <t>0005010-98.2023.8.16.0001</t>
        </is>
      </c>
      <c r="AL89" s="29" t="inlineStr">
        <is>
          <t>TJPR</t>
        </is>
      </c>
      <c r="AM89" s="29" t="inlineStr">
        <is>
          <t>ACTIVE</t>
        </is>
      </c>
      <c r="AN89" s="29" t="n">
        <v>2023</v>
      </c>
      <c r="AO89" s="29" t="inlineStr">
        <is>
          <t>live case, no plan document yet</t>
        </is>
      </c>
      <c r="AP89" s="29" t="inlineStr">
        <is>
          <t>SAO PAULO</t>
        </is>
      </c>
      <c r="AQ89" s="29" t="inlineStr">
        <is>
          <t>SP</t>
        </is>
      </c>
      <c r="AR89" s="29" t="inlineStr">
        <is>
          <t>Serviços combinados de escritório e apoio administrativo</t>
        </is>
      </c>
      <c r="AS89" s="29" t="inlineStr">
        <is>
          <t>DEMAIS</t>
        </is>
      </c>
      <c r="AT89" s="29" t="inlineStr">
        <is>
          <t>MID-MARKET</t>
        </is>
      </c>
      <c r="AU89" s="29" t="inlineStr">
        <is>
          <t>23552212</t>
        </is>
      </c>
      <c r="AV89" s="29" t="n">
        <v>1</v>
      </c>
      <c r="AW89" s="29" t="inlineStr">
        <is>
          <t>PARTIAL_DOC_CLASS_III_RECONCILED ROWS:p30r12</t>
        </is>
      </c>
    </row>
    <row r="90">
      <c r="A90" s="15" t="inlineStr">
        <is>
          <t>TECELAGEM JOLITEX LTDA</t>
        </is>
      </c>
      <c r="B90" s="16" t="n">
        <v>1828397.18</v>
      </c>
      <c r="C90" s="17" t="inlineStr"/>
      <c r="D90" s="18" t="inlineStr">
        <is>
          <t>NEW</t>
        </is>
      </c>
      <c r="E90" s="19" t="inlineStr"/>
      <c r="F90" s="18" t="inlineStr"/>
      <c r="G90" s="19" t="inlineStr"/>
      <c r="H90" s="18" t="inlineStr"/>
      <c r="I90" s="20" t="inlineStr">
        <is>
          <t>Natalia Nery</t>
        </is>
      </c>
      <c r="J90" s="20" t="inlineStr">
        <is>
          <t>Coordenadora Financeira – Crédito e Cobrança</t>
        </is>
      </c>
      <c r="K90" s="20" t="inlineStr"/>
      <c r="L90" s="20" t="inlineStr"/>
      <c r="M90" s="20" t="inlineStr"/>
      <c r="N90" s="20" t="inlineStr">
        <is>
          <t>natalia.nery@jolitex.com</t>
        </is>
      </c>
      <c r="O90" s="20" t="inlineStr"/>
      <c r="P90" s="20" t="inlineStr">
        <is>
          <t>Moise Sutton</t>
        </is>
      </c>
      <c r="Q90" s="20" t="inlineStr">
        <is>
          <t>Gerente Financeiro &amp; Planejamento de Custos</t>
        </is>
      </c>
      <c r="R90" s="20" t="inlineStr"/>
      <c r="S90" s="20" t="inlineStr"/>
      <c r="T90" s="21" t="n">
        <v>1828397.18</v>
      </c>
      <c r="U90" s="31" t="inlineStr">
        <is>
          <t>C</t>
        </is>
      </c>
      <c r="V90" s="23">
        <f>IFERROR(VLOOKUP(U90,Assumptions!$A$7:$D$11,2,FALSE),0)</f>
        <v/>
      </c>
      <c r="W90" s="24">
        <f>MAX(0.5,IFERROR(VLOOKUP(U90,Assumptions!$A$7:$D$11,3,FALSE),3)+IFERROR(VLOOKUP(U90,Assumptions!$A$7:$D$11,4,FALSE),8)/2-IF(AN90="",0,YEAR(TODAY())-AN90))</f>
        <v/>
      </c>
      <c r="X90" s="21">
        <f>T90*V90/(1+Assumptions!$B$3)^W90</f>
        <v/>
      </c>
      <c r="Y90" s="25">
        <f>IF(T90=0,"",ROUND(X90/T90*100,1))</f>
        <v/>
      </c>
      <c r="Z90" s="26">
        <f>X90*Assumptions!$B$4</f>
        <v/>
      </c>
      <c r="AA90" s="25">
        <f>IF(T90=0,"",ROUND(Z90/T90*100,1))</f>
        <v/>
      </c>
      <c r="AB90" s="26">
        <f>X90-Z90</f>
        <v/>
      </c>
      <c r="AC90" s="25">
        <f>IF(T90=0,"",ROUND((X90-Z90)/T90*100,1))</f>
        <v/>
      </c>
      <c r="AD90" s="27" t="inlineStr">
        <is>
          <t>UNKNOWN</t>
        </is>
      </c>
      <c r="AE90" s="28" t="inlineStr">
        <is>
          <t>https://administradorajudicialgs.com.br/wp-content/uploads/2024/12/relacao-de-credores-da-falida.pdf</t>
        </is>
      </c>
      <c r="AF90" s="27" t="inlineStr">
        <is>
          <t>p18 r50</t>
        </is>
      </c>
      <c r="AG90" s="27" t="inlineStr">
        <is>
          <t>p18: R$ 1.828.397,18</t>
        </is>
      </c>
      <c r="AH90" s="27" t="inlineStr">
        <is>
          <t>UNKNOWN</t>
        </is>
      </c>
      <c r="AI90" s="27" t="inlineStr">
        <is>
          <t>2025-03-25</t>
        </is>
      </c>
      <c r="AJ90" s="27" t="inlineStr">
        <is>
          <t>OK_NO_TOTALS</t>
        </is>
      </c>
      <c r="AK90" s="29" t="inlineStr">
        <is>
          <t>0005010-50.2013.8.24.0026</t>
        </is>
      </c>
      <c r="AL90" s="29" t="inlineStr">
        <is>
          <t>TJ</t>
        </is>
      </c>
      <c r="AM90" s="29" t="inlineStr"/>
      <c r="AN90" s="29" t="n">
        <v>2013</v>
      </c>
      <c r="AO90" s="29" t="inlineStr">
        <is>
          <t>13y since filing, no plan document</t>
        </is>
      </c>
      <c r="AP90" s="29" t="inlineStr">
        <is>
          <t>AMERICANA</t>
        </is>
      </c>
      <c r="AQ90" s="29" t="inlineStr">
        <is>
          <t>SP</t>
        </is>
      </c>
      <c r="AR90" s="29" t="inlineStr">
        <is>
          <t>Preparação e fiação de fibras de algodão</t>
        </is>
      </c>
      <c r="AS90" s="29" t="inlineStr">
        <is>
          <t>DEMAIS</t>
        </is>
      </c>
      <c r="AT90" s="29" t="inlineStr">
        <is>
          <t>MID-MARKET</t>
        </is>
      </c>
      <c r="AU90" s="29" t="inlineStr">
        <is>
          <t>43237254</t>
        </is>
      </c>
      <c r="AV90" s="29" t="n">
        <v>1</v>
      </c>
      <c r="AW90" s="29" t="inlineStr">
        <is>
          <t>ROWS:p18r50 UNRECONCILED_SOURCE</t>
        </is>
      </c>
    </row>
    <row r="91">
      <c r="A91" s="15" t="inlineStr">
        <is>
          <t>IPIRANGA PRODUTOS DE PETROLEO S.A.</t>
        </is>
      </c>
      <c r="B91" s="16" t="n">
        <v>4589364.33</v>
      </c>
      <c r="C91" s="17" t="inlineStr"/>
      <c r="D91" s="18" t="inlineStr">
        <is>
          <t>NEW</t>
        </is>
      </c>
      <c r="E91" s="19" t="inlineStr"/>
      <c r="F91" s="18" t="inlineStr"/>
      <c r="G91" s="19" t="inlineStr"/>
      <c r="H91" s="18" t="inlineStr"/>
      <c r="I91" s="20" t="inlineStr">
        <is>
          <t>CARLOS FREDERICO RESENDE</t>
        </is>
      </c>
      <c r="J91" s="20" t="inlineStr">
        <is>
          <t>Administrador</t>
        </is>
      </c>
      <c r="K91" s="20" t="inlineStr">
        <is>
          <t>(21) 2574-5858</t>
        </is>
      </c>
      <c r="L91" s="20" t="inlineStr"/>
      <c r="M91" s="20" t="inlineStr"/>
      <c r="N91" s="20" t="inlineStr"/>
      <c r="O91" s="20" t="inlineStr"/>
      <c r="P91" s="20" t="inlineStr">
        <is>
          <t>CRISTIANE SILVA LEITE</t>
        </is>
      </c>
      <c r="Q91" s="20" t="inlineStr">
        <is>
          <t>Diretor</t>
        </is>
      </c>
      <c r="R91" s="20" t="inlineStr">
        <is>
          <t>(21) 2574-5858</t>
        </is>
      </c>
      <c r="S91" s="20" t="inlineStr"/>
      <c r="T91" s="21" t="n">
        <v>4589364.33</v>
      </c>
      <c r="U91" s="30" t="inlineStr">
        <is>
          <t>?</t>
        </is>
      </c>
      <c r="V91" s="23">
        <f>IFERROR(VLOOKUP(U91,Assumptions!$A$7:$D$11,2,FALSE),0)</f>
        <v/>
      </c>
      <c r="W91" s="24">
        <f>MAX(0.5,IFERROR(VLOOKUP(U91,Assumptions!$A$7:$D$11,3,FALSE),3)+IFERROR(VLOOKUP(U91,Assumptions!$A$7:$D$11,4,FALSE),8)/2-IF(AN91="",0,YEAR(TODAY())-AN91))</f>
        <v/>
      </c>
      <c r="X91" s="21">
        <f>T91*V91/(1+Assumptions!$B$3)^W91</f>
        <v/>
      </c>
      <c r="Y91" s="25">
        <f>IF(T91=0,"",ROUND(X91/T91*100,1))</f>
        <v/>
      </c>
      <c r="Z91" s="26">
        <f>X91*Assumptions!$B$4</f>
        <v/>
      </c>
      <c r="AA91" s="25">
        <f>IF(T91=0,"",ROUND(Z91/T91*100,1))</f>
        <v/>
      </c>
      <c r="AB91" s="26">
        <f>X91-Z91</f>
        <v/>
      </c>
      <c r="AC91" s="25">
        <f>IF(T91=0,"",ROUND((X91-Z91)/T91*100,1))</f>
        <v/>
      </c>
      <c r="AD91" s="27" t="inlineStr">
        <is>
          <t>UNKNOWN</t>
        </is>
      </c>
      <c r="AE91" s="28" t="inlineStr">
        <is>
          <t>https://ajruiz.com.br/sites/default/files/public/arquivos-processos/2023-11/4_relacao_de_credores_analitica_art._51_iii_da_lre.pdf</t>
        </is>
      </c>
      <c r="AF91" s="27" t="inlineStr">
        <is>
          <t>p3 r20</t>
        </is>
      </c>
      <c r="AG91" s="27" t="inlineStr">
        <is>
          <t>p3: R$ 4.589.364,33</t>
        </is>
      </c>
      <c r="AH91" s="27" t="inlineStr">
        <is>
          <t>UNKNOWN</t>
        </is>
      </c>
      <c r="AI91" s="27" t="inlineStr"/>
      <c r="AJ91" s="27" t="inlineStr">
        <is>
          <t>OK</t>
        </is>
      </c>
      <c r="AK91" s="29" t="inlineStr">
        <is>
          <t>(not printed)</t>
        </is>
      </c>
      <c r="AL91" s="29" t="inlineStr"/>
      <c r="AM91" s="29" t="inlineStr"/>
      <c r="AN91" s="29" t="inlineStr"/>
      <c r="AO91" s="29" t="inlineStr">
        <is>
          <t>RJ case number not identified on the document</t>
        </is>
      </c>
      <c r="AP91" s="29" t="inlineStr">
        <is>
          <t>RIO DE JANEIRO</t>
        </is>
      </c>
      <c r="AQ91" s="29" t="inlineStr">
        <is>
          <t>RJ</t>
        </is>
      </c>
      <c r="AR91" s="29" t="inlineStr">
        <is>
          <t>Comércio atacadista de álcool carburante, biodiesel, gasolina e demais derivados de petróleo, exceto lubrificantes, não realizado por transportador re</t>
        </is>
      </c>
      <c r="AS91" s="29" t="inlineStr">
        <is>
          <t>DEMAIS</t>
        </is>
      </c>
      <c r="AT91" s="29" t="inlineStr">
        <is>
          <t>LARGE CORP</t>
        </is>
      </c>
      <c r="AU91" s="29" t="inlineStr">
        <is>
          <t>33337122</t>
        </is>
      </c>
      <c r="AV91" s="29" t="n">
        <v>1</v>
      </c>
      <c r="AW91" s="29" t="inlineStr">
        <is>
          <t>ROWS:p3r20 CASE_NUMBER_CORRECTED</t>
        </is>
      </c>
    </row>
    <row r="92">
      <c r="A92" s="15" t="inlineStr">
        <is>
          <t>KARINA PLASTICOS LTDA</t>
        </is>
      </c>
      <c r="B92" s="16" t="n">
        <v>1557723.71</v>
      </c>
      <c r="C92" s="17" t="inlineStr">
        <is>
          <t>Conduscabos Brasil Indústria Comércio de</t>
        </is>
      </c>
      <c r="D92" s="18" t="inlineStr">
        <is>
          <t>NEW</t>
        </is>
      </c>
      <c r="E92" s="19" t="inlineStr"/>
      <c r="F92" s="18" t="inlineStr"/>
      <c r="G92" s="19" t="inlineStr"/>
      <c r="H92" s="18" t="inlineStr"/>
      <c r="I92" s="20" t="inlineStr">
        <is>
          <t>Camila Sartori</t>
        </is>
      </c>
      <c r="J92" s="20" t="inlineStr">
        <is>
          <t>Coordenadora de Crédito e Cobrança</t>
        </is>
      </c>
      <c r="K92" s="20" t="inlineStr">
        <is>
          <t>(11) 2440-8477</t>
        </is>
      </c>
      <c r="L92" s="20" t="inlineStr">
        <is>
          <t>(11) 2463-2920</t>
        </is>
      </c>
      <c r="M92" s="20" t="inlineStr"/>
      <c r="N92" s="20" t="inlineStr"/>
      <c r="O92" s="20" t="inlineStr">
        <is>
          <t>fernando.costa@karina.com.br</t>
        </is>
      </c>
      <c r="P92" s="20" t="inlineStr">
        <is>
          <t>Fernando Costa</t>
        </is>
      </c>
      <c r="Q92" s="20" t="inlineStr">
        <is>
          <t>Director</t>
        </is>
      </c>
      <c r="R92" s="20" t="inlineStr"/>
      <c r="S92" s="20" t="inlineStr">
        <is>
          <t>fernando.costa@karina.com.br</t>
        </is>
      </c>
      <c r="T92" s="21" t="n">
        <v>1557723.71</v>
      </c>
      <c r="U92" s="22" t="inlineStr">
        <is>
          <t>B</t>
        </is>
      </c>
      <c r="V92" s="23">
        <f>IFERROR(VLOOKUP(U92,Assumptions!$A$7:$D$11,2,FALSE),0)</f>
        <v/>
      </c>
      <c r="W92" s="24">
        <f>MAX(0.5,IFERROR(VLOOKUP(U92,Assumptions!$A$7:$D$11,3,FALSE),3)+IFERROR(VLOOKUP(U92,Assumptions!$A$7:$D$11,4,FALSE),8)/2-IF(AN92="",0,YEAR(TODAY())-AN92))</f>
        <v/>
      </c>
      <c r="X92" s="21">
        <f>T92*V92/(1+Assumptions!$B$3)^W92</f>
        <v/>
      </c>
      <c r="Y92" s="25">
        <f>IF(T92=0,"",ROUND(X92/T92*100,1))</f>
        <v/>
      </c>
      <c r="Z92" s="26">
        <f>X92*Assumptions!$B$4</f>
        <v/>
      </c>
      <c r="AA92" s="25">
        <f>IF(T92=0,"",ROUND(Z92/T92*100,1))</f>
        <v/>
      </c>
      <c r="AB92" s="26">
        <f>X92-Z92</f>
        <v/>
      </c>
      <c r="AC92" s="25">
        <f>IF(T92=0,"",ROUND((X92-Z92)/T92*100,1))</f>
        <v/>
      </c>
      <c r="AD92" s="27" t="inlineStr">
        <is>
          <t>ESTIMATED</t>
        </is>
      </c>
      <c r="AE92" s="28" t="inlineStr">
        <is>
          <t>https://assistjud.com.br/wp-content/uploads/elementor/forms/65098c80a5824.pdf</t>
        </is>
      </c>
      <c r="AF92" s="27" t="inlineStr">
        <is>
          <t>p8 r5</t>
        </is>
      </c>
      <c r="AG92" s="27" t="inlineStr">
        <is>
          <t>p8: R$ 1.557.723,71</t>
        </is>
      </c>
      <c r="AH92" s="27" t="inlineStr">
        <is>
          <t>AJ_LIST</t>
        </is>
      </c>
      <c r="AI92" s="27" t="inlineStr">
        <is>
          <t>2023-09-18</t>
        </is>
      </c>
      <c r="AJ92" s="27" t="inlineStr">
        <is>
          <t>OK_NO_TOTALS</t>
        </is>
      </c>
      <c r="AK92" s="29" t="inlineStr">
        <is>
          <t>8005129-09.2023.8.05.0039</t>
        </is>
      </c>
      <c r="AL92" s="29" t="inlineStr">
        <is>
          <t>TJBA</t>
        </is>
      </c>
      <c r="AM92" s="29" t="inlineStr">
        <is>
          <t>ACTIVE</t>
        </is>
      </c>
      <c r="AN92" s="29" t="n">
        <v>2023</v>
      </c>
      <c r="AO92" s="29" t="inlineStr">
        <is>
          <t>live case, no plan document yet</t>
        </is>
      </c>
      <c r="AP92" s="29" t="inlineStr">
        <is>
          <t>GUARULHOS</t>
        </is>
      </c>
      <c r="AQ92" s="29" t="inlineStr">
        <is>
          <t>SP</t>
        </is>
      </c>
      <c r="AR92" s="29" t="inlineStr">
        <is>
          <t>Fabricação de resinas termoplásticas</t>
        </is>
      </c>
      <c r="AS92" s="29" t="inlineStr">
        <is>
          <t>DEMAIS</t>
        </is>
      </c>
      <c r="AT92" s="29" t="inlineStr">
        <is>
          <t>MID-MARKET</t>
        </is>
      </c>
      <c r="AU92" s="29" t="inlineStr">
        <is>
          <t>51254159</t>
        </is>
      </c>
      <c r="AV92" s="29" t="n">
        <v>1</v>
      </c>
      <c r="AW92" s="29" t="inlineStr">
        <is>
          <t>ROWS:p8r5 UNRECONCILED_SOURCE</t>
        </is>
      </c>
    </row>
    <row r="93">
      <c r="A93" s="15" t="inlineStr">
        <is>
          <t>RECYCLE BAG INDUSTRIA E SERVICOS LTDA</t>
        </is>
      </c>
      <c r="B93" s="16" t="n">
        <v>1547270.31</v>
      </c>
      <c r="C93" s="17" t="inlineStr"/>
      <c r="D93" s="18" t="inlineStr">
        <is>
          <t>NEW</t>
        </is>
      </c>
      <c r="E93" s="19" t="inlineStr"/>
      <c r="F93" s="18" t="inlineStr"/>
      <c r="G93" s="19" t="inlineStr"/>
      <c r="H93" s="18" t="inlineStr"/>
      <c r="I93" s="20" t="inlineStr">
        <is>
          <t>LUIZA CRISTHINA MIRANDA CORREA</t>
        </is>
      </c>
      <c r="J93" s="20" t="inlineStr">
        <is>
          <t>Sócio-Administrador</t>
        </is>
      </c>
      <c r="K93" s="20" t="inlineStr">
        <is>
          <t>(33) 3339-1000</t>
        </is>
      </c>
      <c r="L93" s="20" t="inlineStr"/>
      <c r="M93" s="20" t="inlineStr"/>
      <c r="N93" s="20" t="inlineStr"/>
      <c r="O93" s="20" t="inlineStr"/>
      <c r="P93" s="20" t="inlineStr"/>
      <c r="Q93" s="20" t="inlineStr"/>
      <c r="R93" s="20" t="inlineStr"/>
      <c r="S93" s="20" t="inlineStr"/>
      <c r="T93" s="21" t="n">
        <v>1547270.31</v>
      </c>
      <c r="U93" s="22" t="inlineStr">
        <is>
          <t>B</t>
        </is>
      </c>
      <c r="V93" s="23">
        <f>IFERROR(VLOOKUP(U93,Assumptions!$A$7:$D$11,2,FALSE),0)</f>
        <v/>
      </c>
      <c r="W93" s="24">
        <f>MAX(0.5,IFERROR(VLOOKUP(U93,Assumptions!$A$7:$D$11,3,FALSE),3)+IFERROR(VLOOKUP(U93,Assumptions!$A$7:$D$11,4,FALSE),8)/2-IF(AN93="",0,YEAR(TODAY())-AN93))</f>
        <v/>
      </c>
      <c r="X93" s="21">
        <f>T93*V93/(1+Assumptions!$B$3)^W93</f>
        <v/>
      </c>
      <c r="Y93" s="25">
        <f>IF(T93=0,"",ROUND(X93/T93*100,1))</f>
        <v/>
      </c>
      <c r="Z93" s="26">
        <f>X93*Assumptions!$B$4</f>
        <v/>
      </c>
      <c r="AA93" s="25">
        <f>IF(T93=0,"",ROUND(Z93/T93*100,1))</f>
        <v/>
      </c>
      <c r="AB93" s="26">
        <f>X93-Z93</f>
        <v/>
      </c>
      <c r="AC93" s="25">
        <f>IF(T93=0,"",ROUND((X93-Z93)/T93*100,1))</f>
        <v/>
      </c>
      <c r="AD93" s="27" t="inlineStr">
        <is>
          <t>ESTIMATED</t>
        </is>
      </c>
      <c r="AE93" s="28" t="inlineStr">
        <is>
          <t>https://cataliseaj.com.br/sgc/download.php?file=files/processo_documento/processo_documento15092204102024_1_.pdf&amp;nome=02. RELAÇÃO DE CREDORES</t>
        </is>
      </c>
      <c r="AF93" s="27" t="inlineStr">
        <is>
          <t>p3 r10</t>
        </is>
      </c>
      <c r="AG93" s="27" t="inlineStr">
        <is>
          <t>p3: R$ 1.547.270,31</t>
        </is>
      </c>
      <c r="AH93" s="27" t="inlineStr">
        <is>
          <t>DEBTOR_LIST</t>
        </is>
      </c>
      <c r="AI93" s="27" t="inlineStr"/>
      <c r="AJ93" s="27" t="inlineStr">
        <is>
          <t>OK_NO_TOTALS</t>
        </is>
      </c>
      <c r="AK93" s="29" t="inlineStr">
        <is>
          <t>5011460-87.2023.8.24.0020</t>
        </is>
      </c>
      <c r="AL93" s="29" t="inlineStr">
        <is>
          <t>TJSC</t>
        </is>
      </c>
      <c r="AM93" s="29" t="inlineStr">
        <is>
          <t>ACTIVE</t>
        </is>
      </c>
      <c r="AN93" s="29" t="n">
        <v>2023</v>
      </c>
      <c r="AO93" s="29" t="inlineStr">
        <is>
          <t>live case, no plan document yet</t>
        </is>
      </c>
      <c r="AP93" s="29" t="inlineStr">
        <is>
          <t>MANHUACU</t>
        </is>
      </c>
      <c r="AQ93" s="29" t="inlineStr">
        <is>
          <t>MG</t>
        </is>
      </c>
      <c r="AR93" s="29" t="inlineStr">
        <is>
          <t>Fabricação de outros produtos têxteis não especificados anteriormente</t>
        </is>
      </c>
      <c r="AS93" s="29" t="inlineStr">
        <is>
          <t>EMPRESA DE PEQUENO PORTE</t>
        </is>
      </c>
      <c r="AT93" s="29" t="inlineStr">
        <is>
          <t>SMALL</t>
        </is>
      </c>
      <c r="AU93" s="29" t="inlineStr">
        <is>
          <t>23141884</t>
        </is>
      </c>
      <c r="AV93" s="29" t="n">
        <v>1</v>
      </c>
      <c r="AW93" s="29" t="inlineStr">
        <is>
          <t>ROWS:p3r10 UNRECONCILED_SOURCE</t>
        </is>
      </c>
    </row>
    <row r="94">
      <c r="A94" s="15" t="inlineStr">
        <is>
          <t>CROMO INDUSTRIA QUIMICA S.A.</t>
        </is>
      </c>
      <c r="B94" s="16" t="n">
        <v>2406485.64</v>
      </c>
      <c r="C94" s="17" t="inlineStr">
        <is>
          <t>NORTESUL COMERCIAL AGRICOLA LTDA EM RECUPERACAO JUDICIAL</t>
        </is>
      </c>
      <c r="D94" s="18" t="inlineStr">
        <is>
          <t>NEW</t>
        </is>
      </c>
      <c r="E94" s="19" t="inlineStr"/>
      <c r="F94" s="18" t="inlineStr"/>
      <c r="G94" s="19" t="inlineStr"/>
      <c r="H94" s="18" t="inlineStr"/>
      <c r="I94" s="20" t="inlineStr">
        <is>
          <t>Jessica Stacke</t>
        </is>
      </c>
      <c r="J94" s="20" t="inlineStr">
        <is>
          <t>Coordenadora de FP&amp;A</t>
        </is>
      </c>
      <c r="K94" s="20" t="inlineStr">
        <is>
          <t>(11) 4130-8138</t>
        </is>
      </c>
      <c r="L94" s="20" t="inlineStr"/>
      <c r="M94" s="20" t="inlineStr"/>
      <c r="N94" s="20" t="inlineStr">
        <is>
          <t>jessica.stacke@cromoquimica.com.br</t>
        </is>
      </c>
      <c r="O94" s="20" t="inlineStr">
        <is>
          <t>bruna.santos@cromoquimica.com.br</t>
        </is>
      </c>
      <c r="P94" s="20" t="inlineStr">
        <is>
          <t>Bruna Santos</t>
        </is>
      </c>
      <c r="Q94" s="20" t="inlineStr">
        <is>
          <t>Technical Sales Representative</t>
        </is>
      </c>
      <c r="R94" s="20" t="inlineStr"/>
      <c r="S94" s="20" t="inlineStr">
        <is>
          <t>bruna.santos@cromoquimica.com.br</t>
        </is>
      </c>
      <c r="T94" s="21" t="n">
        <v>2406485.64</v>
      </c>
      <c r="U94" s="22" t="inlineStr">
        <is>
          <t>B</t>
        </is>
      </c>
      <c r="V94" s="23">
        <f>IFERROR(VLOOKUP(U94,Assumptions!$A$7:$D$11,2,FALSE),0)</f>
        <v/>
      </c>
      <c r="W94" s="24">
        <f>MAX(0.5,IFERROR(VLOOKUP(U94,Assumptions!$A$7:$D$11,3,FALSE),3)+IFERROR(VLOOKUP(U94,Assumptions!$A$7:$D$11,4,FALSE),8)/2-IF(AN94="",0,YEAR(TODAY())-AN94))</f>
        <v/>
      </c>
      <c r="X94" s="21">
        <f>T94*V94/(1+Assumptions!$B$3)^W94</f>
        <v/>
      </c>
      <c r="Y94" s="25">
        <f>IF(T94=0,"",ROUND(X94/T94*100,1))</f>
        <v/>
      </c>
      <c r="Z94" s="26">
        <f>X94*Assumptions!$B$4</f>
        <v/>
      </c>
      <c r="AA94" s="25">
        <f>IF(T94=0,"",ROUND(Z94/T94*100,1))</f>
        <v/>
      </c>
      <c r="AB94" s="26">
        <f>X94-Z94</f>
        <v/>
      </c>
      <c r="AC94" s="25">
        <f>IF(T94=0,"",ROUND((X94-Z94)/T94*100,1))</f>
        <v/>
      </c>
      <c r="AD94" s="27" t="inlineStr">
        <is>
          <t>ESTIMATED</t>
        </is>
      </c>
      <c r="AE94" s="28" t="inlineStr">
        <is>
          <t>https://lrflideres.com.br/wp-content/plugins/download-attachments/includes/download.php?id=6879</t>
        </is>
      </c>
      <c r="AF94" s="27" t="inlineStr">
        <is>
          <t>p1 r11</t>
        </is>
      </c>
      <c r="AG94" s="27" t="inlineStr">
        <is>
          <t>p1: R$ 2.406.485,64</t>
        </is>
      </c>
      <c r="AH94" s="27" t="inlineStr">
        <is>
          <t>AJ_LIST</t>
        </is>
      </c>
      <c r="AI94" s="27" t="inlineStr">
        <is>
          <t>2026-01-15</t>
        </is>
      </c>
      <c r="AJ94" s="27" t="inlineStr">
        <is>
          <t>OK</t>
        </is>
      </c>
      <c r="AK94" s="29" t="inlineStr">
        <is>
          <t>0804401-51.2025.8.14.0039</t>
        </is>
      </c>
      <c r="AL94" s="29" t="inlineStr">
        <is>
          <t>TJPA</t>
        </is>
      </c>
      <c r="AM94" s="29" t="inlineStr">
        <is>
          <t>ACTIVE</t>
        </is>
      </c>
      <c r="AN94" s="29" t="n">
        <v>2025</v>
      </c>
      <c r="AO94" s="29" t="inlineStr">
        <is>
          <t>live case, no plan document yet</t>
        </is>
      </c>
      <c r="AP94" s="29" t="inlineStr">
        <is>
          <t>ESTRELA</t>
        </is>
      </c>
      <c r="AQ94" s="29" t="inlineStr">
        <is>
          <t>RS</t>
        </is>
      </c>
      <c r="AR94" s="29" t="inlineStr">
        <is>
          <t>Fabricação de outros produtos químicos não especificados anteriormente</t>
        </is>
      </c>
      <c r="AS94" s="29" t="inlineStr">
        <is>
          <t>DEMAIS</t>
        </is>
      </c>
      <c r="AT94" s="29" t="inlineStr">
        <is>
          <t>MID-MARKET</t>
        </is>
      </c>
      <c r="AU94" s="29" t="inlineStr">
        <is>
          <t>31281962</t>
        </is>
      </c>
      <c r="AV94" s="29" t="n">
        <v>1</v>
      </c>
      <c r="AW94" s="29" t="inlineStr">
        <is>
          <t>ROWS:p1r11</t>
        </is>
      </c>
    </row>
    <row r="95">
      <c r="A95" s="15" t="inlineStr">
        <is>
          <t>FML INCORPORADORA LTDA</t>
        </is>
      </c>
      <c r="B95" s="16" t="n">
        <v>1535860.08</v>
      </c>
      <c r="C95" s="17" t="inlineStr">
        <is>
          <t>VEV COMERCIO DE MEDICAMENTOS LTDA EM RECUPERACAO JUDICIAL</t>
        </is>
      </c>
      <c r="D95" s="18" t="inlineStr">
        <is>
          <t>NEW</t>
        </is>
      </c>
      <c r="E95" s="19" t="inlineStr"/>
      <c r="F95" s="18" t="inlineStr"/>
      <c r="G95" s="19" t="inlineStr"/>
      <c r="H95" s="18" t="inlineStr"/>
      <c r="I95" s="20" t="inlineStr">
        <is>
          <t>JOSE CARLOS SALVADORI</t>
        </is>
      </c>
      <c r="J95" s="20" t="inlineStr">
        <is>
          <t>Administrador</t>
        </is>
      </c>
      <c r="K95" s="20" t="inlineStr">
        <is>
          <t>(41) 2169-2874</t>
        </is>
      </c>
      <c r="L95" s="20" t="inlineStr">
        <is>
          <t>(41) 2169-2800</t>
        </is>
      </c>
      <c r="M95" s="20" t="inlineStr"/>
      <c r="N95" s="20" t="inlineStr"/>
      <c r="O95" s="20" t="inlineStr"/>
      <c r="P95" s="20" t="inlineStr"/>
      <c r="Q95" s="20" t="inlineStr"/>
      <c r="R95" s="20" t="inlineStr"/>
      <c r="S95" s="20" t="inlineStr"/>
      <c r="T95" s="21" t="n">
        <v>1535860.08</v>
      </c>
      <c r="U95" s="22" t="inlineStr">
        <is>
          <t>B</t>
        </is>
      </c>
      <c r="V95" s="23">
        <f>IFERROR(VLOOKUP(U95,Assumptions!$A$7:$D$11,2,FALSE),0)</f>
        <v/>
      </c>
      <c r="W95" s="24">
        <f>MAX(0.5,IFERROR(VLOOKUP(U95,Assumptions!$A$7:$D$11,3,FALSE),3)+IFERROR(VLOOKUP(U95,Assumptions!$A$7:$D$11,4,FALSE),8)/2-IF(AN95="",0,YEAR(TODAY())-AN95))</f>
        <v/>
      </c>
      <c r="X95" s="21">
        <f>T95*V95/(1+Assumptions!$B$3)^W95</f>
        <v/>
      </c>
      <c r="Y95" s="25">
        <f>IF(T95=0,"",ROUND(X95/T95*100,1))</f>
        <v/>
      </c>
      <c r="Z95" s="26">
        <f>X95*Assumptions!$B$4</f>
        <v/>
      </c>
      <c r="AA95" s="25">
        <f>IF(T95=0,"",ROUND(Z95/T95*100,1))</f>
        <v/>
      </c>
      <c r="AB95" s="26">
        <f>X95-Z95</f>
        <v/>
      </c>
      <c r="AC95" s="25">
        <f>IF(T95=0,"",ROUND((X95-Z95)/T95*100,1))</f>
        <v/>
      </c>
      <c r="AD95" s="27" t="inlineStr">
        <is>
          <t>ESTIMATED</t>
        </is>
      </c>
      <c r="AE95" s="28" t="inlineStr">
        <is>
          <t>https://marquesadmjudicial.com.br/sgc/download.php?file=files/processo_documento/processo_documento15293208032024_1_.pdf&amp;nome=Relação Nominal de Credores da AJ-Sintética</t>
        </is>
      </c>
      <c r="AF95" s="27" t="inlineStr">
        <is>
          <t>p25 r10</t>
        </is>
      </c>
      <c r="AG95" s="27" t="inlineStr">
        <is>
          <t>p25: R$ 1.535.860,08</t>
        </is>
      </c>
      <c r="AH95" s="27" t="inlineStr">
        <is>
          <t>AJ_LIST</t>
        </is>
      </c>
      <c r="AI95" s="27" t="inlineStr">
        <is>
          <t>2023-03-02</t>
        </is>
      </c>
      <c r="AJ95" s="27" t="inlineStr">
        <is>
          <t>QUARANTINED</t>
        </is>
      </c>
      <c r="AK95" s="29" t="inlineStr">
        <is>
          <t>0005010-98.2023.8.16.0001</t>
        </is>
      </c>
      <c r="AL95" s="29" t="inlineStr">
        <is>
          <t>TJPR</t>
        </is>
      </c>
      <c r="AM95" s="29" t="inlineStr">
        <is>
          <t>ACTIVE</t>
        </is>
      </c>
      <c r="AN95" s="29" t="n">
        <v>2023</v>
      </c>
      <c r="AO95" s="29" t="inlineStr">
        <is>
          <t>live case, no plan document yet</t>
        </is>
      </c>
      <c r="AP95" s="29" t="inlineStr">
        <is>
          <t>CURITIBA</t>
        </is>
      </c>
      <c r="AQ95" s="29" t="inlineStr">
        <is>
          <t>PR</t>
        </is>
      </c>
      <c r="AR95" s="29" t="inlineStr">
        <is>
          <t>Incorporação de empreendimentos imobiliários</t>
        </is>
      </c>
      <c r="AS95" s="29" t="inlineStr">
        <is>
          <t>DEMAIS</t>
        </is>
      </c>
      <c r="AT95" s="29" t="inlineStr">
        <is>
          <t>MID-MARKET</t>
        </is>
      </c>
      <c r="AU95" s="29" t="inlineStr">
        <is>
          <t>75724070</t>
        </is>
      </c>
      <c r="AV95" s="29" t="n">
        <v>1</v>
      </c>
      <c r="AW95" s="29" t="inlineStr">
        <is>
          <t>PARTIAL_DOC_CLASS_III_RECONCILED ROWS:p25r10</t>
        </is>
      </c>
    </row>
    <row r="96">
      <c r="A96" s="15" t="inlineStr">
        <is>
          <t>DIMACI MATERIAL CIRURGICO LTDA</t>
        </is>
      </c>
      <c r="B96" s="16" t="n">
        <v>1222974.01</v>
      </c>
      <c r="C96" s="17" t="inlineStr">
        <is>
          <t>ASSOCIACAO DE CARIDADE SANTA CASA DE RIO GRANDE</t>
        </is>
      </c>
      <c r="D96" s="18" t="inlineStr">
        <is>
          <t>NEW</t>
        </is>
      </c>
      <c r="E96" s="19" t="inlineStr"/>
      <c r="F96" s="18" t="inlineStr"/>
      <c r="G96" s="19" t="inlineStr"/>
      <c r="H96" s="18" t="inlineStr"/>
      <c r="I96" s="20" t="inlineStr">
        <is>
          <t>Sabrina Rosa</t>
        </is>
      </c>
      <c r="J96" s="20" t="inlineStr">
        <is>
          <t>Sales Coordinator</t>
        </is>
      </c>
      <c r="K96" s="20" t="inlineStr">
        <is>
          <t>(51) 3330-6111</t>
        </is>
      </c>
      <c r="L96" s="20" t="inlineStr"/>
      <c r="M96" s="20" t="inlineStr"/>
      <c r="N96" s="20" t="inlineStr"/>
      <c r="O96" s="20" t="inlineStr"/>
      <c r="P96" s="20" t="inlineStr">
        <is>
          <t>PAULO CESAR LAPINSCKI</t>
        </is>
      </c>
      <c r="Q96" s="20" t="inlineStr">
        <is>
          <t>Administrador</t>
        </is>
      </c>
      <c r="R96" s="20" t="inlineStr">
        <is>
          <t>(51) 3330-6111</t>
        </is>
      </c>
      <c r="S96" s="20" t="inlineStr"/>
      <c r="T96" s="21" t="n">
        <v>1222974.01</v>
      </c>
      <c r="U96" s="22" t="inlineStr">
        <is>
          <t>B</t>
        </is>
      </c>
      <c r="V96" s="23">
        <f>IFERROR(VLOOKUP(U96,Assumptions!$A$7:$D$11,2,FALSE),0)</f>
        <v/>
      </c>
      <c r="W96" s="24">
        <f>MAX(0.5,IFERROR(VLOOKUP(U96,Assumptions!$A$7:$D$11,3,FALSE),3)+IFERROR(VLOOKUP(U96,Assumptions!$A$7:$D$11,4,FALSE),8)/2-IF(AN96="",0,YEAR(TODAY())-AN96))</f>
        <v/>
      </c>
      <c r="X96" s="21">
        <f>T96*V96/(1+Assumptions!$B$3)^W96</f>
        <v/>
      </c>
      <c r="Y96" s="25">
        <f>IF(T96=0,"",ROUND(X96/T96*100,1))</f>
        <v/>
      </c>
      <c r="Z96" s="26">
        <f>X96*Assumptions!$B$4</f>
        <v/>
      </c>
      <c r="AA96" s="25">
        <f>IF(T96=0,"",ROUND(Z96/T96*100,1))</f>
        <v/>
      </c>
      <c r="AB96" s="26">
        <f>X96-Z96</f>
        <v/>
      </c>
      <c r="AC96" s="25">
        <f>IF(T96=0,"",ROUND((X96-Z96)/T96*100,1))</f>
        <v/>
      </c>
      <c r="AD96" s="27" t="inlineStr">
        <is>
          <t>ESTIMATED</t>
        </is>
      </c>
      <c r="AE96" s="28" t="inlineStr">
        <is>
          <t>https://scalzilliaj.com.br/sgc/download.php?file=files/processo_documento/processo_documento09120721032023_1_.pdf&amp;nome=15 - Edital do art. 7º, §2º e 53 da Lei 11.101/2005 (segunda lista de credores e recebimento do plano))</t>
        </is>
      </c>
      <c r="AF96" s="27" t="inlineStr">
        <is>
          <t>p27 r6</t>
        </is>
      </c>
      <c r="AG96" s="27" t="inlineStr">
        <is>
          <t>p27: R$ 1.222.974,01</t>
        </is>
      </c>
      <c r="AH96" s="27" t="inlineStr">
        <is>
          <t>AJ_LIST</t>
        </is>
      </c>
      <c r="AI96" s="27" t="inlineStr">
        <is>
          <t>2023-03-21</t>
        </is>
      </c>
      <c r="AJ96" s="27" t="inlineStr">
        <is>
          <t>OK_NO_TOTALS</t>
        </is>
      </c>
      <c r="AK96" s="29" t="inlineStr">
        <is>
          <t>5012306-16.2022.8.21.0023</t>
        </is>
      </c>
      <c r="AL96" s="29" t="inlineStr">
        <is>
          <t>TJRS</t>
        </is>
      </c>
      <c r="AM96" s="29" t="inlineStr">
        <is>
          <t>ACTIVE</t>
        </is>
      </c>
      <c r="AN96" s="29" t="n">
        <v>2022</v>
      </c>
      <c r="AO96" s="29" t="inlineStr">
        <is>
          <t>live case, no plan document yet</t>
        </is>
      </c>
      <c r="AP96" s="29" t="inlineStr">
        <is>
          <t>ELDORADO DO SUL</t>
        </is>
      </c>
      <c r="AQ96" s="29" t="inlineStr">
        <is>
          <t>RS</t>
        </is>
      </c>
      <c r="AR96" s="29" t="inlineStr">
        <is>
          <t>Comércio atacadista de medicamentos e drogas de uso humano</t>
        </is>
      </c>
      <c r="AS96" s="29" t="inlineStr">
        <is>
          <t>DEMAIS</t>
        </is>
      </c>
      <c r="AT96" s="29" t="inlineStr">
        <is>
          <t>MID-MARKET</t>
        </is>
      </c>
      <c r="AU96" s="29" t="inlineStr">
        <is>
          <t>90251109</t>
        </is>
      </c>
      <c r="AV96" s="29" t="n">
        <v>1</v>
      </c>
      <c r="AW96" s="29" t="inlineStr">
        <is>
          <t>ROWS:p27r6 UNRECONCILED_SOURCE</t>
        </is>
      </c>
    </row>
    <row r="97">
      <c r="A97" s="15" t="inlineStr">
        <is>
          <t>ITM LATIN AMERICA INDUSTRIA DE PECAS PARA TRATORES LTDA.</t>
        </is>
      </c>
      <c r="B97" s="16" t="n">
        <v>2360226.69</v>
      </c>
      <c r="C97" s="17" t="inlineStr"/>
      <c r="D97" s="18" t="inlineStr">
        <is>
          <t>NEW</t>
        </is>
      </c>
      <c r="E97" s="19" t="inlineStr"/>
      <c r="F97" s="18" t="inlineStr"/>
      <c r="G97" s="19" t="inlineStr"/>
      <c r="H97" s="18" t="inlineStr"/>
      <c r="I97" s="20" t="inlineStr">
        <is>
          <t>Anderson Miranda</t>
        </is>
      </c>
      <c r="J97" s="20" t="inlineStr">
        <is>
          <t>Director of Finance and Administration</t>
        </is>
      </c>
      <c r="K97" s="20" t="inlineStr">
        <is>
          <t>(11) 4417-7700</t>
        </is>
      </c>
      <c r="L97" s="20" t="inlineStr"/>
      <c r="M97" s="20" t="inlineStr"/>
      <c r="N97" s="20" t="inlineStr">
        <is>
          <t>amiranda@group-itm.com</t>
        </is>
      </c>
      <c r="O97" s="20" t="inlineStr">
        <is>
          <t>csordi@group-itm.com</t>
        </is>
      </c>
      <c r="P97" s="20" t="inlineStr">
        <is>
          <t>Cesar Sordi</t>
        </is>
      </c>
      <c r="Q97" s="20" t="inlineStr">
        <is>
          <t>CEO</t>
        </is>
      </c>
      <c r="R97" s="20" t="inlineStr"/>
      <c r="S97" s="20" t="inlineStr">
        <is>
          <t>csordi@group-itm.com</t>
        </is>
      </c>
      <c r="T97" s="21" t="n">
        <v>2360226.69</v>
      </c>
      <c r="U97" s="22" t="inlineStr">
        <is>
          <t>B</t>
        </is>
      </c>
      <c r="V97" s="23">
        <f>IFERROR(VLOOKUP(U97,Assumptions!$A$7:$D$11,2,FALSE),0)</f>
        <v/>
      </c>
      <c r="W97" s="24">
        <f>MAX(0.5,IFERROR(VLOOKUP(U97,Assumptions!$A$7:$D$11,3,FALSE),3)+IFERROR(VLOOKUP(U97,Assumptions!$A$7:$D$11,4,FALSE),8)/2-IF(AN97="",0,YEAR(TODAY())-AN97))</f>
        <v/>
      </c>
      <c r="X97" s="21">
        <f>T97*V97/(1+Assumptions!$B$3)^W97</f>
        <v/>
      </c>
      <c r="Y97" s="25">
        <f>IF(T97=0,"",ROUND(X97/T97*100,1))</f>
        <v/>
      </c>
      <c r="Z97" s="26">
        <f>X97*Assumptions!$B$4</f>
        <v/>
      </c>
      <c r="AA97" s="25">
        <f>IF(T97=0,"",ROUND(Z97/T97*100,1))</f>
        <v/>
      </c>
      <c r="AB97" s="26">
        <f>X97-Z97</f>
        <v/>
      </c>
      <c r="AC97" s="25">
        <f>IF(T97=0,"",ROUND((X97-Z97)/T97*100,1))</f>
        <v/>
      </c>
      <c r="AD97" s="27" t="inlineStr">
        <is>
          <t>UNKNOWN</t>
        </is>
      </c>
      <c r="AE97" s="28" t="inlineStr">
        <is>
          <t>https://credibilita.com.br/wp-content/uploads/2025/09/Relacao-Credores-29.04.2026.pdf</t>
        </is>
      </c>
      <c r="AF97" s="27" t="inlineStr">
        <is>
          <t>p1 r29</t>
        </is>
      </c>
      <c r="AG97" s="27" t="inlineStr">
        <is>
          <t>p1: R$ 2.360.226,69</t>
        </is>
      </c>
      <c r="AH97" s="27" t="inlineStr">
        <is>
          <t>UNKNOWN</t>
        </is>
      </c>
      <c r="AI97" s="27" t="inlineStr"/>
      <c r="AJ97" s="27" t="inlineStr">
        <is>
          <t>OK_NO_TOTALS</t>
        </is>
      </c>
      <c r="AK97" s="29" t="inlineStr">
        <is>
          <t>5057720-48.2025.8.24.0023</t>
        </is>
      </c>
      <c r="AL97" s="29" t="inlineStr">
        <is>
          <t>TJ</t>
        </is>
      </c>
      <c r="AM97" s="29" t="inlineStr"/>
      <c r="AN97" s="29" t="n">
        <v>2025</v>
      </c>
      <c r="AO97" s="29" t="inlineStr">
        <is>
          <t>live case, no plan document yet</t>
        </is>
      </c>
      <c r="AP97" s="29" t="inlineStr">
        <is>
          <t>ATIBAIA</t>
        </is>
      </c>
      <c r="AQ97" s="29" t="inlineStr">
        <is>
          <t>SP</t>
        </is>
      </c>
      <c r="AR97" s="29" t="inlineStr">
        <is>
          <t>Fabricação de outras peças e acessórios para veículos automotores não especificadas anteriormente</t>
        </is>
      </c>
      <c r="AS97" s="29" t="inlineStr">
        <is>
          <t>DEMAIS</t>
        </is>
      </c>
      <c r="AT97" s="29" t="inlineStr">
        <is>
          <t>MID-MARKET</t>
        </is>
      </c>
      <c r="AU97" s="29" t="inlineStr">
        <is>
          <t>61352050</t>
        </is>
      </c>
      <c r="AV97" s="29" t="n">
        <v>1</v>
      </c>
      <c r="AW97" s="29" t="inlineStr">
        <is>
          <t>ROWS:p1r29 UNRECONCILED_SOURCE VALUE_COL:Valor_Após_Analise</t>
        </is>
      </c>
    </row>
    <row r="98">
      <c r="A98" s="15" t="inlineStr">
        <is>
          <t>NATULAB LABORATORIO S.A</t>
        </is>
      </c>
      <c r="B98" s="16" t="n">
        <v>1481337.86</v>
      </c>
      <c r="C98" s="17" t="inlineStr">
        <is>
          <t>VEV COMERCIO DE MEDICAMENTOS LTDA EM RECUPERACAO JUDICIAL</t>
        </is>
      </c>
      <c r="D98" s="18" t="inlineStr">
        <is>
          <t>NEW</t>
        </is>
      </c>
      <c r="E98" s="19" t="inlineStr"/>
      <c r="F98" s="18" t="inlineStr"/>
      <c r="G98" s="19" t="inlineStr"/>
      <c r="H98" s="18" t="inlineStr"/>
      <c r="I98" s="20" t="inlineStr">
        <is>
          <t>Alexandre Yazbek</t>
        </is>
      </c>
      <c r="J98" s="20" t="inlineStr">
        <is>
          <t>CFO | Diretor Financeiro</t>
        </is>
      </c>
      <c r="K98" s="20" t="inlineStr">
        <is>
          <t>(75) 3311-5555</t>
        </is>
      </c>
      <c r="L98" s="20" t="inlineStr"/>
      <c r="M98" s="20" t="inlineStr"/>
      <c r="N98" s="20" t="inlineStr">
        <is>
          <t>alexandreyazbek@natulab.com.br</t>
        </is>
      </c>
      <c r="O98" s="20" t="inlineStr">
        <is>
          <t>emersonpimentel@natulab.com.br</t>
        </is>
      </c>
      <c r="P98" s="20" t="inlineStr">
        <is>
          <t>Emerson Pimentel</t>
        </is>
      </c>
      <c r="Q98" s="20" t="inlineStr">
        <is>
          <t>Analista de Crédito e Cobrança Sênior</t>
        </is>
      </c>
      <c r="R98" s="20" t="inlineStr"/>
      <c r="S98" s="20" t="inlineStr">
        <is>
          <t>emersonpimentel@natulab.com.br</t>
        </is>
      </c>
      <c r="T98" s="21" t="n">
        <v>1481337.86</v>
      </c>
      <c r="U98" s="22" t="inlineStr">
        <is>
          <t>B</t>
        </is>
      </c>
      <c r="V98" s="23">
        <f>IFERROR(VLOOKUP(U98,Assumptions!$A$7:$D$11,2,FALSE),0)</f>
        <v/>
      </c>
      <c r="W98" s="24">
        <f>MAX(0.5,IFERROR(VLOOKUP(U98,Assumptions!$A$7:$D$11,3,FALSE),3)+IFERROR(VLOOKUP(U98,Assumptions!$A$7:$D$11,4,FALSE),8)/2-IF(AN98="",0,YEAR(TODAY())-AN98))</f>
        <v/>
      </c>
      <c r="X98" s="21">
        <f>T98*V98/(1+Assumptions!$B$3)^W98</f>
        <v/>
      </c>
      <c r="Y98" s="25">
        <f>IF(T98=0,"",ROUND(X98/T98*100,1))</f>
        <v/>
      </c>
      <c r="Z98" s="26">
        <f>X98*Assumptions!$B$4</f>
        <v/>
      </c>
      <c r="AA98" s="25">
        <f>IF(T98=0,"",ROUND(Z98/T98*100,1))</f>
        <v/>
      </c>
      <c r="AB98" s="26">
        <f>X98-Z98</f>
        <v/>
      </c>
      <c r="AC98" s="25">
        <f>IF(T98=0,"",ROUND((X98-Z98)/T98*100,1))</f>
        <v/>
      </c>
      <c r="AD98" s="27" t="inlineStr">
        <is>
          <t>ESTIMATED</t>
        </is>
      </c>
      <c r="AE98" s="28" t="inlineStr">
        <is>
          <t>https://marquesadmjudicial.com.br/sgc/download.php?file=files/processo_documento/processo_documento15293208032024_1_.pdf&amp;nome=Relação Nominal de Credores da AJ-Sintética</t>
        </is>
      </c>
      <c r="AF98" s="27" t="inlineStr">
        <is>
          <t>p29 r10</t>
        </is>
      </c>
      <c r="AG98" s="27" t="inlineStr">
        <is>
          <t>p29: R$ 1.481.337,86</t>
        </is>
      </c>
      <c r="AH98" s="27" t="inlineStr">
        <is>
          <t>AJ_LIST</t>
        </is>
      </c>
      <c r="AI98" s="27" t="inlineStr">
        <is>
          <t>2023-03-02</t>
        </is>
      </c>
      <c r="AJ98" s="27" t="inlineStr">
        <is>
          <t>QUARANTINED</t>
        </is>
      </c>
      <c r="AK98" s="29" t="inlineStr">
        <is>
          <t>0005010-98.2023.8.16.0001</t>
        </is>
      </c>
      <c r="AL98" s="29" t="inlineStr">
        <is>
          <t>TJPR</t>
        </is>
      </c>
      <c r="AM98" s="29" t="inlineStr">
        <is>
          <t>ACTIVE</t>
        </is>
      </c>
      <c r="AN98" s="29" t="n">
        <v>2023</v>
      </c>
      <c r="AO98" s="29" t="inlineStr">
        <is>
          <t>live case, no plan document yet</t>
        </is>
      </c>
      <c r="AP98" s="29" t="inlineStr">
        <is>
          <t>SANTO ANTONIO DE JESUS</t>
        </is>
      </c>
      <c r="AQ98" s="29" t="inlineStr">
        <is>
          <t>BA</t>
        </is>
      </c>
      <c r="AR98" s="29" t="inlineStr">
        <is>
          <t>Fabricação de medicamentos alopáticos para uso humano</t>
        </is>
      </c>
      <c r="AS98" s="29" t="inlineStr">
        <is>
          <t>DEMAIS</t>
        </is>
      </c>
      <c r="AT98" s="29" t="inlineStr">
        <is>
          <t>LARGE CORP</t>
        </is>
      </c>
      <c r="AU98" s="29" t="inlineStr">
        <is>
          <t>02456955</t>
        </is>
      </c>
      <c r="AV98" s="29" t="n">
        <v>1</v>
      </c>
      <c r="AW98" s="29" t="inlineStr">
        <is>
          <t>PARTIAL_DOC_CLASS_III_RECONCILED ROWS:p29r10</t>
        </is>
      </c>
    </row>
    <row r="99">
      <c r="A99" s="15" t="inlineStr">
        <is>
          <t>NNC NORTE E NORDESTE COMMODITIES LTDA</t>
        </is>
      </c>
      <c r="B99" s="16" t="n">
        <v>2859701.32</v>
      </c>
      <c r="C99" s="17" t="inlineStr"/>
      <c r="D99" s="18" t="inlineStr">
        <is>
          <t>NEW</t>
        </is>
      </c>
      <c r="E99" s="19" t="inlineStr"/>
      <c r="F99" s="18" t="inlineStr"/>
      <c r="G99" s="19" t="inlineStr"/>
      <c r="H99" s="18" t="inlineStr"/>
      <c r="I99" s="20" t="inlineStr">
        <is>
          <t>OZILDE LOPES</t>
        </is>
      </c>
      <c r="J99" s="20" t="inlineStr">
        <is>
          <t>Administrador</t>
        </is>
      </c>
      <c r="K99" s="20" t="inlineStr">
        <is>
          <t>(37) 3271-9801</t>
        </is>
      </c>
      <c r="L99" s="20" t="inlineStr"/>
      <c r="M99" s="20" t="inlineStr"/>
      <c r="N99" s="20" t="inlineStr"/>
      <c r="O99" s="20" t="inlineStr"/>
      <c r="P99" s="20" t="inlineStr"/>
      <c r="Q99" s="20" t="inlineStr"/>
      <c r="R99" s="20" t="inlineStr"/>
      <c r="S99" s="20" t="inlineStr"/>
      <c r="T99" s="21" t="n">
        <v>2859701.32</v>
      </c>
      <c r="U99" s="22" t="inlineStr">
        <is>
          <t>B</t>
        </is>
      </c>
      <c r="V99" s="23">
        <f>IFERROR(VLOOKUP(U99,Assumptions!$A$7:$D$11,2,FALSE),0)</f>
        <v/>
      </c>
      <c r="W99" s="24">
        <f>MAX(0.5,IFERROR(VLOOKUP(U99,Assumptions!$A$7:$D$11,3,FALSE),3)+IFERROR(VLOOKUP(U99,Assumptions!$A$7:$D$11,4,FALSE),8)/2-IF(AN99="",0,YEAR(TODAY())-AN99))</f>
        <v/>
      </c>
      <c r="X99" s="21">
        <f>T99*V99/(1+Assumptions!$B$3)^W99</f>
        <v/>
      </c>
      <c r="Y99" s="25">
        <f>IF(T99=0,"",ROUND(X99/T99*100,1))</f>
        <v/>
      </c>
      <c r="Z99" s="26">
        <f>X99*Assumptions!$B$4</f>
        <v/>
      </c>
      <c r="AA99" s="25">
        <f>IF(T99=0,"",ROUND(Z99/T99*100,1))</f>
        <v/>
      </c>
      <c r="AB99" s="26">
        <f>X99-Z99</f>
        <v/>
      </c>
      <c r="AC99" s="25">
        <f>IF(T99=0,"",ROUND((X99-Z99)/T99*100,1))</f>
        <v/>
      </c>
      <c r="AD99" s="27" t="inlineStr">
        <is>
          <t>ESTIMATED</t>
        </is>
      </c>
      <c r="AE99" s="28" t="inlineStr">
        <is>
          <t>https://scalzilliaj.com.br/sgc/download.php?file=files/processo_documento/processo_documento11421222052026_1_.pdf&amp;nome=08. Lista de credores do edital do art. 52, §1º da LREF</t>
        </is>
      </c>
      <c r="AF99" s="27" t="inlineStr">
        <is>
          <t>p3 r9</t>
        </is>
      </c>
      <c r="AG99" s="27" t="inlineStr">
        <is>
          <t>p3: R$ 2.859.701,32</t>
        </is>
      </c>
      <c r="AH99" s="27" t="inlineStr">
        <is>
          <t>UNKNOWN</t>
        </is>
      </c>
      <c r="AI99" s="27" t="inlineStr"/>
      <c r="AJ99" s="27" t="inlineStr">
        <is>
          <t>OK_NO_TOTALS</t>
        </is>
      </c>
      <c r="AK99" s="29" t="inlineStr">
        <is>
          <t>5011369-81.2026.8.09.0093</t>
        </is>
      </c>
      <c r="AL99" s="29" t="inlineStr">
        <is>
          <t>TJGO</t>
        </is>
      </c>
      <c r="AM99" s="29" t="inlineStr">
        <is>
          <t>ACTIVE</t>
        </is>
      </c>
      <c r="AN99" s="29" t="n">
        <v>2026</v>
      </c>
      <c r="AO99" s="29" t="inlineStr">
        <is>
          <t>live case, no plan document yet</t>
        </is>
      </c>
      <c r="AP99" s="29" t="inlineStr">
        <is>
          <t>BALSAS</t>
        </is>
      </c>
      <c r="AQ99" s="29" t="inlineStr">
        <is>
          <t>MA</t>
        </is>
      </c>
      <c r="AR99" s="29" t="inlineStr">
        <is>
          <t>Comércio atacadista de cereais e leguminosas beneficiados</t>
        </is>
      </c>
      <c r="AS99" s="29" t="inlineStr">
        <is>
          <t>DEMAIS</t>
        </is>
      </c>
      <c r="AT99" s="29" t="inlineStr">
        <is>
          <t>MID-MARKET</t>
        </is>
      </c>
      <c r="AU99" s="29" t="inlineStr">
        <is>
          <t>40910399</t>
        </is>
      </c>
      <c r="AV99" s="29" t="n">
        <v>1</v>
      </c>
      <c r="AW99" s="29" t="inlineStr">
        <is>
          <t>ROWS:p3r9 UNRECONCILED_SOURCE</t>
        </is>
      </c>
    </row>
    <row r="100">
      <c r="A100" s="15" t="inlineStr">
        <is>
          <t>FRONTEIRA COMERCIO E REPRESENTACAO DE PRODUTOS AGROPECUARIOS LTDA</t>
        </is>
      </c>
      <c r="B100" s="16" t="n">
        <v>2120225.1</v>
      </c>
      <c r="C100" s="17" t="inlineStr">
        <is>
          <t>COMERCIO RACOES BEM BOM LTDA</t>
        </is>
      </c>
      <c r="D100" s="18" t="inlineStr">
        <is>
          <t>NEW</t>
        </is>
      </c>
      <c r="E100" s="19" t="inlineStr"/>
      <c r="F100" s="18" t="inlineStr"/>
      <c r="G100" s="19" t="inlineStr"/>
      <c r="H100" s="18" t="inlineStr"/>
      <c r="I100" s="20" t="inlineStr">
        <is>
          <t>Thiago Costa</t>
        </is>
      </c>
      <c r="J100" s="20" t="inlineStr">
        <is>
          <t>Gerente Contas a Receber e Centro de Serviços Compartilhados</t>
        </is>
      </c>
      <c r="K100" s="20" t="inlineStr">
        <is>
          <t>(11) 5400-0021</t>
        </is>
      </c>
      <c r="L100" s="20" t="inlineStr"/>
      <c r="M100" s="20" t="inlineStr"/>
      <c r="N100" s="20" t="inlineStr">
        <is>
          <t>thiago.costa@nutrien.com</t>
        </is>
      </c>
      <c r="O100" s="20" t="inlineStr">
        <is>
          <t>emerson.freitas@nutrien.com</t>
        </is>
      </c>
      <c r="P100" s="20" t="inlineStr">
        <is>
          <t>Emerson Freitas</t>
        </is>
      </c>
      <c r="Q100" s="20" t="inlineStr">
        <is>
          <t>Gerente de Tesouraria | Tesouraria Estratégica</t>
        </is>
      </c>
      <c r="R100" s="20" t="inlineStr"/>
      <c r="S100" s="20" t="inlineStr">
        <is>
          <t>emerson.freitas@nutrien.com</t>
        </is>
      </c>
      <c r="T100" s="21" t="n">
        <v>2120225.1</v>
      </c>
      <c r="U100" s="32" t="inlineStr">
        <is>
          <t>A</t>
        </is>
      </c>
      <c r="V100" s="23">
        <f>IFERROR(VLOOKUP(U100,Assumptions!$A$7:$D$11,2,FALSE),0)</f>
        <v/>
      </c>
      <c r="W100" s="24">
        <f>MAX(0.5,IFERROR(VLOOKUP(U100,Assumptions!$A$7:$D$11,3,FALSE),3)+IFERROR(VLOOKUP(U100,Assumptions!$A$7:$D$11,4,FALSE),8)/2-IF(AN100="",0,YEAR(TODAY())-AN100))</f>
        <v/>
      </c>
      <c r="X100" s="21">
        <f>T100*V100/(1+Assumptions!$B$3)^W100</f>
        <v/>
      </c>
      <c r="Y100" s="25">
        <f>IF(T100=0,"",ROUND(X100/T100*100,1))</f>
        <v/>
      </c>
      <c r="Z100" s="26">
        <f>X100*Assumptions!$B$4</f>
        <v/>
      </c>
      <c r="AA100" s="25">
        <f>IF(T100=0,"",ROUND(Z100/T100*100,1))</f>
        <v/>
      </c>
      <c r="AB100" s="26">
        <f>X100-Z100</f>
        <v/>
      </c>
      <c r="AC100" s="25">
        <f>IF(T100=0,"",ROUND((X100-Z100)/T100*100,1))</f>
        <v/>
      </c>
      <c r="AD100" s="27" t="inlineStr">
        <is>
          <t>CONFIRMED</t>
        </is>
      </c>
      <c r="AE100" s="28" t="inlineStr">
        <is>
          <t>https://stenius.com.br/wp-content/uploads/2026/06/EDITAL-GRUPO-3E.pdf</t>
        </is>
      </c>
      <c r="AF100" s="27" t="inlineStr">
        <is>
          <t>p16 r31</t>
        </is>
      </c>
      <c r="AG100" s="27" t="inlineStr">
        <is>
          <t>p16: R$ 2.120.225,10</t>
        </is>
      </c>
      <c r="AH100" s="27" t="inlineStr">
        <is>
          <t>DEBTOR_LIST</t>
        </is>
      </c>
      <c r="AI100" s="27" t="inlineStr">
        <is>
          <t>2026-06-22</t>
        </is>
      </c>
      <c r="AJ100" s="27" t="inlineStr">
        <is>
          <t>OK_NO_TOTALS</t>
        </is>
      </c>
      <c r="AK100" s="29" t="inlineStr">
        <is>
          <t>5341375-33.2026.8.09.0049</t>
        </is>
      </c>
      <c r="AL100" s="29" t="inlineStr">
        <is>
          <t>TJGO</t>
        </is>
      </c>
      <c r="AM100" s="29" t="inlineStr">
        <is>
          <t>ACTIVE</t>
        </is>
      </c>
      <c r="AN100" s="29" t="n">
        <v>2026</v>
      </c>
      <c r="AO100" s="29" t="inlineStr">
        <is>
          <t>plan/homologation document found</t>
        </is>
      </c>
      <c r="AP100" s="29" t="inlineStr">
        <is>
          <t>RIO VERDE</t>
        </is>
      </c>
      <c r="AQ100" s="29" t="inlineStr">
        <is>
          <t>GO</t>
        </is>
      </c>
      <c r="AR100" s="29" t="inlineStr">
        <is>
          <t>Comércio atacadista de mercadorias em geral, com predominância de insumos agropecuários</t>
        </is>
      </c>
      <c r="AS100" s="29" t="inlineStr">
        <is>
          <t>DEMAIS</t>
        </is>
      </c>
      <c r="AT100" s="29" t="inlineStr">
        <is>
          <t>LARGE CORP</t>
        </is>
      </c>
      <c r="AU100" s="29" t="inlineStr">
        <is>
          <t>36854495</t>
        </is>
      </c>
      <c r="AV100" s="29" t="n">
        <v>1</v>
      </c>
      <c r="AW100" s="29" t="inlineStr">
        <is>
          <t>ROWS:p16r31 UNRECONCILED_SOURCE</t>
        </is>
      </c>
    </row>
    <row r="101">
      <c r="A101" s="15" t="inlineStr">
        <is>
          <t>BBR AGRO SUPLEMENTOS LTDA EM RECUPERACAO JUDICIAL</t>
        </is>
      </c>
      <c r="B101" s="16" t="n">
        <v>1437303</v>
      </c>
      <c r="C101" s="17" t="inlineStr">
        <is>
          <t>ADVOCACIA WANDERLEI DE PAULA BARRETO</t>
        </is>
      </c>
      <c r="D101" s="18" t="inlineStr">
        <is>
          <t>NEW</t>
        </is>
      </c>
      <c r="E101" s="19" t="inlineStr"/>
      <c r="F101" s="18" t="inlineStr"/>
      <c r="G101" s="19" t="inlineStr"/>
      <c r="H101" s="18" t="inlineStr"/>
      <c r="I101" s="20" t="inlineStr">
        <is>
          <t>MAYNARA MARCONDES BARRONE DE SOUSA</t>
        </is>
      </c>
      <c r="J101" s="20" t="inlineStr">
        <is>
          <t>Sócio-Administrador</t>
        </is>
      </c>
      <c r="K101" s="20" t="inlineStr">
        <is>
          <t>(43) 3122-0376</t>
        </is>
      </c>
      <c r="L101" s="20" t="inlineStr"/>
      <c r="M101" s="20" t="inlineStr"/>
      <c r="N101" s="20" t="inlineStr"/>
      <c r="O101" s="20" t="inlineStr"/>
      <c r="P101" s="20" t="inlineStr"/>
      <c r="Q101" s="20" t="inlineStr"/>
      <c r="R101" s="20" t="inlineStr"/>
      <c r="S101" s="20" t="inlineStr"/>
      <c r="T101" s="21" t="n">
        <v>1437303</v>
      </c>
      <c r="U101" s="22" t="inlineStr">
        <is>
          <t>B</t>
        </is>
      </c>
      <c r="V101" s="23">
        <f>IFERROR(VLOOKUP(U101,Assumptions!$A$7:$D$11,2,FALSE),0)</f>
        <v/>
      </c>
      <c r="W101" s="24">
        <f>MAX(0.5,IFERROR(VLOOKUP(U101,Assumptions!$A$7:$D$11,3,FALSE),3)+IFERROR(VLOOKUP(U101,Assumptions!$A$7:$D$11,4,FALSE),8)/2-IF(AN101="",0,YEAR(TODAY())-AN101))</f>
        <v/>
      </c>
      <c r="X101" s="21">
        <f>T101*V101/(1+Assumptions!$B$3)^W101</f>
        <v/>
      </c>
      <c r="Y101" s="25">
        <f>IF(T101=0,"",ROUND(X101/T101*100,1))</f>
        <v/>
      </c>
      <c r="Z101" s="26">
        <f>X101*Assumptions!$B$4</f>
        <v/>
      </c>
      <c r="AA101" s="25">
        <f>IF(T101=0,"",ROUND(Z101/T101*100,1))</f>
        <v/>
      </c>
      <c r="AB101" s="26">
        <f>X101-Z101</f>
        <v/>
      </c>
      <c r="AC101" s="25">
        <f>IF(T101=0,"",ROUND((X101-Z101)/T101*100,1))</f>
        <v/>
      </c>
      <c r="AD101" s="27" t="inlineStr">
        <is>
          <t>ESTIMATED</t>
        </is>
      </c>
      <c r="AE101" s="28" t="inlineStr">
        <is>
          <t>https://marquesadmjudicial.com.br/sgc/download.php?file=files/processo_documento/processo_documento17040729052024_1_.pdf&amp;nome=Relação Nominal de Credores AJ-Sintética</t>
        </is>
      </c>
      <c r="AF101" s="27" t="inlineStr">
        <is>
          <t>p10 r8</t>
        </is>
      </c>
      <c r="AG101" s="27" t="inlineStr">
        <is>
          <t>p10: R$ 1.437.303,00</t>
        </is>
      </c>
      <c r="AH101" s="27" t="inlineStr">
        <is>
          <t>AJ_LIST</t>
        </is>
      </c>
      <c r="AI101" s="27" t="inlineStr">
        <is>
          <t>2024-05-27</t>
        </is>
      </c>
      <c r="AJ101" s="27" t="inlineStr">
        <is>
          <t>QUARANTINED</t>
        </is>
      </c>
      <c r="AK101" s="29" t="inlineStr">
        <is>
          <t>0003971-03.2023.8.16.0119</t>
        </is>
      </c>
      <c r="AL101" s="29" t="inlineStr">
        <is>
          <t>TJPR</t>
        </is>
      </c>
      <c r="AM101" s="29" t="inlineStr">
        <is>
          <t>ACTIVE</t>
        </is>
      </c>
      <c r="AN101" s="29" t="n">
        <v>2023</v>
      </c>
      <c r="AO101" s="29" t="inlineStr">
        <is>
          <t>live case, no plan document yet</t>
        </is>
      </c>
      <c r="AP101" s="29" t="inlineStr">
        <is>
          <t>APUCARANA</t>
        </is>
      </c>
      <c r="AQ101" s="29" t="inlineStr">
        <is>
          <t>PR</t>
        </is>
      </c>
      <c r="AR101" s="29" t="inlineStr">
        <is>
          <t>Preparação de subprodutos do abate</t>
        </is>
      </c>
      <c r="AS101" s="29" t="inlineStr">
        <is>
          <t>DEMAIS</t>
        </is>
      </c>
      <c r="AT101" s="29" t="inlineStr">
        <is>
          <t>MID-MARKET</t>
        </is>
      </c>
      <c r="AU101" s="29" t="inlineStr">
        <is>
          <t>31158176</t>
        </is>
      </c>
      <c r="AV101" s="29" t="n">
        <v>1</v>
      </c>
      <c r="AW101" s="29" t="inlineStr">
        <is>
          <t>PARTIAL_DOC_CLASS_III_RECONCILED ROWS:p10r8</t>
        </is>
      </c>
    </row>
    <row r="102">
      <c r="A102" s="15" t="inlineStr">
        <is>
          <t>SOMA/RS PRODUTOS HOSPITALARES LTDA.</t>
        </is>
      </c>
      <c r="B102" s="16" t="n">
        <v>1137831.84</v>
      </c>
      <c r="C102" s="17" t="inlineStr">
        <is>
          <t>ASSOCIACAO DE CARIDADE SANTA CASA DE RIO GRANDE</t>
        </is>
      </c>
      <c r="D102" s="18" t="inlineStr">
        <is>
          <t>NEW</t>
        </is>
      </c>
      <c r="E102" s="19" t="inlineStr"/>
      <c r="F102" s="18" t="inlineStr"/>
      <c r="G102" s="19" t="inlineStr"/>
      <c r="H102" s="18" t="inlineStr"/>
      <c r="I102" s="20" t="inlineStr">
        <is>
          <t>Christine Carvalho</t>
        </is>
      </c>
      <c r="J102" s="20" t="inlineStr">
        <is>
          <t>Farmacêutica Responsável Técnica - Representante da Diretoria Gestão da Qualidade</t>
        </is>
      </c>
      <c r="K102" s="20" t="inlineStr">
        <is>
          <t>(51) 3347-9000</t>
        </is>
      </c>
      <c r="L102" s="20" t="inlineStr"/>
      <c r="M102" s="20" t="inlineStr"/>
      <c r="N102" s="20" t="inlineStr"/>
      <c r="O102" s="20" t="inlineStr"/>
      <c r="P102" s="20" t="inlineStr"/>
      <c r="Q102" s="20" t="inlineStr"/>
      <c r="R102" s="20" t="inlineStr"/>
      <c r="S102" s="20" t="inlineStr"/>
      <c r="T102" s="21" t="n">
        <v>1137831.84</v>
      </c>
      <c r="U102" s="22" t="inlineStr">
        <is>
          <t>B</t>
        </is>
      </c>
      <c r="V102" s="23">
        <f>IFERROR(VLOOKUP(U102,Assumptions!$A$7:$D$11,2,FALSE),0)</f>
        <v/>
      </c>
      <c r="W102" s="24">
        <f>MAX(0.5,IFERROR(VLOOKUP(U102,Assumptions!$A$7:$D$11,3,FALSE),3)+IFERROR(VLOOKUP(U102,Assumptions!$A$7:$D$11,4,FALSE),8)/2-IF(AN102="",0,YEAR(TODAY())-AN102))</f>
        <v/>
      </c>
      <c r="X102" s="21">
        <f>T102*V102/(1+Assumptions!$B$3)^W102</f>
        <v/>
      </c>
      <c r="Y102" s="25">
        <f>IF(T102=0,"",ROUND(X102/T102*100,1))</f>
        <v/>
      </c>
      <c r="Z102" s="26">
        <f>X102*Assumptions!$B$4</f>
        <v/>
      </c>
      <c r="AA102" s="25">
        <f>IF(T102=0,"",ROUND(Z102/T102*100,1))</f>
        <v/>
      </c>
      <c r="AB102" s="26">
        <f>X102-Z102</f>
        <v/>
      </c>
      <c r="AC102" s="25">
        <f>IF(T102=0,"",ROUND((X102-Z102)/T102*100,1))</f>
        <v/>
      </c>
      <c r="AD102" s="27" t="inlineStr">
        <is>
          <t>ESTIMATED</t>
        </is>
      </c>
      <c r="AE102" s="28" t="inlineStr">
        <is>
          <t>https://scalzilliaj.com.br/sgc/download.php?file=files/processo_documento/processo_documento09120721032023_1_.pdf&amp;nome=15 - Edital do art. 7º, §2º e 53 da Lei 11.101/2005 (segunda lista de credores e recebimento do plano))</t>
        </is>
      </c>
      <c r="AF102" s="27" t="inlineStr">
        <is>
          <t>p29 r40</t>
        </is>
      </c>
      <c r="AG102" s="27" t="inlineStr">
        <is>
          <t>p29: R$ 1.137.831,84</t>
        </is>
      </c>
      <c r="AH102" s="27" t="inlineStr">
        <is>
          <t>AJ_LIST</t>
        </is>
      </c>
      <c r="AI102" s="27" t="inlineStr">
        <is>
          <t>2023-03-21</t>
        </is>
      </c>
      <c r="AJ102" s="27" t="inlineStr">
        <is>
          <t>OK_NO_TOTALS</t>
        </is>
      </c>
      <c r="AK102" s="29" t="inlineStr">
        <is>
          <t>5012306-16.2022.8.21.0023</t>
        </is>
      </c>
      <c r="AL102" s="29" t="inlineStr">
        <is>
          <t>TJRS</t>
        </is>
      </c>
      <c r="AM102" s="29" t="inlineStr">
        <is>
          <t>ACTIVE</t>
        </is>
      </c>
      <c r="AN102" s="29" t="n">
        <v>2022</v>
      </c>
      <c r="AO102" s="29" t="inlineStr">
        <is>
          <t>live case, no plan document yet</t>
        </is>
      </c>
      <c r="AP102" s="29" t="inlineStr">
        <is>
          <t>ELDORADO DO SUL</t>
        </is>
      </c>
      <c r="AQ102" s="29" t="inlineStr">
        <is>
          <t>RS</t>
        </is>
      </c>
      <c r="AR102" s="29" t="inlineStr">
        <is>
          <t>Comércio atacadista de instrumentos e materiais para uso médico, cirúrgico, hospitalar e de laboratórios</t>
        </is>
      </c>
      <c r="AS102" s="29" t="inlineStr">
        <is>
          <t>DEMAIS</t>
        </is>
      </c>
      <c r="AT102" s="29" t="inlineStr">
        <is>
          <t>MID-MARKET</t>
        </is>
      </c>
      <c r="AU102" s="29" t="inlineStr">
        <is>
          <t>06294126</t>
        </is>
      </c>
      <c r="AV102" s="29" t="n">
        <v>1</v>
      </c>
      <c r="AW102" s="29" t="inlineStr">
        <is>
          <t>ROWS:p29r40 UNRECONCILED_SOURCE</t>
        </is>
      </c>
    </row>
    <row r="103">
      <c r="A103" s="15" t="inlineStr">
        <is>
          <t>COMERCIO E EXPORTACAO DE CEREAIS RIO ELIAS LTDA.</t>
        </is>
      </c>
      <c r="B103" s="16" t="n">
        <v>1771559.5</v>
      </c>
      <c r="C103" s="17" t="inlineStr"/>
      <c r="D103" s="18" t="inlineStr">
        <is>
          <t>NEW</t>
        </is>
      </c>
      <c r="E103" s="19" t="inlineStr"/>
      <c r="F103" s="18" t="inlineStr"/>
      <c r="G103" s="19" t="inlineStr"/>
      <c r="H103" s="18" t="inlineStr"/>
      <c r="I103" s="20" t="inlineStr">
        <is>
          <t>ALECIO MARCIO ANDREIS</t>
        </is>
      </c>
      <c r="J103" s="20" t="inlineStr">
        <is>
          <t>Sócio-Administrador</t>
        </is>
      </c>
      <c r="K103" s="20" t="inlineStr">
        <is>
          <t>(46) 3234-1344</t>
        </is>
      </c>
      <c r="L103" s="20" t="inlineStr"/>
      <c r="M103" s="20" t="inlineStr"/>
      <c r="N103" s="20" t="inlineStr"/>
      <c r="O103" s="20" t="inlineStr"/>
      <c r="P103" s="20" t="inlineStr">
        <is>
          <t>JOSILEI ALVES DE MIRANDA</t>
        </is>
      </c>
      <c r="Q103" s="20" t="inlineStr">
        <is>
          <t>Administrador</t>
        </is>
      </c>
      <c r="R103" s="20" t="inlineStr">
        <is>
          <t>(46) 3234-1344</t>
        </is>
      </c>
      <c r="S103" s="20" t="inlineStr"/>
      <c r="T103" s="21" t="n">
        <v>1771559.5</v>
      </c>
      <c r="U103" s="22" t="inlineStr">
        <is>
          <t>B</t>
        </is>
      </c>
      <c r="V103" s="23">
        <f>IFERROR(VLOOKUP(U103,Assumptions!$A$7:$D$11,2,FALSE),0)</f>
        <v/>
      </c>
      <c r="W103" s="24">
        <f>MAX(0.5,IFERROR(VLOOKUP(U103,Assumptions!$A$7:$D$11,3,FALSE),3)+IFERROR(VLOOKUP(U103,Assumptions!$A$7:$D$11,4,FALSE),8)/2-IF(AN103="",0,YEAR(TODAY())-AN103))</f>
        <v/>
      </c>
      <c r="X103" s="21">
        <f>T103*V103/(1+Assumptions!$B$3)^W103</f>
        <v/>
      </c>
      <c r="Y103" s="25">
        <f>IF(T103=0,"",ROUND(X103/T103*100,1))</f>
        <v/>
      </c>
      <c r="Z103" s="26">
        <f>X103*Assumptions!$B$4</f>
        <v/>
      </c>
      <c r="AA103" s="25">
        <f>IF(T103=0,"",ROUND(Z103/T103*100,1))</f>
        <v/>
      </c>
      <c r="AB103" s="26">
        <f>X103-Z103</f>
        <v/>
      </c>
      <c r="AC103" s="25">
        <f>IF(T103=0,"",ROUND((X103-Z103)/T103*100,1))</f>
        <v/>
      </c>
      <c r="AD103" s="27" t="inlineStr">
        <is>
          <t>ESTIMATED</t>
        </is>
      </c>
      <c r="AE103" s="28" t="inlineStr">
        <is>
          <t>https://rlg-aj.com.br/wp-content/uploads/2024/11/07.-Relação-de-credores.pdf</t>
        </is>
      </c>
      <c r="AF103" s="27" t="inlineStr">
        <is>
          <t>p1 r31</t>
        </is>
      </c>
      <c r="AG103" s="27" t="inlineStr">
        <is>
          <t>p1: R$ 1.771.559,50</t>
        </is>
      </c>
      <c r="AH103" s="27" t="inlineStr">
        <is>
          <t>UNKNOWN</t>
        </is>
      </c>
      <c r="AI103" s="27" t="inlineStr"/>
      <c r="AJ103" s="27" t="inlineStr">
        <is>
          <t>OK_NO_TOTALS</t>
        </is>
      </c>
      <c r="AK103" s="29" t="inlineStr">
        <is>
          <t>5009149-92.2024.8.24.0019</t>
        </is>
      </c>
      <c r="AL103" s="29" t="inlineStr">
        <is>
          <t>TJSC</t>
        </is>
      </c>
      <c r="AM103" s="29" t="inlineStr">
        <is>
          <t>ACTIVE</t>
        </is>
      </c>
      <c r="AN103" s="29" t="n">
        <v>2024</v>
      </c>
      <c r="AO103" s="29" t="inlineStr">
        <is>
          <t>live case, no plan document yet</t>
        </is>
      </c>
      <c r="AP103" s="29" t="inlineStr">
        <is>
          <t>BOM SUCESSO DO SUL</t>
        </is>
      </c>
      <c r="AQ103" s="29" t="inlineStr">
        <is>
          <t>PR</t>
        </is>
      </c>
      <c r="AR103" s="29" t="inlineStr">
        <is>
          <t>Comércio atacadista de cereais e leguminosas beneficiados</t>
        </is>
      </c>
      <c r="AS103" s="29" t="inlineStr">
        <is>
          <t>DEMAIS</t>
        </is>
      </c>
      <c r="AT103" s="29" t="inlineStr">
        <is>
          <t>MID-MARKET</t>
        </is>
      </c>
      <c r="AU103" s="29" t="inlineStr">
        <is>
          <t>05056082</t>
        </is>
      </c>
      <c r="AV103" s="29" t="n">
        <v>1</v>
      </c>
      <c r="AW103" s="29" t="inlineStr">
        <is>
          <t>ROWS:p1r31 UNRECONCILED_SOURCE</t>
        </is>
      </c>
    </row>
    <row r="104">
      <c r="A104" s="15" t="inlineStr">
        <is>
          <t>CARGILL AGRICOLA S A</t>
        </is>
      </c>
      <c r="B104" s="16" t="n">
        <v>2748939.47</v>
      </c>
      <c r="C104" s="17" t="inlineStr"/>
      <c r="D104" s="18" t="inlineStr">
        <is>
          <t>NEW</t>
        </is>
      </c>
      <c r="E104" s="19" t="inlineStr"/>
      <c r="F104" s="18" t="inlineStr"/>
      <c r="G104" s="19" t="inlineStr"/>
      <c r="H104" s="18" t="inlineStr"/>
      <c r="I104" s="20" t="inlineStr">
        <is>
          <t>PAULO HUMBERTO ALVES DE SOUSA</t>
        </is>
      </c>
      <c r="J104" s="20" t="inlineStr">
        <is>
          <t>Presidente</t>
        </is>
      </c>
      <c r="K104" s="20" t="inlineStr">
        <is>
          <t>(11) 5099-3311</t>
        </is>
      </c>
      <c r="L104" s="20" t="inlineStr"/>
      <c r="M104" s="20" t="inlineStr"/>
      <c r="N104" s="20" t="inlineStr"/>
      <c r="O104" s="20" t="inlineStr"/>
      <c r="P104" s="20" t="inlineStr">
        <is>
          <t>ANDREA WANDERLEY DOS ANJOS</t>
        </is>
      </c>
      <c r="Q104" s="20" t="inlineStr">
        <is>
          <t>Diretor</t>
        </is>
      </c>
      <c r="R104" s="20" t="inlineStr">
        <is>
          <t>(11) 5099-3311</t>
        </is>
      </c>
      <c r="S104" s="20" t="inlineStr"/>
      <c r="T104" s="21" t="n">
        <v>2748939.47</v>
      </c>
      <c r="U104" s="22" t="inlineStr">
        <is>
          <t>B</t>
        </is>
      </c>
      <c r="V104" s="23">
        <f>IFERROR(VLOOKUP(U104,Assumptions!$A$7:$D$11,2,FALSE),0)</f>
        <v/>
      </c>
      <c r="W104" s="24">
        <f>MAX(0.5,IFERROR(VLOOKUP(U104,Assumptions!$A$7:$D$11,3,FALSE),3)+IFERROR(VLOOKUP(U104,Assumptions!$A$7:$D$11,4,FALSE),8)/2-IF(AN104="",0,YEAR(TODAY())-AN104))</f>
        <v/>
      </c>
      <c r="X104" s="21">
        <f>T104*V104/(1+Assumptions!$B$3)^W104</f>
        <v/>
      </c>
      <c r="Y104" s="25">
        <f>IF(T104=0,"",ROUND(X104/T104*100,1))</f>
        <v/>
      </c>
      <c r="Z104" s="26">
        <f>X104*Assumptions!$B$4</f>
        <v/>
      </c>
      <c r="AA104" s="25">
        <f>IF(T104=0,"",ROUND(Z104/T104*100,1))</f>
        <v/>
      </c>
      <c r="AB104" s="26">
        <f>X104-Z104</f>
        <v/>
      </c>
      <c r="AC104" s="25">
        <f>IF(T104=0,"",ROUND((X104-Z104)/T104*100,1))</f>
        <v/>
      </c>
      <c r="AD104" s="27" t="inlineStr">
        <is>
          <t>ESTIMATED</t>
        </is>
      </c>
      <c r="AE104" s="28" t="inlineStr">
        <is>
          <t>https://stenius.com.br/wp-content/uploads/2026/07/EDITAL-1-RELACAO-DE-CREDORES-GRUPO-GE.pdf</t>
        </is>
      </c>
      <c r="AF104" s="27" t="inlineStr">
        <is>
          <t>p5 r10; p5 r11; p5 r12; p5 r13; p5 r14; p5 r15; p5 r16; p5 r17</t>
        </is>
      </c>
      <c r="AG104" s="27" t="inlineStr">
        <is>
          <t>p5: R$ 518.664,47; p5: R$ 1.308.950,00; p5: R$ 1.308.950,00; p5: R$ 682.325,00; p5: R$ 682.325,00; p5: R$ 239.000,00; p5: R$ 239.000,00; p5: R$ 239.000,00</t>
        </is>
      </c>
      <c r="AH104" s="27" t="inlineStr">
        <is>
          <t>DEBTOR_LIST</t>
        </is>
      </c>
      <c r="AI104" s="27" t="inlineStr">
        <is>
          <t>2026-07-01</t>
        </is>
      </c>
      <c r="AJ104" s="27" t="inlineStr">
        <is>
          <t>OK_NO_TOTALS</t>
        </is>
      </c>
      <c r="AK104" s="29" t="inlineStr">
        <is>
          <t>5164979-18.2026.8.09.0110</t>
        </is>
      </c>
      <c r="AL104" s="29" t="inlineStr">
        <is>
          <t>TJGO</t>
        </is>
      </c>
      <c r="AM104" s="29" t="inlineStr">
        <is>
          <t>ACTIVE</t>
        </is>
      </c>
      <c r="AN104" s="29" t="n">
        <v>2026</v>
      </c>
      <c r="AO104" s="29" t="inlineStr">
        <is>
          <t>live case, no plan document yet</t>
        </is>
      </c>
      <c r="AP104" s="29" t="inlineStr">
        <is>
          <t>SAO PAULO</t>
        </is>
      </c>
      <c r="AQ104" s="29" t="inlineStr">
        <is>
          <t>SP</t>
        </is>
      </c>
      <c r="AR104" s="29" t="inlineStr">
        <is>
          <t>Fabricação de óleos vegetais refinados, exceto óleo de milho</t>
        </is>
      </c>
      <c r="AS104" s="29" t="inlineStr">
        <is>
          <t>DEMAIS</t>
        </is>
      </c>
      <c r="AT104" s="29" t="inlineStr">
        <is>
          <t>LARGE CORP</t>
        </is>
      </c>
      <c r="AU104" s="29" t="inlineStr">
        <is>
          <t>60498706</t>
        </is>
      </c>
      <c r="AV104" s="29" t="n">
        <v>4</v>
      </c>
      <c r="AW104" s="29" t="inlineStr">
        <is>
          <t>ROWS:p5r10,p5r11,p5r13,p5r15 UNRECONCILED_SOURCE</t>
        </is>
      </c>
    </row>
    <row r="105">
      <c r="A105" s="15" t="inlineStr">
        <is>
          <t>ESMALTEC S/A</t>
        </is>
      </c>
      <c r="B105" s="16" t="n">
        <v>2210242.75</v>
      </c>
      <c r="C105" s="17" t="inlineStr">
        <is>
          <t>aludida empresa</t>
        </is>
      </c>
      <c r="D105" s="18" t="inlineStr">
        <is>
          <t>NEW</t>
        </is>
      </c>
      <c r="E105" s="19" t="inlineStr"/>
      <c r="F105" s="18" t="inlineStr"/>
      <c r="G105" s="19" t="inlineStr"/>
      <c r="H105" s="18" t="inlineStr"/>
      <c r="I105" s="20" t="inlineStr">
        <is>
          <t>Tiago Mota</t>
        </is>
      </c>
      <c r="J105" s="20" t="inlineStr">
        <is>
          <t>Financial Administrative Manager</t>
        </is>
      </c>
      <c r="K105" s="20" t="inlineStr">
        <is>
          <t>(85) 3466-8540</t>
        </is>
      </c>
      <c r="L105" s="20" t="inlineStr"/>
      <c r="M105" s="20" t="inlineStr"/>
      <c r="N105" s="20" t="inlineStr">
        <is>
          <t>tiago.mota@esmaltec.com.br</t>
        </is>
      </c>
      <c r="O105" s="20" t="inlineStr">
        <is>
          <t>marcelo.pinto@esmaltec.com.br</t>
        </is>
      </c>
      <c r="P105" s="20" t="inlineStr">
        <is>
          <t>Marcelo Pinto</t>
        </is>
      </c>
      <c r="Q105" s="20" t="inlineStr">
        <is>
          <t>Diretor Superintendente | CEO</t>
        </is>
      </c>
      <c r="R105" s="20" t="inlineStr"/>
      <c r="S105" s="20" t="inlineStr">
        <is>
          <t>marcelo.pinto@esmaltec.com.br</t>
        </is>
      </c>
      <c r="T105" s="21" t="n">
        <v>2210242.75</v>
      </c>
      <c r="U105" s="31" t="inlineStr">
        <is>
          <t>C</t>
        </is>
      </c>
      <c r="V105" s="23">
        <f>IFERROR(VLOOKUP(U105,Assumptions!$A$7:$D$11,2,FALSE),0)</f>
        <v/>
      </c>
      <c r="W105" s="24">
        <f>MAX(0.5,IFERROR(VLOOKUP(U105,Assumptions!$A$7:$D$11,3,FALSE),3)+IFERROR(VLOOKUP(U105,Assumptions!$A$7:$D$11,4,FALSE),8)/2-IF(AN105="",0,YEAR(TODAY())-AN105))</f>
        <v/>
      </c>
      <c r="X105" s="21">
        <f>T105*V105/(1+Assumptions!$B$3)^W105</f>
        <v/>
      </c>
      <c r="Y105" s="25">
        <f>IF(T105=0,"",ROUND(X105/T105*100,1))</f>
        <v/>
      </c>
      <c r="Z105" s="26">
        <f>X105*Assumptions!$B$4</f>
        <v/>
      </c>
      <c r="AA105" s="25">
        <f>IF(T105=0,"",ROUND(Z105/T105*100,1))</f>
        <v/>
      </c>
      <c r="AB105" s="26">
        <f>X105-Z105</f>
        <v/>
      </c>
      <c r="AC105" s="25">
        <f>IF(T105=0,"",ROUND((X105-Z105)/T105*100,1))</f>
        <v/>
      </c>
      <c r="AD105" s="27" t="inlineStr">
        <is>
          <t>ESTIMATED</t>
        </is>
      </c>
      <c r="AE105" s="28" t="inlineStr">
        <is>
          <t>https://recuperacaojudicial.squarespace.com/s/RJ-Credimoveis-QGC-01082025.pdf</t>
        </is>
      </c>
      <c r="AF105" s="27" t="inlineStr">
        <is>
          <t>p15 r42</t>
        </is>
      </c>
      <c r="AG105" s="27" t="inlineStr">
        <is>
          <t>p15: R$ 2.210.242,75</t>
        </is>
      </c>
      <c r="AH105" s="27" t="inlineStr">
        <is>
          <t>QGC</t>
        </is>
      </c>
      <c r="AI105" s="27" t="inlineStr">
        <is>
          <t>2026-01-28</t>
        </is>
      </c>
      <c r="AJ105" s="27" t="inlineStr">
        <is>
          <t>OK</t>
        </is>
      </c>
      <c r="AK105" s="29" t="inlineStr">
        <is>
          <t>0007565-40.2020.8.17.2370</t>
        </is>
      </c>
      <c r="AL105" s="29" t="inlineStr">
        <is>
          <t>TJPE</t>
        </is>
      </c>
      <c r="AM105" s="29" t="inlineStr">
        <is>
          <t>ACTIVE</t>
        </is>
      </c>
      <c r="AN105" s="29" t="n">
        <v>2020</v>
      </c>
      <c r="AO105" s="29" t="inlineStr">
        <is>
          <t>6y since filing, no plan document</t>
        </is>
      </c>
      <c r="AP105" s="29" t="inlineStr">
        <is>
          <t>FORTALEZA</t>
        </is>
      </c>
      <c r="AQ105" s="29" t="inlineStr">
        <is>
          <t>CE</t>
        </is>
      </c>
      <c r="AR105" s="29" t="inlineStr">
        <is>
          <t>Fabricação de fogões, refrigeradores e máquinas de lavar e secar para uso doméstico, peças e acessórios</t>
        </is>
      </c>
      <c r="AS105" s="29" t="inlineStr">
        <is>
          <t>DEMAIS</t>
        </is>
      </c>
      <c r="AT105" s="29" t="inlineStr">
        <is>
          <t>LARGE CORP</t>
        </is>
      </c>
      <c r="AU105" s="29" t="inlineStr">
        <is>
          <t>02948030</t>
        </is>
      </c>
      <c r="AV105" s="29" t="n">
        <v>1</v>
      </c>
      <c r="AW105" s="29" t="inlineStr">
        <is>
          <t>ROWS:p15r42</t>
        </is>
      </c>
    </row>
    <row r="106">
      <c r="A106" s="15" t="inlineStr">
        <is>
          <t>P.U. ESPUMAS DO BRASIL LTDA</t>
        </is>
      </c>
      <c r="B106" s="16" t="n">
        <v>1560300.64</v>
      </c>
      <c r="C106" s="17" t="inlineStr"/>
      <c r="D106" s="18" t="inlineStr">
        <is>
          <t>NEW</t>
        </is>
      </c>
      <c r="E106" s="19" t="inlineStr"/>
      <c r="F106" s="18" t="inlineStr"/>
      <c r="G106" s="19" t="inlineStr"/>
      <c r="H106" s="18" t="inlineStr"/>
      <c r="I106" s="20" t="inlineStr">
        <is>
          <t>GENESIO ALFREDO SAMPAIO LIMA</t>
        </is>
      </c>
      <c r="J106" s="20" t="inlineStr">
        <is>
          <t>Administrador</t>
        </is>
      </c>
      <c r="K106" s="20" t="inlineStr">
        <is>
          <t>(11) 3488-1904</t>
        </is>
      </c>
      <c r="L106" s="20" t="inlineStr"/>
      <c r="M106" s="20" t="inlineStr"/>
      <c r="N106" s="20" t="inlineStr"/>
      <c r="O106" s="20" t="inlineStr"/>
      <c r="P106" s="20" t="inlineStr"/>
      <c r="Q106" s="20" t="inlineStr"/>
      <c r="R106" s="20" t="inlineStr"/>
      <c r="S106" s="20" t="inlineStr"/>
      <c r="T106" s="21" t="n">
        <v>1560300.64</v>
      </c>
      <c r="U106" s="31" t="inlineStr">
        <is>
          <t>C</t>
        </is>
      </c>
      <c r="V106" s="23">
        <f>IFERROR(VLOOKUP(U106,Assumptions!$A$7:$D$11,2,FALSE),0)</f>
        <v/>
      </c>
      <c r="W106" s="24">
        <f>MAX(0.5,IFERROR(VLOOKUP(U106,Assumptions!$A$7:$D$11,3,FALSE),3)+IFERROR(VLOOKUP(U106,Assumptions!$A$7:$D$11,4,FALSE),8)/2-IF(AN106="",0,YEAR(TODAY())-AN106))</f>
        <v/>
      </c>
      <c r="X106" s="21">
        <f>T106*V106/(1+Assumptions!$B$3)^W106</f>
        <v/>
      </c>
      <c r="Y106" s="25">
        <f>IF(T106=0,"",ROUND(X106/T106*100,1))</f>
        <v/>
      </c>
      <c r="Z106" s="26">
        <f>X106*Assumptions!$B$4</f>
        <v/>
      </c>
      <c r="AA106" s="25">
        <f>IF(T106=0,"",ROUND(Z106/T106*100,1))</f>
        <v/>
      </c>
      <c r="AB106" s="26">
        <f>X106-Z106</f>
        <v/>
      </c>
      <c r="AC106" s="25">
        <f>IF(T106=0,"",ROUND((X106-Z106)/T106*100,1))</f>
        <v/>
      </c>
      <c r="AD106" s="27" t="inlineStr">
        <is>
          <t>UNKNOWN</t>
        </is>
      </c>
      <c r="AE106" s="28" t="inlineStr">
        <is>
          <t>https://administradorajudicialgs.com.br/wp-content/uploads/2024/12/relacao-de-credores-da-falida.pdf</t>
        </is>
      </c>
      <c r="AF106" s="27" t="inlineStr">
        <is>
          <t>p17 r28; p17 r43</t>
        </is>
      </c>
      <c r="AG106" s="27" t="inlineStr">
        <is>
          <t>p17: R$ 945.704,67; p17: R$ 614.595,97</t>
        </is>
      </c>
      <c r="AH106" s="27" t="inlineStr">
        <is>
          <t>UNKNOWN</t>
        </is>
      </c>
      <c r="AI106" s="27" t="inlineStr">
        <is>
          <t>2025-03-25</t>
        </is>
      </c>
      <c r="AJ106" s="27" t="inlineStr">
        <is>
          <t>OK_NO_TOTALS</t>
        </is>
      </c>
      <c r="AK106" s="29" t="inlineStr">
        <is>
          <t>0005010-50.2013.8.24.0026</t>
        </is>
      </c>
      <c r="AL106" s="29" t="inlineStr">
        <is>
          <t>TJ</t>
        </is>
      </c>
      <c r="AM106" s="29" t="inlineStr"/>
      <c r="AN106" s="29" t="n">
        <v>2013</v>
      </c>
      <c r="AO106" s="29" t="inlineStr">
        <is>
          <t>13y since filing, no plan document</t>
        </is>
      </c>
      <c r="AP106" s="29" t="inlineStr">
        <is>
          <t>SAO PAULO</t>
        </is>
      </c>
      <c r="AQ106" s="29" t="inlineStr">
        <is>
          <t>SP</t>
        </is>
      </c>
      <c r="AR106" s="29" t="inlineStr">
        <is>
          <t>Comércio atacadista de outros produtos químicos e petroquímicos não especificados anteriormente</t>
        </is>
      </c>
      <c r="AS106" s="29" t="inlineStr">
        <is>
          <t>DEMAIS</t>
        </is>
      </c>
      <c r="AT106" s="29" t="inlineStr">
        <is>
          <t>MID-MARKET</t>
        </is>
      </c>
      <c r="AU106" s="29" t="inlineStr">
        <is>
          <t>01494867</t>
        </is>
      </c>
      <c r="AV106" s="29" t="n">
        <v>2</v>
      </c>
      <c r="AW106" s="29" t="inlineStr">
        <is>
          <t>ROWS:p17r28,p17r43 UNRECONCILED_SOURCE</t>
        </is>
      </c>
    </row>
    <row r="107">
      <c r="A107" s="15" t="inlineStr">
        <is>
          <t>IBRAME INDUSTRIA BRASILEIRA DE METAIS S/A</t>
        </is>
      </c>
      <c r="B107" s="16" t="n">
        <v>1359881.3</v>
      </c>
      <c r="C107" s="17" t="inlineStr">
        <is>
          <t>Conduscabos Brasil Indústria Comércio de</t>
        </is>
      </c>
      <c r="D107" s="18" t="inlineStr">
        <is>
          <t>NEW</t>
        </is>
      </c>
      <c r="E107" s="19" t="inlineStr"/>
      <c r="F107" s="18" t="inlineStr"/>
      <c r="G107" s="19" t="inlineStr"/>
      <c r="H107" s="18" t="inlineStr"/>
      <c r="I107" s="20" t="inlineStr">
        <is>
          <t>LUIZ OSVALDO PASTORE</t>
        </is>
      </c>
      <c r="J107" s="20" t="inlineStr">
        <is>
          <t>Presidente</t>
        </is>
      </c>
      <c r="K107" s="20" t="inlineStr">
        <is>
          <t>(47) 2101-0049</t>
        </is>
      </c>
      <c r="L107" s="20" t="inlineStr"/>
      <c r="M107" s="20" t="inlineStr"/>
      <c r="N107" s="20" t="inlineStr"/>
      <c r="O107" s="20" t="inlineStr"/>
      <c r="P107" s="20" t="inlineStr">
        <is>
          <t>ALEXANDRE FERREIRA BOUCINHAS</t>
        </is>
      </c>
      <c r="Q107" s="20" t="inlineStr">
        <is>
          <t>Diretor</t>
        </is>
      </c>
      <c r="R107" s="20" t="inlineStr">
        <is>
          <t>(47) 2101-0049</t>
        </is>
      </c>
      <c r="S107" s="20" t="inlineStr"/>
      <c r="T107" s="21" t="n">
        <v>1359881.3</v>
      </c>
      <c r="U107" s="22" t="inlineStr">
        <is>
          <t>B</t>
        </is>
      </c>
      <c r="V107" s="23">
        <f>IFERROR(VLOOKUP(U107,Assumptions!$A$7:$D$11,2,FALSE),0)</f>
        <v/>
      </c>
      <c r="W107" s="24">
        <f>MAX(0.5,IFERROR(VLOOKUP(U107,Assumptions!$A$7:$D$11,3,FALSE),3)+IFERROR(VLOOKUP(U107,Assumptions!$A$7:$D$11,4,FALSE),8)/2-IF(AN107="",0,YEAR(TODAY())-AN107))</f>
        <v/>
      </c>
      <c r="X107" s="21">
        <f>T107*V107/(1+Assumptions!$B$3)^W107</f>
        <v/>
      </c>
      <c r="Y107" s="25">
        <f>IF(T107=0,"",ROUND(X107/T107*100,1))</f>
        <v/>
      </c>
      <c r="Z107" s="26">
        <f>X107*Assumptions!$B$4</f>
        <v/>
      </c>
      <c r="AA107" s="25">
        <f>IF(T107=0,"",ROUND(Z107/T107*100,1))</f>
        <v/>
      </c>
      <c r="AB107" s="26">
        <f>X107-Z107</f>
        <v/>
      </c>
      <c r="AC107" s="25">
        <f>IF(T107=0,"",ROUND((X107-Z107)/T107*100,1))</f>
        <v/>
      </c>
      <c r="AD107" s="27" t="inlineStr">
        <is>
          <t>ESTIMATED</t>
        </is>
      </c>
      <c r="AE107" s="28" t="inlineStr">
        <is>
          <t>https://assistjud.com.br/wp-content/uploads/elementor/forms/65098c80a5824.pdf</t>
        </is>
      </c>
      <c r="AF107" s="27" t="inlineStr">
        <is>
          <t>p7 r11; p18 r3</t>
        </is>
      </c>
      <c r="AG107" s="27" t="inlineStr">
        <is>
          <t>p7: R$ 815.928,78; p18: R$ 543.952,52</t>
        </is>
      </c>
      <c r="AH107" s="27" t="inlineStr">
        <is>
          <t>AJ_LIST</t>
        </is>
      </c>
      <c r="AI107" s="27" t="inlineStr">
        <is>
          <t>2023-09-18</t>
        </is>
      </c>
      <c r="AJ107" s="27" t="inlineStr">
        <is>
          <t>OK_NO_TOTALS</t>
        </is>
      </c>
      <c r="AK107" s="29" t="inlineStr">
        <is>
          <t>8005129-09.2023.8.05.0039</t>
        </is>
      </c>
      <c r="AL107" s="29" t="inlineStr">
        <is>
          <t>TJBA</t>
        </is>
      </c>
      <c r="AM107" s="29" t="inlineStr">
        <is>
          <t>ACTIVE</t>
        </is>
      </c>
      <c r="AN107" s="29" t="n">
        <v>2023</v>
      </c>
      <c r="AO107" s="29" t="inlineStr">
        <is>
          <t>live case, no plan document yet</t>
        </is>
      </c>
      <c r="AP107" s="29" t="inlineStr">
        <is>
          <t>VITORIA</t>
        </is>
      </c>
      <c r="AQ107" s="29" t="inlineStr">
        <is>
          <t>ES</t>
        </is>
      </c>
      <c r="AR107" s="29" t="inlineStr">
        <is>
          <t>Comércio atacadista de mercadorias em geral, sem predominância de alimentos ou de insumos agropecuários</t>
        </is>
      </c>
      <c r="AS107" s="29" t="inlineStr">
        <is>
          <t>DEMAIS</t>
        </is>
      </c>
      <c r="AT107" s="29" t="inlineStr">
        <is>
          <t>LARGE CORP</t>
        </is>
      </c>
      <c r="AU107" s="29" t="inlineStr">
        <is>
          <t>60846599</t>
        </is>
      </c>
      <c r="AV107" s="29" t="n">
        <v>2</v>
      </c>
      <c r="AW107" s="29" t="inlineStr">
        <is>
          <t>ROWS:p7r11,p18r3 UNRECONCILED_SOURCE</t>
        </is>
      </c>
    </row>
    <row r="108">
      <c r="A108" s="15" t="inlineStr">
        <is>
          <t>MULTISAUDE FARMACEUTICA E NUTRICIONAL S/A</t>
        </is>
      </c>
      <c r="B108" s="16" t="n">
        <v>1349574.1</v>
      </c>
      <c r="C108" s="17" t="inlineStr">
        <is>
          <t>VEV COMERCIO DE MEDICAMENTOS LTDA EM RECUPERACAO JUDICIAL</t>
        </is>
      </c>
      <c r="D108" s="18" t="inlineStr">
        <is>
          <t>NEW</t>
        </is>
      </c>
      <c r="E108" s="19" t="inlineStr"/>
      <c r="F108" s="18" t="inlineStr"/>
      <c r="G108" s="19" t="inlineStr"/>
      <c r="H108" s="18" t="inlineStr"/>
      <c r="I108" s="20" t="inlineStr">
        <is>
          <t>IGOR GEORGE FARIAS DE MEDEIROS</t>
        </is>
      </c>
      <c r="J108" s="20" t="inlineStr">
        <is>
          <t>Presidente</t>
        </is>
      </c>
      <c r="K108" s="20" t="inlineStr">
        <is>
          <t>(41) 3679-5858</t>
        </is>
      </c>
      <c r="L108" s="20" t="inlineStr"/>
      <c r="M108" s="20" t="inlineStr"/>
      <c r="N108" s="20" t="inlineStr"/>
      <c r="O108" s="20" t="inlineStr"/>
      <c r="P108" s="20" t="inlineStr">
        <is>
          <t>ROBERTO FRANCISCO DA SILVA</t>
        </is>
      </c>
      <c r="Q108" s="20" t="inlineStr">
        <is>
          <t>Diretor</t>
        </is>
      </c>
      <c r="R108" s="20" t="inlineStr">
        <is>
          <t>(41) 3679-5858</t>
        </is>
      </c>
      <c r="S108" s="20" t="inlineStr"/>
      <c r="T108" s="21" t="n">
        <v>1349574.1</v>
      </c>
      <c r="U108" s="22" t="inlineStr">
        <is>
          <t>B</t>
        </is>
      </c>
      <c r="V108" s="23">
        <f>IFERROR(VLOOKUP(U108,Assumptions!$A$7:$D$11,2,FALSE),0)</f>
        <v/>
      </c>
      <c r="W108" s="24">
        <f>MAX(0.5,IFERROR(VLOOKUP(U108,Assumptions!$A$7:$D$11,3,FALSE),3)+IFERROR(VLOOKUP(U108,Assumptions!$A$7:$D$11,4,FALSE),8)/2-IF(AN108="",0,YEAR(TODAY())-AN108))</f>
        <v/>
      </c>
      <c r="X108" s="21">
        <f>T108*V108/(1+Assumptions!$B$3)^W108</f>
        <v/>
      </c>
      <c r="Y108" s="25">
        <f>IF(T108=0,"",ROUND(X108/T108*100,1))</f>
        <v/>
      </c>
      <c r="Z108" s="26">
        <f>X108*Assumptions!$B$4</f>
        <v/>
      </c>
      <c r="AA108" s="25">
        <f>IF(T108=0,"",ROUND(Z108/T108*100,1))</f>
        <v/>
      </c>
      <c r="AB108" s="26">
        <f>X108-Z108</f>
        <v/>
      </c>
      <c r="AC108" s="25">
        <f>IF(T108=0,"",ROUND((X108-Z108)/T108*100,1))</f>
        <v/>
      </c>
      <c r="AD108" s="27" t="inlineStr">
        <is>
          <t>ESTIMATED</t>
        </is>
      </c>
      <c r="AE108" s="28" t="inlineStr">
        <is>
          <t>https://marquesadmjudicial.com.br/sgc/download.php?file=files/processo_documento/processo_documento15293208032024_1_.pdf&amp;nome=Relação Nominal de Credores da AJ-Sintética</t>
        </is>
      </c>
      <c r="AF108" s="27" t="inlineStr">
        <is>
          <t>p29 r9</t>
        </is>
      </c>
      <c r="AG108" s="27" t="inlineStr">
        <is>
          <t>p29: R$ 1.349.574,10</t>
        </is>
      </c>
      <c r="AH108" s="27" t="inlineStr">
        <is>
          <t>AJ_LIST</t>
        </is>
      </c>
      <c r="AI108" s="27" t="inlineStr">
        <is>
          <t>2023-03-02</t>
        </is>
      </c>
      <c r="AJ108" s="27" t="inlineStr">
        <is>
          <t>QUARANTINED</t>
        </is>
      </c>
      <c r="AK108" s="29" t="inlineStr">
        <is>
          <t>0005010-98.2023.8.16.0001</t>
        </is>
      </c>
      <c r="AL108" s="29" t="inlineStr">
        <is>
          <t>TJPR</t>
        </is>
      </c>
      <c r="AM108" s="29" t="inlineStr">
        <is>
          <t>ACTIVE</t>
        </is>
      </c>
      <c r="AN108" s="29" t="n">
        <v>2023</v>
      </c>
      <c r="AO108" s="29" t="inlineStr">
        <is>
          <t>live case, no plan document yet</t>
        </is>
      </c>
      <c r="AP108" s="29" t="inlineStr">
        <is>
          <t>GOIANA</t>
        </is>
      </c>
      <c r="AQ108" s="29" t="inlineStr">
        <is>
          <t>PE</t>
        </is>
      </c>
      <c r="AR108" s="29" t="inlineStr">
        <is>
          <t>Fabricação de medicamentos alopáticos para uso humano</t>
        </is>
      </c>
      <c r="AS108" s="29" t="inlineStr">
        <is>
          <t>DEMAIS</t>
        </is>
      </c>
      <c r="AT108" s="29" t="inlineStr">
        <is>
          <t>MID-MARKET</t>
        </is>
      </c>
      <c r="AU108" s="29" t="inlineStr">
        <is>
          <t>07159913</t>
        </is>
      </c>
      <c r="AV108" s="29" t="n">
        <v>1</v>
      </c>
      <c r="AW108" s="29" t="inlineStr">
        <is>
          <t>PARTIAL_DOC_CLASS_III_RECONCILED ROWS:p29r9</t>
        </is>
      </c>
    </row>
    <row r="109">
      <c r="A109" s="15" t="inlineStr">
        <is>
          <t>STRATURA ASFALTOS LTDA.</t>
        </is>
      </c>
      <c r="B109" s="16" t="n">
        <v>2146226.53</v>
      </c>
      <c r="C109" s="17" t="inlineStr">
        <is>
          <t>CONSTRUTORA ANDRADE GUEDES LDTA – Diligence Administração em Recuperação Judicial e Falência</t>
        </is>
      </c>
      <c r="D109" s="18" t="inlineStr">
        <is>
          <t>NEW</t>
        </is>
      </c>
      <c r="E109" s="19" t="inlineStr"/>
      <c r="F109" s="18" t="inlineStr"/>
      <c r="G109" s="19" t="inlineStr"/>
      <c r="H109" s="18" t="inlineStr"/>
      <c r="I109" s="20" t="inlineStr">
        <is>
          <t>CARLOS ALBERTO DE AQUINO PINHEIRO JUNIOR</t>
        </is>
      </c>
      <c r="J109" s="20" t="inlineStr">
        <is>
          <t>Administrador</t>
        </is>
      </c>
      <c r="K109" s="20" t="inlineStr">
        <is>
          <t>(11) 3513-4260</t>
        </is>
      </c>
      <c r="L109" s="20" t="inlineStr"/>
      <c r="M109" s="20" t="inlineStr"/>
      <c r="N109" s="20" t="inlineStr"/>
      <c r="O109" s="20" t="inlineStr"/>
      <c r="P109" s="20" t="inlineStr"/>
      <c r="Q109" s="20" t="inlineStr"/>
      <c r="R109" s="20" t="inlineStr"/>
      <c r="S109" s="20" t="inlineStr"/>
      <c r="T109" s="21" t="n">
        <v>2146226.53</v>
      </c>
      <c r="U109" s="31" t="inlineStr">
        <is>
          <t>C</t>
        </is>
      </c>
      <c r="V109" s="23">
        <f>IFERROR(VLOOKUP(U109,Assumptions!$A$7:$D$11,2,FALSE),0)</f>
        <v/>
      </c>
      <c r="W109" s="24">
        <f>MAX(0.5,IFERROR(VLOOKUP(U109,Assumptions!$A$7:$D$11,3,FALSE),3)+IFERROR(VLOOKUP(U109,Assumptions!$A$7:$D$11,4,FALSE),8)/2-IF(AN109="",0,YEAR(TODAY())-AN109))</f>
        <v/>
      </c>
      <c r="X109" s="21">
        <f>T109*V109/(1+Assumptions!$B$3)^W109</f>
        <v/>
      </c>
      <c r="Y109" s="25">
        <f>IF(T109=0,"",ROUND(X109/T109*100,1))</f>
        <v/>
      </c>
      <c r="Z109" s="26">
        <f>X109*Assumptions!$B$4</f>
        <v/>
      </c>
      <c r="AA109" s="25">
        <f>IF(T109=0,"",ROUND(Z109/T109*100,1))</f>
        <v/>
      </c>
      <c r="AB109" s="26">
        <f>X109-Z109</f>
        <v/>
      </c>
      <c r="AC109" s="25">
        <f>IF(T109=0,"",ROUND((X109-Z109)/T109*100,1))</f>
        <v/>
      </c>
      <c r="AD109" s="27" t="inlineStr">
        <is>
          <t>ESTIMATED</t>
        </is>
      </c>
      <c r="AE109" s="28" t="inlineStr">
        <is>
          <t>https://diligence.adm.br/wp-content/plugins/download-attachments/includes/download.php?id=4599</t>
        </is>
      </c>
      <c r="AF109" s="27" t="inlineStr">
        <is>
          <t>p10 r77</t>
        </is>
      </c>
      <c r="AG109" s="27" t="inlineStr">
        <is>
          <t>p10: R$ 2.146.226,53</t>
        </is>
      </c>
      <c r="AH109" s="27" t="inlineStr">
        <is>
          <t>AJ_LIST</t>
        </is>
      </c>
      <c r="AI109" s="27" t="inlineStr">
        <is>
          <t>2024-06-25</t>
        </is>
      </c>
      <c r="AJ109" s="27" t="inlineStr">
        <is>
          <t>OK_NO_TOTALS</t>
        </is>
      </c>
      <c r="AK109" s="29" t="inlineStr">
        <is>
          <t>0000880-57.2020.8.17.2001</t>
        </is>
      </c>
      <c r="AL109" s="29" t="inlineStr">
        <is>
          <t>TJPE</t>
        </is>
      </c>
      <c r="AM109" s="29" t="inlineStr">
        <is>
          <t>ACTIVE</t>
        </is>
      </c>
      <c r="AN109" s="29" t="n">
        <v>2020</v>
      </c>
      <c r="AO109" s="29" t="inlineStr">
        <is>
          <t>6y since filing, no plan document</t>
        </is>
      </c>
      <c r="AP109" s="29" t="inlineStr">
        <is>
          <t>SAO PAULO</t>
        </is>
      </c>
      <c r="AQ109" s="29" t="inlineStr">
        <is>
          <t>SP</t>
        </is>
      </c>
      <c r="AR109" s="29" t="inlineStr">
        <is>
          <t>Serviços combinados de escritório e apoio administrativo</t>
        </is>
      </c>
      <c r="AS109" s="29" t="inlineStr">
        <is>
          <t>DEMAIS</t>
        </is>
      </c>
      <c r="AT109" s="29" t="inlineStr">
        <is>
          <t>LARGE CORP</t>
        </is>
      </c>
      <c r="AU109" s="29" t="inlineStr">
        <is>
          <t>59128553</t>
        </is>
      </c>
      <c r="AV109" s="29" t="n">
        <v>1</v>
      </c>
      <c r="AW109" s="29" t="inlineStr">
        <is>
          <t>ALT_VALUE:R$1.615.549,86 ALT_VALUE:R$530.676,67 ROWS:p10r77 UNRECONCILED_SOURCE VALUE_COL:2ª_Lista</t>
        </is>
      </c>
    </row>
    <row r="110">
      <c r="A110" s="15" t="inlineStr">
        <is>
          <t>SEMPRE AGTECH LTDA</t>
        </is>
      </c>
      <c r="B110" s="16" t="n">
        <v>2037616.99</v>
      </c>
      <c r="C110" s="17" t="inlineStr">
        <is>
          <t>NORTESUL COMERCIAL AGRICOLA LTDA EM RECUPERACAO JUDICIAL</t>
        </is>
      </c>
      <c r="D110" s="18" t="inlineStr">
        <is>
          <t>NEW</t>
        </is>
      </c>
      <c r="E110" s="19" t="inlineStr"/>
      <c r="F110" s="18" t="inlineStr"/>
      <c r="G110" s="19" t="inlineStr"/>
      <c r="H110" s="18" t="inlineStr"/>
      <c r="I110" s="20" t="inlineStr">
        <is>
          <t>Sidney Martins</t>
        </is>
      </c>
      <c r="J110" s="20" t="inlineStr">
        <is>
          <t>Production Director</t>
        </is>
      </c>
      <c r="K110" s="20" t="inlineStr">
        <is>
          <t>(49) 3441-8200</t>
        </is>
      </c>
      <c r="L110" s="20" t="inlineStr"/>
      <c r="M110" s="20" t="inlineStr"/>
      <c r="N110" s="20" t="inlineStr">
        <is>
          <t>sidney@semprehealth.com</t>
        </is>
      </c>
      <c r="O110" s="20" t="inlineStr"/>
      <c r="P110" s="20" t="inlineStr"/>
      <c r="Q110" s="20" t="inlineStr"/>
      <c r="R110" s="20" t="inlineStr"/>
      <c r="S110" s="20" t="inlineStr"/>
      <c r="T110" s="21" t="n">
        <v>2037616.99</v>
      </c>
      <c r="U110" s="22" t="inlineStr">
        <is>
          <t>B</t>
        </is>
      </c>
      <c r="V110" s="23">
        <f>IFERROR(VLOOKUP(U110,Assumptions!$A$7:$D$11,2,FALSE),0)</f>
        <v/>
      </c>
      <c r="W110" s="24">
        <f>MAX(0.5,IFERROR(VLOOKUP(U110,Assumptions!$A$7:$D$11,3,FALSE),3)+IFERROR(VLOOKUP(U110,Assumptions!$A$7:$D$11,4,FALSE),8)/2-IF(AN110="",0,YEAR(TODAY())-AN110))</f>
        <v/>
      </c>
      <c r="X110" s="21">
        <f>T110*V110/(1+Assumptions!$B$3)^W110</f>
        <v/>
      </c>
      <c r="Y110" s="25">
        <f>IF(T110=0,"",ROUND(X110/T110*100,1))</f>
        <v/>
      </c>
      <c r="Z110" s="26">
        <f>X110*Assumptions!$B$4</f>
        <v/>
      </c>
      <c r="AA110" s="25">
        <f>IF(T110=0,"",ROUND(Z110/T110*100,1))</f>
        <v/>
      </c>
      <c r="AB110" s="26">
        <f>X110-Z110</f>
        <v/>
      </c>
      <c r="AC110" s="25">
        <f>IF(T110=0,"",ROUND((X110-Z110)/T110*100,1))</f>
        <v/>
      </c>
      <c r="AD110" s="27" t="inlineStr">
        <is>
          <t>ESTIMATED</t>
        </is>
      </c>
      <c r="AE110" s="28" t="inlineStr">
        <is>
          <t>https://lrflideres.com.br/wp-content/plugins/download-attachments/includes/download.php?id=6879</t>
        </is>
      </c>
      <c r="AF110" s="27" t="inlineStr">
        <is>
          <t>p2 r7</t>
        </is>
      </c>
      <c r="AG110" s="27" t="inlineStr">
        <is>
          <t>p2: R$ 2.037.616,99</t>
        </is>
      </c>
      <c r="AH110" s="27" t="inlineStr">
        <is>
          <t>AJ_LIST</t>
        </is>
      </c>
      <c r="AI110" s="27" t="inlineStr">
        <is>
          <t>2026-01-15</t>
        </is>
      </c>
      <c r="AJ110" s="27" t="inlineStr">
        <is>
          <t>OK</t>
        </is>
      </c>
      <c r="AK110" s="29" t="inlineStr">
        <is>
          <t>0804401-51.2025.8.14.0039</t>
        </is>
      </c>
      <c r="AL110" s="29" t="inlineStr">
        <is>
          <t>TJPA</t>
        </is>
      </c>
      <c r="AM110" s="29" t="inlineStr">
        <is>
          <t>ACTIVE</t>
        </is>
      </c>
      <c r="AN110" s="29" t="n">
        <v>2025</v>
      </c>
      <c r="AO110" s="29" t="inlineStr">
        <is>
          <t>live case, no plan document yet</t>
        </is>
      </c>
      <c r="AP110" s="29" t="inlineStr">
        <is>
          <t>CHAPECO</t>
        </is>
      </c>
      <c r="AQ110" s="29" t="inlineStr">
        <is>
          <t>SC</t>
        </is>
      </c>
      <c r="AR110" s="29" t="inlineStr">
        <is>
          <t>Produção de sementes certificadas, exceto de forrageiras para pasto</t>
        </is>
      </c>
      <c r="AS110" s="29" t="inlineStr">
        <is>
          <t>DEMAIS</t>
        </is>
      </c>
      <c r="AT110" s="29" t="inlineStr">
        <is>
          <t>MID-MARKET</t>
        </is>
      </c>
      <c r="AU110" s="29" t="inlineStr">
        <is>
          <t>09536120</t>
        </is>
      </c>
      <c r="AV110" s="29" t="n">
        <v>1</v>
      </c>
      <c r="AW110" s="29" t="inlineStr">
        <is>
          <t>ROWS:p2r7</t>
        </is>
      </c>
    </row>
    <row r="111">
      <c r="A111" s="15" t="inlineStr">
        <is>
          <t>LEGGETT &amp; PLATT DO BRASIL LTDA</t>
        </is>
      </c>
      <c r="B111" s="16" t="n">
        <v>1488789.48</v>
      </c>
      <c r="C111" s="17" t="inlineStr"/>
      <c r="D111" s="18" t="inlineStr">
        <is>
          <t>NEW</t>
        </is>
      </c>
      <c r="E111" s="19" t="inlineStr"/>
      <c r="F111" s="18" t="inlineStr"/>
      <c r="G111" s="19" t="inlineStr"/>
      <c r="H111" s="18" t="inlineStr"/>
      <c r="I111" s="20" t="inlineStr">
        <is>
          <t>GUSTAVO GOULART LEMOS</t>
        </is>
      </c>
      <c r="J111" s="20" t="inlineStr">
        <is>
          <t>Administrador</t>
        </is>
      </c>
      <c r="K111" s="20" t="inlineStr">
        <is>
          <t>(11) 4894-6027</t>
        </is>
      </c>
      <c r="L111" s="20" t="inlineStr"/>
      <c r="M111" s="20" t="inlineStr"/>
      <c r="N111" s="20" t="inlineStr"/>
      <c r="O111" s="20" t="inlineStr"/>
      <c r="P111" s="20" t="inlineStr"/>
      <c r="Q111" s="20" t="inlineStr"/>
      <c r="R111" s="20" t="inlineStr"/>
      <c r="S111" s="20" t="inlineStr"/>
      <c r="T111" s="21" t="n">
        <v>1488789.48</v>
      </c>
      <c r="U111" s="31" t="inlineStr">
        <is>
          <t>C</t>
        </is>
      </c>
      <c r="V111" s="23">
        <f>IFERROR(VLOOKUP(U111,Assumptions!$A$7:$D$11,2,FALSE),0)</f>
        <v/>
      </c>
      <c r="W111" s="24">
        <f>MAX(0.5,IFERROR(VLOOKUP(U111,Assumptions!$A$7:$D$11,3,FALSE),3)+IFERROR(VLOOKUP(U111,Assumptions!$A$7:$D$11,4,FALSE),8)/2-IF(AN111="",0,YEAR(TODAY())-AN111))</f>
        <v/>
      </c>
      <c r="X111" s="21">
        <f>T111*V111/(1+Assumptions!$B$3)^W111</f>
        <v/>
      </c>
      <c r="Y111" s="25">
        <f>IF(T111=0,"",ROUND(X111/T111*100,1))</f>
        <v/>
      </c>
      <c r="Z111" s="26">
        <f>X111*Assumptions!$B$4</f>
        <v/>
      </c>
      <c r="AA111" s="25">
        <f>IF(T111=0,"",ROUND(Z111/T111*100,1))</f>
        <v/>
      </c>
      <c r="AB111" s="26">
        <f>X111-Z111</f>
        <v/>
      </c>
      <c r="AC111" s="25">
        <f>IF(T111=0,"",ROUND((X111-Z111)/T111*100,1))</f>
        <v/>
      </c>
      <c r="AD111" s="27" t="inlineStr">
        <is>
          <t>UNKNOWN</t>
        </is>
      </c>
      <c r="AE111" s="28" t="inlineStr">
        <is>
          <t>https://administradorajudicialgs.com.br/wp-content/uploads/2024/12/relacao-de-credores-da-falida.pdf</t>
        </is>
      </c>
      <c r="AF111" s="27" t="inlineStr">
        <is>
          <t>p16 r12</t>
        </is>
      </c>
      <c r="AG111" s="27" t="inlineStr">
        <is>
          <t>p16: R$ 1.488.789,48</t>
        </is>
      </c>
      <c r="AH111" s="27" t="inlineStr">
        <is>
          <t>UNKNOWN</t>
        </is>
      </c>
      <c r="AI111" s="27" t="inlineStr">
        <is>
          <t>2025-03-25</t>
        </is>
      </c>
      <c r="AJ111" s="27" t="inlineStr">
        <is>
          <t>OK_NO_TOTALS</t>
        </is>
      </c>
      <c r="AK111" s="29" t="inlineStr">
        <is>
          <t>0005010-50.2013.8.24.0026</t>
        </is>
      </c>
      <c r="AL111" s="29" t="inlineStr">
        <is>
          <t>TJ</t>
        </is>
      </c>
      <c r="AM111" s="29" t="inlineStr"/>
      <c r="AN111" s="29" t="n">
        <v>2013</v>
      </c>
      <c r="AO111" s="29" t="inlineStr">
        <is>
          <t>13y since filing, no plan document</t>
        </is>
      </c>
      <c r="AP111" s="29" t="inlineStr">
        <is>
          <t>CAMANDUCAIA</t>
        </is>
      </c>
      <c r="AQ111" s="29" t="inlineStr">
        <is>
          <t>MG</t>
        </is>
      </c>
      <c r="AR111" s="29" t="inlineStr">
        <is>
          <t>Fabricação de outros produtos de metal não especificados anteriormente</t>
        </is>
      </c>
      <c r="AS111" s="29" t="inlineStr">
        <is>
          <t>DEMAIS</t>
        </is>
      </c>
      <c r="AT111" s="29" t="inlineStr">
        <is>
          <t>LARGE CORP</t>
        </is>
      </c>
      <c r="AU111" s="29" t="inlineStr">
        <is>
          <t>03213075</t>
        </is>
      </c>
      <c r="AV111" s="29" t="n">
        <v>1</v>
      </c>
      <c r="AW111" s="29" t="inlineStr">
        <is>
          <t>ROWS:p16r12 UNRECONCILED_SOURCE</t>
        </is>
      </c>
    </row>
    <row r="112">
      <c r="A112" s="15" t="inlineStr">
        <is>
          <t>FERTILIZANTES TOCANTINS S.A</t>
        </is>
      </c>
      <c r="B112" s="16" t="n">
        <v>2016948.56</v>
      </c>
      <c r="C112" s="17" t="inlineStr">
        <is>
          <t>NORTESUL COMERCIAL AGRICOLA LTDA EM RECUPERACAO JUDICIAL</t>
        </is>
      </c>
      <c r="D112" s="18" t="inlineStr">
        <is>
          <t>NEW</t>
        </is>
      </c>
      <c r="E112" s="19" t="inlineStr"/>
      <c r="F112" s="18" t="inlineStr"/>
      <c r="G112" s="19" t="inlineStr"/>
      <c r="H112" s="18" t="inlineStr"/>
      <c r="I112" s="20" t="inlineStr">
        <is>
          <t>DMITRY CHERNYKH</t>
        </is>
      </c>
      <c r="J112" s="20" t="inlineStr">
        <is>
          <t>Presidente</t>
        </is>
      </c>
      <c r="K112" s="20" t="inlineStr">
        <is>
          <t>(62) 3414-6300</t>
        </is>
      </c>
      <c r="L112" s="20" t="inlineStr"/>
      <c r="M112" s="20" t="inlineStr"/>
      <c r="N112" s="20" t="inlineStr"/>
      <c r="O112" s="20" t="inlineStr"/>
      <c r="P112" s="20" t="inlineStr">
        <is>
          <t>ALEKSANDR BENKE</t>
        </is>
      </c>
      <c r="Q112" s="20" t="inlineStr">
        <is>
          <t>Diretor</t>
        </is>
      </c>
      <c r="R112" s="20" t="inlineStr">
        <is>
          <t>(62) 3414-6300</t>
        </is>
      </c>
      <c r="S112" s="20" t="inlineStr"/>
      <c r="T112" s="21" t="n">
        <v>2016948.56</v>
      </c>
      <c r="U112" s="22" t="inlineStr">
        <is>
          <t>B</t>
        </is>
      </c>
      <c r="V112" s="23">
        <f>IFERROR(VLOOKUP(U112,Assumptions!$A$7:$D$11,2,FALSE),0)</f>
        <v/>
      </c>
      <c r="W112" s="24">
        <f>MAX(0.5,IFERROR(VLOOKUP(U112,Assumptions!$A$7:$D$11,3,FALSE),3)+IFERROR(VLOOKUP(U112,Assumptions!$A$7:$D$11,4,FALSE),8)/2-IF(AN112="",0,YEAR(TODAY())-AN112))</f>
        <v/>
      </c>
      <c r="X112" s="21">
        <f>T112*V112/(1+Assumptions!$B$3)^W112</f>
        <v/>
      </c>
      <c r="Y112" s="25">
        <f>IF(T112=0,"",ROUND(X112/T112*100,1))</f>
        <v/>
      </c>
      <c r="Z112" s="26">
        <f>X112*Assumptions!$B$4</f>
        <v/>
      </c>
      <c r="AA112" s="25">
        <f>IF(T112=0,"",ROUND(Z112/T112*100,1))</f>
        <v/>
      </c>
      <c r="AB112" s="26">
        <f>X112-Z112</f>
        <v/>
      </c>
      <c r="AC112" s="25">
        <f>IF(T112=0,"",ROUND((X112-Z112)/T112*100,1))</f>
        <v/>
      </c>
      <c r="AD112" s="27" t="inlineStr">
        <is>
          <t>ESTIMATED</t>
        </is>
      </c>
      <c r="AE112" s="28" t="inlineStr">
        <is>
          <t>https://lrflideres.com.br/wp-content/plugins/download-attachments/includes/download.php?id=6879</t>
        </is>
      </c>
      <c r="AF112" s="27" t="inlineStr">
        <is>
          <t>p2 r1</t>
        </is>
      </c>
      <c r="AG112" s="27" t="inlineStr">
        <is>
          <t>p2: R$ 2.016.948,56</t>
        </is>
      </c>
      <c r="AH112" s="27" t="inlineStr">
        <is>
          <t>AJ_LIST</t>
        </is>
      </c>
      <c r="AI112" s="27" t="inlineStr">
        <is>
          <t>2026-01-15</t>
        </is>
      </c>
      <c r="AJ112" s="27" t="inlineStr">
        <is>
          <t>OK</t>
        </is>
      </c>
      <c r="AK112" s="29" t="inlineStr">
        <is>
          <t>0804401-51.2025.8.14.0039</t>
        </is>
      </c>
      <c r="AL112" s="29" t="inlineStr">
        <is>
          <t>TJPA</t>
        </is>
      </c>
      <c r="AM112" s="29" t="inlineStr">
        <is>
          <t>ACTIVE</t>
        </is>
      </c>
      <c r="AN112" s="29" t="n">
        <v>2025</v>
      </c>
      <c r="AO112" s="29" t="inlineStr">
        <is>
          <t>live case, no plan document yet</t>
        </is>
      </c>
      <c r="AP112" s="29" t="inlineStr">
        <is>
          <t>PORTO NACIONAL</t>
        </is>
      </c>
      <c r="AQ112" s="29" t="inlineStr">
        <is>
          <t>TO</t>
        </is>
      </c>
      <c r="AR112" s="29" t="inlineStr">
        <is>
          <t>Fabricação de adubos e fertilizantes, exceto organo-minerais</t>
        </is>
      </c>
      <c r="AS112" s="29" t="inlineStr">
        <is>
          <t>DEMAIS</t>
        </is>
      </c>
      <c r="AT112" s="29" t="inlineStr">
        <is>
          <t>LARGE CORP</t>
        </is>
      </c>
      <c r="AU112" s="29" t="inlineStr">
        <is>
          <t>05571228</t>
        </is>
      </c>
      <c r="AV112" s="29" t="n">
        <v>1</v>
      </c>
      <c r="AW112" s="29" t="inlineStr">
        <is>
          <t>ROWS:p2r1</t>
        </is>
      </c>
    </row>
    <row r="113">
      <c r="A113" s="15" t="inlineStr">
        <is>
          <t>CAMINERO INDUSTRIA E COMERCIO DE OLEOS LTDA</t>
        </is>
      </c>
      <c r="B113" s="16" t="n">
        <v>1251475.5</v>
      </c>
      <c r="C113" s="17" t="inlineStr">
        <is>
          <t>ADVOCACIA WANDERLEI DE PAULA BARRETO</t>
        </is>
      </c>
      <c r="D113" s="18" t="inlineStr">
        <is>
          <t>NEW</t>
        </is>
      </c>
      <c r="E113" s="19" t="inlineStr"/>
      <c r="F113" s="18" t="inlineStr"/>
      <c r="G113" s="19" t="inlineStr"/>
      <c r="H113" s="18" t="inlineStr"/>
      <c r="I113" s="20" t="inlineStr">
        <is>
          <t>DENILSON JORGE DO NASCIMENTO</t>
        </is>
      </c>
      <c r="J113" s="20" t="inlineStr">
        <is>
          <t>Sócio-Administrador</t>
        </is>
      </c>
      <c r="K113" s="20" t="inlineStr">
        <is>
          <t>(14) 3662-9499</t>
        </is>
      </c>
      <c r="L113" s="20" t="inlineStr"/>
      <c r="M113" s="20" t="inlineStr"/>
      <c r="N113" s="20" t="inlineStr"/>
      <c r="O113" s="20" t="inlineStr"/>
      <c r="P113" s="20" t="inlineStr"/>
      <c r="Q113" s="20" t="inlineStr"/>
      <c r="R113" s="20" t="inlineStr"/>
      <c r="S113" s="20" t="inlineStr"/>
      <c r="T113" s="21" t="n">
        <v>1251475.5</v>
      </c>
      <c r="U113" s="22" t="inlineStr">
        <is>
          <t>B</t>
        </is>
      </c>
      <c r="V113" s="23">
        <f>IFERROR(VLOOKUP(U113,Assumptions!$A$7:$D$11,2,FALSE),0)</f>
        <v/>
      </c>
      <c r="W113" s="24">
        <f>MAX(0.5,IFERROR(VLOOKUP(U113,Assumptions!$A$7:$D$11,3,FALSE),3)+IFERROR(VLOOKUP(U113,Assumptions!$A$7:$D$11,4,FALSE),8)/2-IF(AN113="",0,YEAR(TODAY())-AN113))</f>
        <v/>
      </c>
      <c r="X113" s="21">
        <f>T113*V113/(1+Assumptions!$B$3)^W113</f>
        <v/>
      </c>
      <c r="Y113" s="25">
        <f>IF(T113=0,"",ROUND(X113/T113*100,1))</f>
        <v/>
      </c>
      <c r="Z113" s="26">
        <f>X113*Assumptions!$B$4</f>
        <v/>
      </c>
      <c r="AA113" s="25">
        <f>IF(T113=0,"",ROUND(Z113/T113*100,1))</f>
        <v/>
      </c>
      <c r="AB113" s="26">
        <f>X113-Z113</f>
        <v/>
      </c>
      <c r="AC113" s="25">
        <f>IF(T113=0,"",ROUND((X113-Z113)/T113*100,1))</f>
        <v/>
      </c>
      <c r="AD113" s="27" t="inlineStr">
        <is>
          <t>ESTIMATED</t>
        </is>
      </c>
      <c r="AE113" s="28" t="inlineStr">
        <is>
          <t>https://marquesadmjudicial.com.br/sgc/download.php?file=files/processo_documento/processo_documento17040729052024_1_.pdf&amp;nome=Relação Nominal de Credores AJ-Sintética</t>
        </is>
      </c>
      <c r="AF113" s="27" t="inlineStr">
        <is>
          <t>p10 r12</t>
        </is>
      </c>
      <c r="AG113" s="27" t="inlineStr">
        <is>
          <t>p10: R$ 1.251.475,50</t>
        </is>
      </c>
      <c r="AH113" s="27" t="inlineStr">
        <is>
          <t>AJ_LIST</t>
        </is>
      </c>
      <c r="AI113" s="27" t="inlineStr">
        <is>
          <t>2024-05-27</t>
        </is>
      </c>
      <c r="AJ113" s="27" t="inlineStr">
        <is>
          <t>QUARANTINED</t>
        </is>
      </c>
      <c r="AK113" s="29" t="inlineStr">
        <is>
          <t>0003971-03.2023.8.16.0119</t>
        </is>
      </c>
      <c r="AL113" s="29" t="inlineStr">
        <is>
          <t>TJPR</t>
        </is>
      </c>
      <c r="AM113" s="29" t="inlineStr">
        <is>
          <t>ACTIVE</t>
        </is>
      </c>
      <c r="AN113" s="29" t="n">
        <v>2023</v>
      </c>
      <c r="AO113" s="29" t="inlineStr">
        <is>
          <t>live case, no plan document yet</t>
        </is>
      </c>
      <c r="AP113" s="29" t="inlineStr">
        <is>
          <t>BARIRI</t>
        </is>
      </c>
      <c r="AQ113" s="29" t="inlineStr">
        <is>
          <t>SP</t>
        </is>
      </c>
      <c r="AR113" s="29" t="inlineStr">
        <is>
          <t>Fabricação de margarina e outras gorduras vegetais e de óleos não-comestíveis de animais</t>
        </is>
      </c>
      <c r="AS113" s="29" t="inlineStr">
        <is>
          <t>DEMAIS</t>
        </is>
      </c>
      <c r="AT113" s="29" t="inlineStr">
        <is>
          <t>MID-MARKET</t>
        </is>
      </c>
      <c r="AU113" s="29" t="inlineStr">
        <is>
          <t>00474698</t>
        </is>
      </c>
      <c r="AV113" s="29" t="n">
        <v>1</v>
      </c>
      <c r="AW113" s="29" t="inlineStr">
        <is>
          <t>PARTIAL_DOC_CLASS_III_RECONCILED ROWS:p10r12</t>
        </is>
      </c>
    </row>
    <row r="114">
      <c r="A114" s="15" t="inlineStr">
        <is>
          <t>GONCALVES &amp; TORTOLA S/A</t>
        </is>
      </c>
      <c r="B114" s="16" t="n">
        <v>1218354.25</v>
      </c>
      <c r="C114" s="17" t="inlineStr">
        <is>
          <t>ADVOCACIA WANDERLEI DE PAULA BARRETO</t>
        </is>
      </c>
      <c r="D114" s="18" t="inlineStr">
        <is>
          <t>NEW</t>
        </is>
      </c>
      <c r="E114" s="19" t="inlineStr"/>
      <c r="F114" s="18" t="inlineStr"/>
      <c r="G114" s="19" t="inlineStr"/>
      <c r="H114" s="18" t="inlineStr"/>
      <c r="I114" s="20" t="inlineStr">
        <is>
          <t>VINICIUS DEMORI MARTINI GONCALVES</t>
        </is>
      </c>
      <c r="J114" s="20" t="inlineStr">
        <is>
          <t>Administrador</t>
        </is>
      </c>
      <c r="K114" s="20" t="inlineStr">
        <is>
          <t>(44) 3218-3605</t>
        </is>
      </c>
      <c r="L114" s="20" t="inlineStr"/>
      <c r="M114" s="20" t="inlineStr"/>
      <c r="N114" s="20" t="inlineStr"/>
      <c r="O114" s="20" t="inlineStr"/>
      <c r="P114" s="20" t="inlineStr">
        <is>
          <t>RAFAEL GONCALVES TORTOLA</t>
        </is>
      </c>
      <c r="Q114" s="20" t="inlineStr">
        <is>
          <t>Presidente</t>
        </is>
      </c>
      <c r="R114" s="20" t="inlineStr">
        <is>
          <t>(44) 3218-3605</t>
        </is>
      </c>
      <c r="S114" s="20" t="inlineStr"/>
      <c r="T114" s="21" t="n">
        <v>1218354.25</v>
      </c>
      <c r="U114" s="22" t="inlineStr">
        <is>
          <t>B</t>
        </is>
      </c>
      <c r="V114" s="23">
        <f>IFERROR(VLOOKUP(U114,Assumptions!$A$7:$D$11,2,FALSE),0)</f>
        <v/>
      </c>
      <c r="W114" s="24">
        <f>MAX(0.5,IFERROR(VLOOKUP(U114,Assumptions!$A$7:$D$11,3,FALSE),3)+IFERROR(VLOOKUP(U114,Assumptions!$A$7:$D$11,4,FALSE),8)/2-IF(AN114="",0,YEAR(TODAY())-AN114))</f>
        <v/>
      </c>
      <c r="X114" s="21">
        <f>T114*V114/(1+Assumptions!$B$3)^W114</f>
        <v/>
      </c>
      <c r="Y114" s="25">
        <f>IF(T114=0,"",ROUND(X114/T114*100,1))</f>
        <v/>
      </c>
      <c r="Z114" s="26">
        <f>X114*Assumptions!$B$4</f>
        <v/>
      </c>
      <c r="AA114" s="25">
        <f>IF(T114=0,"",ROUND(Z114/T114*100,1))</f>
        <v/>
      </c>
      <c r="AB114" s="26">
        <f>X114-Z114</f>
        <v/>
      </c>
      <c r="AC114" s="25">
        <f>IF(T114=0,"",ROUND((X114-Z114)/T114*100,1))</f>
        <v/>
      </c>
      <c r="AD114" s="27" t="inlineStr">
        <is>
          <t>ESTIMATED</t>
        </is>
      </c>
      <c r="AE114" s="28" t="inlineStr">
        <is>
          <t>https://marquesadmjudicial.com.br/sgc/download.php?file=files/processo_documento/processo_documento17040729052024_1_.pdf&amp;nome=Relação Nominal de Credores AJ-Sintética</t>
        </is>
      </c>
      <c r="AF114" s="27" t="inlineStr">
        <is>
          <t>p11 r11; p11 r12; p11 r13; p11 r14</t>
        </is>
      </c>
      <c r="AG114" s="27" t="inlineStr">
        <is>
          <t>p11: R$ 749.027,25; p11: R$ 73.168,00; p11: R$ 368.143,00; p11: R$ 28.016,00</t>
        </is>
      </c>
      <c r="AH114" s="27" t="inlineStr">
        <is>
          <t>AJ_LIST</t>
        </is>
      </c>
      <c r="AI114" s="27" t="inlineStr">
        <is>
          <t>2024-05-27</t>
        </is>
      </c>
      <c r="AJ114" s="27" t="inlineStr">
        <is>
          <t>QUARANTINED</t>
        </is>
      </c>
      <c r="AK114" s="29" t="inlineStr">
        <is>
          <t>0003971-03.2023.8.16.0119</t>
        </is>
      </c>
      <c r="AL114" s="29" t="inlineStr">
        <is>
          <t>TJPR</t>
        </is>
      </c>
      <c r="AM114" s="29" t="inlineStr">
        <is>
          <t>ACTIVE</t>
        </is>
      </c>
      <c r="AN114" s="29" t="n">
        <v>2023</v>
      </c>
      <c r="AO114" s="29" t="inlineStr">
        <is>
          <t>live case, no plan document yet</t>
        </is>
      </c>
      <c r="AP114" s="29" t="inlineStr">
        <is>
          <t>MARINGA</t>
        </is>
      </c>
      <c r="AQ114" s="29" t="inlineStr">
        <is>
          <t>PR</t>
        </is>
      </c>
      <c r="AR114" s="29" t="inlineStr">
        <is>
          <t>Abate de aves</t>
        </is>
      </c>
      <c r="AS114" s="29" t="inlineStr">
        <is>
          <t>DEMAIS</t>
        </is>
      </c>
      <c r="AT114" s="29" t="inlineStr">
        <is>
          <t>LARGE CORP</t>
        </is>
      </c>
      <c r="AU114" s="29" t="inlineStr">
        <is>
          <t>85070068</t>
        </is>
      </c>
      <c r="AV114" s="29" t="n">
        <v>4</v>
      </c>
      <c r="AW114" s="29" t="inlineStr">
        <is>
          <t>PARTIAL_DOC_CLASS_III_RECONCILED ROWS:p11r11,p11r12,p11r13,p11r14</t>
        </is>
      </c>
    </row>
    <row r="115">
      <c r="A115" s="15" t="inlineStr">
        <is>
          <t>THUNDER TOOLS COMERCIO DE MATERIAIS PARA CONSTRUCAO LTDA</t>
        </is>
      </c>
      <c r="B115" s="16" t="n">
        <v>1114761.56</v>
      </c>
      <c r="C115" s="17" t="inlineStr">
        <is>
          <t>JA SANTOS IMPORTACAO EXPORTACAO DE FERRAMENTAS E SERVICOS ESPECIALIZADOS LTDA</t>
        </is>
      </c>
      <c r="D115" s="18" t="inlineStr">
        <is>
          <t>NEW</t>
        </is>
      </c>
      <c r="E115" s="19" t="inlineStr"/>
      <c r="F115" s="18" t="inlineStr"/>
      <c r="G115" s="19" t="inlineStr"/>
      <c r="H115" s="18" t="inlineStr"/>
      <c r="I115" s="20" t="inlineStr">
        <is>
          <t>BEATRIZ MARQUES RISSARDO</t>
        </is>
      </c>
      <c r="J115" s="20" t="inlineStr">
        <is>
          <t>Sócio-Administrador</t>
        </is>
      </c>
      <c r="K115" s="20" t="inlineStr">
        <is>
          <t>(11) 2937-4916</t>
        </is>
      </c>
      <c r="L115" s="20" t="inlineStr"/>
      <c r="M115" s="20" t="inlineStr"/>
      <c r="N115" s="20" t="inlineStr"/>
      <c r="O115" s="20" t="inlineStr"/>
      <c r="P115" s="20" t="inlineStr"/>
      <c r="Q115" s="20" t="inlineStr"/>
      <c r="R115" s="20" t="inlineStr"/>
      <c r="S115" s="20" t="inlineStr"/>
      <c r="T115" s="21" t="n">
        <v>1114761.56</v>
      </c>
      <c r="U115" s="32" t="inlineStr">
        <is>
          <t>A</t>
        </is>
      </c>
      <c r="V115" s="23">
        <f>IFERROR(VLOOKUP(U115,Assumptions!$A$7:$D$11,2,FALSE),0)</f>
        <v/>
      </c>
      <c r="W115" s="24">
        <f>MAX(0.5,IFERROR(VLOOKUP(U115,Assumptions!$A$7:$D$11,3,FALSE),3)+IFERROR(VLOOKUP(U115,Assumptions!$A$7:$D$11,4,FALSE),8)/2-IF(AN115="",0,YEAR(TODAY())-AN115))</f>
        <v/>
      </c>
      <c r="X115" s="21">
        <f>T115*V115/(1+Assumptions!$B$3)^W115</f>
        <v/>
      </c>
      <c r="Y115" s="25">
        <f>IF(T115=0,"",ROUND(X115/T115*100,1))</f>
        <v/>
      </c>
      <c r="Z115" s="26">
        <f>X115*Assumptions!$B$4</f>
        <v/>
      </c>
      <c r="AA115" s="25">
        <f>IF(T115=0,"",ROUND(Z115/T115*100,1))</f>
        <v/>
      </c>
      <c r="AB115" s="26">
        <f>X115-Z115</f>
        <v/>
      </c>
      <c r="AC115" s="25">
        <f>IF(T115=0,"",ROUND((X115-Z115)/T115*100,1))</f>
        <v/>
      </c>
      <c r="AD115" s="27" t="inlineStr">
        <is>
          <t>CONFIRMED</t>
        </is>
      </c>
      <c r="AE115" s="28" t="inlineStr">
        <is>
          <t>https://vivanteaj.com.br/wp-content/uploads/2024/11/1a-lista-de-credores-JA-Santos.pdf</t>
        </is>
      </c>
      <c r="AF115" s="27" t="inlineStr">
        <is>
          <t>p1 r36</t>
        </is>
      </c>
      <c r="AG115" s="27" t="inlineStr">
        <is>
          <t>p1: R$ 1.114.761,56</t>
        </is>
      </c>
      <c r="AH115" s="27" t="inlineStr">
        <is>
          <t>UNKNOWN</t>
        </is>
      </c>
      <c r="AI115" s="27" t="inlineStr">
        <is>
          <t>2022-11-02</t>
        </is>
      </c>
      <c r="AJ115" s="27" t="inlineStr">
        <is>
          <t>OK</t>
        </is>
      </c>
      <c r="AK115" s="29" t="inlineStr">
        <is>
          <t>1018313-46.2024.8.26.0100</t>
        </is>
      </c>
      <c r="AL115" s="29" t="inlineStr">
        <is>
          <t>TJSP</t>
        </is>
      </c>
      <c r="AM115" s="29" t="inlineStr">
        <is>
          <t>ACTIVE</t>
        </is>
      </c>
      <c r="AN115" s="29" t="n">
        <v>2024</v>
      </c>
      <c r="AO115" s="29" t="inlineStr">
        <is>
          <t>plan/homologation document found</t>
        </is>
      </c>
      <c r="AP115" s="29" t="inlineStr">
        <is>
          <t>DIADEMA</t>
        </is>
      </c>
      <c r="AQ115" s="29" t="inlineStr">
        <is>
          <t>SP</t>
        </is>
      </c>
      <c r="AR115" s="29" t="inlineStr">
        <is>
          <t>Comércio atacadista de materiais de construção em geral</t>
        </is>
      </c>
      <c r="AS115" s="29" t="inlineStr">
        <is>
          <t>EMPRESA DE PEQUENO PORTE</t>
        </is>
      </c>
      <c r="AT115" s="29" t="inlineStr">
        <is>
          <t>SMALL</t>
        </is>
      </c>
      <c r="AU115" s="29" t="inlineStr">
        <is>
          <t>36635483</t>
        </is>
      </c>
      <c r="AV115" s="29" t="n">
        <v>1</v>
      </c>
      <c r="AW115" s="29" t="inlineStr">
        <is>
          <t>ROWS:p1r36 VALUE_COL:Valor</t>
        </is>
      </c>
    </row>
    <row r="116">
      <c r="A116" s="15" t="inlineStr">
        <is>
          <t>OLINDA INDUSTRIA E COMERCIO DE COLCHOES LTDA</t>
        </is>
      </c>
      <c r="B116" s="16" t="n">
        <v>1902217.38</v>
      </c>
      <c r="C116" s="17" t="inlineStr">
        <is>
          <t>aludida empresa</t>
        </is>
      </c>
      <c r="D116" s="18" t="inlineStr">
        <is>
          <t>NEW</t>
        </is>
      </c>
      <c r="E116" s="19" t="inlineStr"/>
      <c r="F116" s="18" t="inlineStr"/>
      <c r="G116" s="19" t="inlineStr"/>
      <c r="H116" s="18" t="inlineStr"/>
      <c r="I116" s="20" t="inlineStr">
        <is>
          <t>ALEXANDRE MACEDO DIAS</t>
        </is>
      </c>
      <c r="J116" s="20" t="inlineStr">
        <is>
          <t>Administrador</t>
        </is>
      </c>
      <c r="K116" s="20" t="inlineStr">
        <is>
          <t>(81) 2128-5000</t>
        </is>
      </c>
      <c r="L116" s="20" t="inlineStr"/>
      <c r="M116" s="20" t="inlineStr"/>
      <c r="N116" s="20" t="inlineStr"/>
      <c r="O116" s="20" t="inlineStr"/>
      <c r="P116" s="20" t="inlineStr">
        <is>
          <t>ERNESTO DIAS NETO</t>
        </is>
      </c>
      <c r="Q116" s="20" t="inlineStr">
        <is>
          <t>Administrador</t>
        </is>
      </c>
      <c r="R116" s="20" t="inlineStr">
        <is>
          <t>(81) 2128-5000</t>
        </is>
      </c>
      <c r="S116" s="20" t="inlineStr"/>
      <c r="T116" s="21" t="n">
        <v>1902217.38</v>
      </c>
      <c r="U116" s="31" t="inlineStr">
        <is>
          <t>C</t>
        </is>
      </c>
      <c r="V116" s="23">
        <f>IFERROR(VLOOKUP(U116,Assumptions!$A$7:$D$11,2,FALSE),0)</f>
        <v/>
      </c>
      <c r="W116" s="24">
        <f>MAX(0.5,IFERROR(VLOOKUP(U116,Assumptions!$A$7:$D$11,3,FALSE),3)+IFERROR(VLOOKUP(U116,Assumptions!$A$7:$D$11,4,FALSE),8)/2-IF(AN116="",0,YEAR(TODAY())-AN116))</f>
        <v/>
      </c>
      <c r="X116" s="21">
        <f>T116*V116/(1+Assumptions!$B$3)^W116</f>
        <v/>
      </c>
      <c r="Y116" s="25">
        <f>IF(T116=0,"",ROUND(X116/T116*100,1))</f>
        <v/>
      </c>
      <c r="Z116" s="26">
        <f>X116*Assumptions!$B$4</f>
        <v/>
      </c>
      <c r="AA116" s="25">
        <f>IF(T116=0,"",ROUND(Z116/T116*100,1))</f>
        <v/>
      </c>
      <c r="AB116" s="26">
        <f>X116-Z116</f>
        <v/>
      </c>
      <c r="AC116" s="25">
        <f>IF(T116=0,"",ROUND((X116-Z116)/T116*100,1))</f>
        <v/>
      </c>
      <c r="AD116" s="27" t="inlineStr">
        <is>
          <t>ESTIMATED</t>
        </is>
      </c>
      <c r="AE116" s="28" t="inlineStr">
        <is>
          <t>https://recuperacaojudicial.squarespace.com/s/RJ-Credimoveis-QGC-01082025.pdf</t>
        </is>
      </c>
      <c r="AF116" s="27" t="inlineStr">
        <is>
          <t>p16 r36</t>
        </is>
      </c>
      <c r="AG116" s="27" t="inlineStr">
        <is>
          <t>p16: R$ 1.902.217,38</t>
        </is>
      </c>
      <c r="AH116" s="27" t="inlineStr">
        <is>
          <t>QGC</t>
        </is>
      </c>
      <c r="AI116" s="27" t="inlineStr">
        <is>
          <t>2026-01-28</t>
        </is>
      </c>
      <c r="AJ116" s="27" t="inlineStr">
        <is>
          <t>OK</t>
        </is>
      </c>
      <c r="AK116" s="29" t="inlineStr">
        <is>
          <t>0007565-40.2020.8.17.2370</t>
        </is>
      </c>
      <c r="AL116" s="29" t="inlineStr">
        <is>
          <t>TJPE</t>
        </is>
      </c>
      <c r="AM116" s="29" t="inlineStr">
        <is>
          <t>ACTIVE</t>
        </is>
      </c>
      <c r="AN116" s="29" t="n">
        <v>2020</v>
      </c>
      <c r="AO116" s="29" t="inlineStr">
        <is>
          <t>6y since filing, no plan document</t>
        </is>
      </c>
      <c r="AP116" s="29" t="inlineStr">
        <is>
          <t>OLINDA</t>
        </is>
      </c>
      <c r="AQ116" s="29" t="inlineStr">
        <is>
          <t>PE</t>
        </is>
      </c>
      <c r="AR116" s="29" t="inlineStr">
        <is>
          <t>Fabricação de colchões</t>
        </is>
      </c>
      <c r="AS116" s="29" t="inlineStr">
        <is>
          <t>DEMAIS</t>
        </is>
      </c>
      <c r="AT116" s="29" t="inlineStr">
        <is>
          <t>MID-MARKET</t>
        </is>
      </c>
      <c r="AU116" s="29" t="inlineStr">
        <is>
          <t>02748323</t>
        </is>
      </c>
      <c r="AV116" s="29" t="n">
        <v>1</v>
      </c>
      <c r="AW116" s="29" t="inlineStr">
        <is>
          <t>ROWS:p16r36</t>
        </is>
      </c>
    </row>
    <row r="117">
      <c r="A117" s="15" t="inlineStr">
        <is>
          <t>PARQUE DAS ESTRELAS EMPREENDIMENTOS IMOBILIARIOS LTDA</t>
        </is>
      </c>
      <c r="B117" s="16" t="n">
        <v>1701742.63</v>
      </c>
      <c r="C117" s="17" t="inlineStr">
        <is>
          <t>COMERCIO RACOES BEM BOM LTDA</t>
        </is>
      </c>
      <c r="D117" s="18" t="inlineStr">
        <is>
          <t>NEW</t>
        </is>
      </c>
      <c r="E117" s="19" t="inlineStr"/>
      <c r="F117" s="18" t="inlineStr"/>
      <c r="G117" s="19" t="inlineStr"/>
      <c r="H117" s="18" t="inlineStr"/>
      <c r="I117" s="20" t="inlineStr">
        <is>
          <t>GUSTAVO DINIZ RAMOS</t>
        </is>
      </c>
      <c r="J117" s="20" t="inlineStr">
        <is>
          <t>Administrador</t>
        </is>
      </c>
      <c r="K117" s="20" t="inlineStr">
        <is>
          <t>(62) 9255-6106</t>
        </is>
      </c>
      <c r="L117" s="20" t="inlineStr">
        <is>
          <t>(62) 9255-6101</t>
        </is>
      </c>
      <c r="M117" s="20" t="inlineStr"/>
      <c r="N117" s="20" t="inlineStr"/>
      <c r="O117" s="20" t="inlineStr"/>
      <c r="P117" s="20" t="inlineStr">
        <is>
          <t>RODRIGO GONCALVES MENDES</t>
        </is>
      </c>
      <c r="Q117" s="20" t="inlineStr">
        <is>
          <t>Administrador</t>
        </is>
      </c>
      <c r="R117" s="20" t="inlineStr">
        <is>
          <t>(62) 9255-6101</t>
        </is>
      </c>
      <c r="S117" s="20" t="inlineStr"/>
      <c r="T117" s="21" t="n">
        <v>1701742.63</v>
      </c>
      <c r="U117" s="32" t="inlineStr">
        <is>
          <t>A</t>
        </is>
      </c>
      <c r="V117" s="23">
        <f>IFERROR(VLOOKUP(U117,Assumptions!$A$7:$D$11,2,FALSE),0)</f>
        <v/>
      </c>
      <c r="W117" s="24">
        <f>MAX(0.5,IFERROR(VLOOKUP(U117,Assumptions!$A$7:$D$11,3,FALSE),3)+IFERROR(VLOOKUP(U117,Assumptions!$A$7:$D$11,4,FALSE),8)/2-IF(AN117="",0,YEAR(TODAY())-AN117))</f>
        <v/>
      </c>
      <c r="X117" s="21">
        <f>T117*V117/(1+Assumptions!$B$3)^W117</f>
        <v/>
      </c>
      <c r="Y117" s="25">
        <f>IF(T117=0,"",ROUND(X117/T117*100,1))</f>
        <v/>
      </c>
      <c r="Z117" s="26">
        <f>X117*Assumptions!$B$4</f>
        <v/>
      </c>
      <c r="AA117" s="25">
        <f>IF(T117=0,"",ROUND(Z117/T117*100,1))</f>
        <v/>
      </c>
      <c r="AB117" s="26">
        <f>X117-Z117</f>
        <v/>
      </c>
      <c r="AC117" s="25">
        <f>IF(T117=0,"",ROUND((X117-Z117)/T117*100,1))</f>
        <v/>
      </c>
      <c r="AD117" s="27" t="inlineStr">
        <is>
          <t>CONFIRMED</t>
        </is>
      </c>
      <c r="AE117" s="28" t="inlineStr">
        <is>
          <t>https://stenius.com.br/wp-content/uploads/2026/06/EDITAL-GRUPO-3E.pdf</t>
        </is>
      </c>
      <c r="AF117" s="27" t="inlineStr">
        <is>
          <t>p16 r39</t>
        </is>
      </c>
      <c r="AG117" s="27" t="inlineStr">
        <is>
          <t>p16: R$ 1.701.742,63</t>
        </is>
      </c>
      <c r="AH117" s="27" t="inlineStr">
        <is>
          <t>DEBTOR_LIST</t>
        </is>
      </c>
      <c r="AI117" s="27" t="inlineStr">
        <is>
          <t>2026-06-22</t>
        </is>
      </c>
      <c r="AJ117" s="27" t="inlineStr">
        <is>
          <t>OK_NO_TOTALS</t>
        </is>
      </c>
      <c r="AK117" s="29" t="inlineStr">
        <is>
          <t>5341375-33.2026.8.09.0049</t>
        </is>
      </c>
      <c r="AL117" s="29" t="inlineStr">
        <is>
          <t>TJGO</t>
        </is>
      </c>
      <c r="AM117" s="29" t="inlineStr">
        <is>
          <t>ACTIVE</t>
        </is>
      </c>
      <c r="AN117" s="29" t="n">
        <v>2026</v>
      </c>
      <c r="AO117" s="29" t="inlineStr">
        <is>
          <t>plan/homologation document found</t>
        </is>
      </c>
      <c r="AP117" s="29" t="inlineStr">
        <is>
          <t>GOIANESIA</t>
        </is>
      </c>
      <c r="AQ117" s="29" t="inlineStr">
        <is>
          <t>GO</t>
        </is>
      </c>
      <c r="AR117" s="29" t="inlineStr">
        <is>
          <t>Compra e venda de imóveis próprios</t>
        </is>
      </c>
      <c r="AS117" s="29" t="inlineStr">
        <is>
          <t>DEMAIS</t>
        </is>
      </c>
      <c r="AT117" s="29" t="inlineStr">
        <is>
          <t>MID-MARKET</t>
        </is>
      </c>
      <c r="AU117" s="29" t="inlineStr">
        <is>
          <t>33676928</t>
        </is>
      </c>
      <c r="AV117" s="29" t="n">
        <v>1</v>
      </c>
      <c r="AW117" s="29" t="inlineStr">
        <is>
          <t>ROWS:p16r39 UNRECONCILED_SOURCE</t>
        </is>
      </c>
    </row>
    <row r="118">
      <c r="A118" s="15" t="inlineStr">
        <is>
          <t>A GERADORA ALUGUEL DE MAQUINAS S.A.</t>
        </is>
      </c>
      <c r="B118" s="16" t="n">
        <v>3379805.88</v>
      </c>
      <c r="C118" s="17" t="inlineStr">
        <is>
          <t>EGESA ENGENHARIA S/A (Consórcio ETDI)</t>
        </is>
      </c>
      <c r="D118" s="18" t="inlineStr">
        <is>
          <t>NEW</t>
        </is>
      </c>
      <c r="E118" s="19" t="inlineStr"/>
      <c r="F118" s="18" t="inlineStr"/>
      <c r="G118" s="19" t="inlineStr"/>
      <c r="H118" s="18" t="inlineStr"/>
      <c r="I118" s="20" t="inlineStr">
        <is>
          <t>JOSE CANDIDO TERCEIRO JUNIOR</t>
        </is>
      </c>
      <c r="J118" s="20" t="inlineStr">
        <is>
          <t>Diretor</t>
        </is>
      </c>
      <c r="K118" s="20" t="inlineStr">
        <is>
          <t>(71) 3418-2600</t>
        </is>
      </c>
      <c r="L118" s="20" t="inlineStr"/>
      <c r="M118" s="20" t="inlineStr"/>
      <c r="N118" s="20" t="inlineStr"/>
      <c r="O118" s="20" t="inlineStr"/>
      <c r="P118" s="20" t="inlineStr">
        <is>
          <t>MARCELO JOSE CARVALHO TEIXEIRA</t>
        </is>
      </c>
      <c r="Q118" s="20" t="inlineStr">
        <is>
          <t>Diretor</t>
        </is>
      </c>
      <c r="R118" s="20" t="inlineStr">
        <is>
          <t>(71) 3418-2600</t>
        </is>
      </c>
      <c r="S118" s="20" t="inlineStr"/>
      <c r="T118" s="21" t="n">
        <v>3379805.88</v>
      </c>
      <c r="U118" s="30" t="inlineStr">
        <is>
          <t>?</t>
        </is>
      </c>
      <c r="V118" s="23">
        <f>IFERROR(VLOOKUP(U118,Assumptions!$A$7:$D$11,2,FALSE),0)</f>
        <v/>
      </c>
      <c r="W118" s="24">
        <f>MAX(0.5,IFERROR(VLOOKUP(U118,Assumptions!$A$7:$D$11,3,FALSE),3)+IFERROR(VLOOKUP(U118,Assumptions!$A$7:$D$11,4,FALSE),8)/2-IF(AN118="",0,YEAR(TODAY())-AN118))</f>
        <v/>
      </c>
      <c r="X118" s="21">
        <f>T118*V118/(1+Assumptions!$B$3)^W118</f>
        <v/>
      </c>
      <c r="Y118" s="25">
        <f>IF(T118=0,"",ROUND(X118/T118*100,1))</f>
        <v/>
      </c>
      <c r="Z118" s="26">
        <f>X118*Assumptions!$B$4</f>
        <v/>
      </c>
      <c r="AA118" s="25">
        <f>IF(T118=0,"",ROUND(Z118/T118*100,1))</f>
        <v/>
      </c>
      <c r="AB118" s="26">
        <f>X118-Z118</f>
        <v/>
      </c>
      <c r="AC118" s="25">
        <f>IF(T118=0,"",ROUND((X118-Z118)/T118*100,1))</f>
        <v/>
      </c>
      <c r="AD118" s="27" t="inlineStr">
        <is>
          <t>UNKNOWN</t>
        </is>
      </c>
      <c r="AE118" s="28" t="inlineStr">
        <is>
          <t>https://scalzilliaj.com.br/sgc/download.php?file=files/processo_documento/processo_documento09514021082025_1_.pdf&amp;nome=04 - Relação de credores das Recuperandas</t>
        </is>
      </c>
      <c r="AF118" s="27" t="inlineStr">
        <is>
          <t>p61 r2; p61 r3; p61 r4; p61 r5; p61 r6; p61 r7</t>
        </is>
      </c>
      <c r="AG118" s="27" t="inlineStr">
        <is>
          <t>p61: R$ 157.495,18; p61: R$ 78.391,92; p61: R$ 608.384,03; p61: R$ 589.125,42; p61: R$ 1.879.005,92; p61: R$ 67.403,41</t>
        </is>
      </c>
      <c r="AH118" s="27" t="inlineStr">
        <is>
          <t>DEBTOR_LIST</t>
        </is>
      </c>
      <c r="AI118" s="27" t="inlineStr"/>
      <c r="AJ118" s="27" t="inlineStr">
        <is>
          <t>OK</t>
        </is>
      </c>
      <c r="AK118" s="29" t="inlineStr">
        <is>
          <t>(not printed)</t>
        </is>
      </c>
      <c r="AL118" s="29" t="inlineStr"/>
      <c r="AM118" s="29" t="inlineStr"/>
      <c r="AN118" s="29" t="inlineStr"/>
      <c r="AO118" s="29" t="inlineStr">
        <is>
          <t>RJ case number not identified on the document</t>
        </is>
      </c>
      <c r="AP118" s="29" t="inlineStr">
        <is>
          <t>SALVADOR</t>
        </is>
      </c>
      <c r="AQ118" s="29" t="inlineStr">
        <is>
          <t>BA</t>
        </is>
      </c>
      <c r="AR118" s="29" t="inlineStr">
        <is>
          <t>Aluguel de outras máquinas e equipamentos comerciais e industriais não especificados anteriormente, sem operador</t>
        </is>
      </c>
      <c r="AS118" s="29" t="inlineStr">
        <is>
          <t>DEMAIS</t>
        </is>
      </c>
      <c r="AT118" s="29" t="inlineStr">
        <is>
          <t>LARGE CORP</t>
        </is>
      </c>
      <c r="AU118" s="29" t="inlineStr">
        <is>
          <t>33845322</t>
        </is>
      </c>
      <c r="AV118" s="29" t="n">
        <v>6</v>
      </c>
      <c r="AW118" s="29" t="inlineStr">
        <is>
          <t>ROWS:p61r2,p61r3,p61r4,p61r5,p61r6,p61r7 VALUE_COL:Valor_Atualizado CASE_NUMBER_CORRECTED</t>
        </is>
      </c>
    </row>
    <row r="119">
      <c r="A119" s="15" t="inlineStr">
        <is>
          <t>AGROSUL INDUSTRIA AGRICOLA LTDA EM RECUPERACAO JUDICIAL</t>
        </is>
      </c>
      <c r="B119" s="16" t="n">
        <v>1153122.7</v>
      </c>
      <c r="C119" s="17" t="inlineStr">
        <is>
          <t>BBR AGRO SUPLEMENTOS LTDA EM RECUPERACAO JUDICIAL</t>
        </is>
      </c>
      <c r="D119" s="18" t="inlineStr">
        <is>
          <t>NEW</t>
        </is>
      </c>
      <c r="E119" s="19" t="inlineStr"/>
      <c r="F119" s="18" t="inlineStr"/>
      <c r="G119" s="19" t="inlineStr"/>
      <c r="H119" s="18" t="inlineStr"/>
      <c r="I119" s="20" t="inlineStr">
        <is>
          <t>VOLMIR DIAS</t>
        </is>
      </c>
      <c r="J119" s="20" t="inlineStr">
        <is>
          <t>Administrador</t>
        </is>
      </c>
      <c r="K119" s="20" t="inlineStr">
        <is>
          <t>(49) 9937-2777</t>
        </is>
      </c>
      <c r="L119" s="20" t="inlineStr"/>
      <c r="M119" s="20" t="inlineStr"/>
      <c r="N119" s="20" t="inlineStr"/>
      <c r="O119" s="20" t="inlineStr"/>
      <c r="P119" s="20" t="inlineStr"/>
      <c r="Q119" s="20" t="inlineStr"/>
      <c r="R119" s="20" t="inlineStr"/>
      <c r="S119" s="20" t="inlineStr"/>
      <c r="T119" s="21" t="n">
        <v>1153122.7</v>
      </c>
      <c r="U119" s="22" t="inlineStr">
        <is>
          <t>B</t>
        </is>
      </c>
      <c r="V119" s="23">
        <f>IFERROR(VLOOKUP(U119,Assumptions!$A$7:$D$11,2,FALSE),0)</f>
        <v/>
      </c>
      <c r="W119" s="24">
        <f>MAX(0.5,IFERROR(VLOOKUP(U119,Assumptions!$A$7:$D$11,3,FALSE),3)+IFERROR(VLOOKUP(U119,Assumptions!$A$7:$D$11,4,FALSE),8)/2-IF(AN119="",0,YEAR(TODAY())-AN119))</f>
        <v/>
      </c>
      <c r="X119" s="21">
        <f>T119*V119/(1+Assumptions!$B$3)^W119</f>
        <v/>
      </c>
      <c r="Y119" s="25">
        <f>IF(T119=0,"",ROUND(X119/T119*100,1))</f>
        <v/>
      </c>
      <c r="Z119" s="26">
        <f>X119*Assumptions!$B$4</f>
        <v/>
      </c>
      <c r="AA119" s="25">
        <f>IF(T119=0,"",ROUND(Z119/T119*100,1))</f>
        <v/>
      </c>
      <c r="AB119" s="26">
        <f>X119-Z119</f>
        <v/>
      </c>
      <c r="AC119" s="25">
        <f>IF(T119=0,"",ROUND((X119-Z119)/T119*100,1))</f>
        <v/>
      </c>
      <c r="AD119" s="27" t="inlineStr">
        <is>
          <t>ESTIMATED</t>
        </is>
      </c>
      <c r="AE119" s="28" t="inlineStr">
        <is>
          <t>https://ajruiz.com.br/sites/default/files/public/arquivos-processos/2026-06/alto_uruguai_qgc_junho.2026.pdf</t>
        </is>
      </c>
      <c r="AF119" s="27" t="inlineStr">
        <is>
          <t>p1 r4</t>
        </is>
      </c>
      <c r="AG119" s="27" t="inlineStr">
        <is>
          <t>p1: R$ 1.153.122,70</t>
        </is>
      </c>
      <c r="AH119" s="27" t="inlineStr">
        <is>
          <t>UNKNOWN</t>
        </is>
      </c>
      <c r="AI119" s="27" t="inlineStr"/>
      <c r="AJ119" s="27" t="inlineStr">
        <is>
          <t>OK</t>
        </is>
      </c>
      <c r="AK119" s="29" t="inlineStr">
        <is>
          <t>5012743-51.2023.8.24.0019</t>
        </is>
      </c>
      <c r="AL119" s="29" t="inlineStr">
        <is>
          <t>TJSC</t>
        </is>
      </c>
      <c r="AM119" s="29" t="inlineStr">
        <is>
          <t>ACTIVE</t>
        </is>
      </c>
      <c r="AN119" s="29" t="n">
        <v>2023</v>
      </c>
      <c r="AO119" s="29" t="inlineStr">
        <is>
          <t>live case, no plan document yet</t>
        </is>
      </c>
      <c r="AP119" s="29" t="inlineStr">
        <is>
          <t>GUATAMBU</t>
        </is>
      </c>
      <c r="AQ119" s="29" t="inlineStr">
        <is>
          <t>SC</t>
        </is>
      </c>
      <c r="AR119" s="29" t="inlineStr">
        <is>
          <t>Comércio atacadista de alimentos para animais</t>
        </is>
      </c>
      <c r="AS119" s="29" t="inlineStr">
        <is>
          <t>DEMAIS</t>
        </is>
      </c>
      <c r="AT119" s="29" t="inlineStr">
        <is>
          <t>MID-MARKET</t>
        </is>
      </c>
      <c r="AU119" s="29" t="inlineStr">
        <is>
          <t>19108689</t>
        </is>
      </c>
      <c r="AV119" s="29" t="n">
        <v>1</v>
      </c>
      <c r="AW119" s="29" t="inlineStr">
        <is>
          <t>ROWS:p1r4 VALUE_COL:Valor_Do_Crédito</t>
        </is>
      </c>
    </row>
    <row r="120">
      <c r="A120" s="15" t="inlineStr">
        <is>
          <t>VEJA SERVICOS LTDA</t>
        </is>
      </c>
      <c r="B120" s="16" t="n">
        <v>915348.9300000001</v>
      </c>
      <c r="C120" s="17" t="inlineStr">
        <is>
          <t>R W CONSTRUCOES LTDA</t>
        </is>
      </c>
      <c r="D120" s="18" t="inlineStr">
        <is>
          <t>NEW</t>
        </is>
      </c>
      <c r="E120" s="19" t="inlineStr"/>
      <c r="F120" s="18" t="inlineStr"/>
      <c r="G120" s="19" t="inlineStr"/>
      <c r="H120" s="18" t="inlineStr"/>
      <c r="I120" s="20" t="inlineStr">
        <is>
          <t>ANA CAROLINA DA SILVA</t>
        </is>
      </c>
      <c r="J120" s="20" t="inlineStr">
        <is>
          <t>Sócio-Administrador</t>
        </is>
      </c>
      <c r="K120" s="20" t="inlineStr">
        <is>
          <t>(85) 3223-4964</t>
        </is>
      </c>
      <c r="L120" s="20" t="inlineStr"/>
      <c r="M120" s="20" t="inlineStr"/>
      <c r="N120" s="20" t="inlineStr"/>
      <c r="O120" s="20" t="inlineStr"/>
      <c r="P120" s="20" t="inlineStr"/>
      <c r="Q120" s="20" t="inlineStr"/>
      <c r="R120" s="20" t="inlineStr"/>
      <c r="S120" s="20" t="inlineStr"/>
      <c r="T120" s="21" t="n">
        <v>915348.9300000001</v>
      </c>
      <c r="U120" s="22" t="inlineStr">
        <is>
          <t>B</t>
        </is>
      </c>
      <c r="V120" s="23">
        <f>IFERROR(VLOOKUP(U120,Assumptions!$A$7:$D$11,2,FALSE),0)</f>
        <v/>
      </c>
      <c r="W120" s="24">
        <f>MAX(0.5,IFERROR(VLOOKUP(U120,Assumptions!$A$7:$D$11,3,FALSE),3)+IFERROR(VLOOKUP(U120,Assumptions!$A$7:$D$11,4,FALSE),8)/2-IF(AN120="",0,YEAR(TODAY())-AN120))</f>
        <v/>
      </c>
      <c r="X120" s="21">
        <f>T120*V120/(1+Assumptions!$B$3)^W120</f>
        <v/>
      </c>
      <c r="Y120" s="25">
        <f>IF(T120=0,"",ROUND(X120/T120*100,1))</f>
        <v/>
      </c>
      <c r="Z120" s="26">
        <f>X120*Assumptions!$B$4</f>
        <v/>
      </c>
      <c r="AA120" s="25">
        <f>IF(T120=0,"",ROUND(Z120/T120*100,1))</f>
        <v/>
      </c>
      <c r="AB120" s="26">
        <f>X120-Z120</f>
        <v/>
      </c>
      <c r="AC120" s="25">
        <f>IF(T120=0,"",ROUND((X120-Z120)/T120*100,1))</f>
        <v/>
      </c>
      <c r="AD120" s="27" t="inlineStr">
        <is>
          <t>ESTIMATED</t>
        </is>
      </c>
      <c r="AE120" s="28" t="inlineStr">
        <is>
          <t>https://lrflideres.com.br/wp-content/plugins/download-attachments/includes/download.php?id=4023</t>
        </is>
      </c>
      <c r="AF120" s="27" t="inlineStr">
        <is>
          <t>p4 r95; p7 r127; p8 r85; p9 r93</t>
        </is>
      </c>
      <c r="AG120" s="27" t="inlineStr">
        <is>
          <t>p4: R$ 174.543,96; p7: R$ 605.756,16; p8: R$ 2.154,24; p9: R$ 132.894,57</t>
        </is>
      </c>
      <c r="AH120" s="27" t="inlineStr">
        <is>
          <t>DEBTOR_LIST</t>
        </is>
      </c>
      <c r="AI120" s="27" t="inlineStr"/>
      <c r="AJ120" s="27" t="inlineStr">
        <is>
          <t>QUARANTINED</t>
        </is>
      </c>
      <c r="AK120" s="29" t="inlineStr">
        <is>
          <t>0002484-82.2022.8.17.2001</t>
        </is>
      </c>
      <c r="AL120" s="29" t="inlineStr">
        <is>
          <t>TJPE</t>
        </is>
      </c>
      <c r="AM120" s="29" t="inlineStr">
        <is>
          <t>ACTIVE</t>
        </is>
      </c>
      <c r="AN120" s="29" t="n">
        <v>2022</v>
      </c>
      <c r="AO120" s="29" t="inlineStr">
        <is>
          <t>live case, no plan document yet</t>
        </is>
      </c>
      <c r="AP120" s="29" t="inlineStr">
        <is>
          <t>FORTALEZA</t>
        </is>
      </c>
      <c r="AQ120" s="29" t="inlineStr">
        <is>
          <t>CE</t>
        </is>
      </c>
      <c r="AR120" s="29" t="inlineStr">
        <is>
          <t>Serviços combinados de escritório e apoio administrativo</t>
        </is>
      </c>
      <c r="AS120" s="29" t="inlineStr">
        <is>
          <t>MICRO EMPRESA</t>
        </is>
      </c>
      <c r="AT120" s="29" t="inlineStr">
        <is>
          <t>SMALL</t>
        </is>
      </c>
      <c r="AU120" s="29" t="inlineStr">
        <is>
          <t>02965637</t>
        </is>
      </c>
      <c r="AV120" s="29" t="n">
        <v>4</v>
      </c>
      <c r="AW120" s="29" t="inlineStr">
        <is>
          <t>PARTIAL_DOC_CLASS_III_RECONCILED ROWS:p4r95,p7r127,p8r85,p9r93</t>
        </is>
      </c>
    </row>
    <row r="121">
      <c r="A121" s="15" t="inlineStr">
        <is>
          <t>PAMPARAFIA-INDUSTRIA E COMERCIO DE EMBALAGENS LTDA</t>
        </is>
      </c>
      <c r="B121" s="16" t="n">
        <v>1139759.72</v>
      </c>
      <c r="C121" s="17" t="inlineStr"/>
      <c r="D121" s="18" t="inlineStr">
        <is>
          <t>NEW</t>
        </is>
      </c>
      <c r="E121" s="19" t="inlineStr"/>
      <c r="F121" s="18" t="inlineStr"/>
      <c r="G121" s="19" t="inlineStr"/>
      <c r="H121" s="18" t="inlineStr"/>
      <c r="I121" s="20" t="inlineStr">
        <is>
          <t>SERGIO AIME</t>
        </is>
      </c>
      <c r="J121" s="20" t="inlineStr">
        <is>
          <t>Sócio-Administrador</t>
        </is>
      </c>
      <c r="K121" s="20" t="inlineStr">
        <is>
          <t>(51) 3249-1877</t>
        </is>
      </c>
      <c r="L121" s="20" t="inlineStr"/>
      <c r="M121" s="20" t="inlineStr"/>
      <c r="N121" s="20" t="inlineStr"/>
      <c r="O121" s="20" t="inlineStr"/>
      <c r="P121" s="20" t="inlineStr"/>
      <c r="Q121" s="20" t="inlineStr"/>
      <c r="R121" s="20" t="inlineStr"/>
      <c r="S121" s="20" t="inlineStr"/>
      <c r="T121" s="21" t="n">
        <v>1139759.72</v>
      </c>
      <c r="U121" s="22" t="inlineStr">
        <is>
          <t>B</t>
        </is>
      </c>
      <c r="V121" s="23">
        <f>IFERROR(VLOOKUP(U121,Assumptions!$A$7:$D$11,2,FALSE),0)</f>
        <v/>
      </c>
      <c r="W121" s="24">
        <f>MAX(0.5,IFERROR(VLOOKUP(U121,Assumptions!$A$7:$D$11,3,FALSE),3)+IFERROR(VLOOKUP(U121,Assumptions!$A$7:$D$11,4,FALSE),8)/2-IF(AN121="",0,YEAR(TODAY())-AN121))</f>
        <v/>
      </c>
      <c r="X121" s="21">
        <f>T121*V121/(1+Assumptions!$B$3)^W121</f>
        <v/>
      </c>
      <c r="Y121" s="25">
        <f>IF(T121=0,"",ROUND(X121/T121*100,1))</f>
        <v/>
      </c>
      <c r="Z121" s="26">
        <f>X121*Assumptions!$B$4</f>
        <v/>
      </c>
      <c r="AA121" s="25">
        <f>IF(T121=0,"",ROUND(Z121/T121*100,1))</f>
        <v/>
      </c>
      <c r="AB121" s="26">
        <f>X121-Z121</f>
        <v/>
      </c>
      <c r="AC121" s="25">
        <f>IF(T121=0,"",ROUND((X121-Z121)/T121*100,1))</f>
        <v/>
      </c>
      <c r="AD121" s="27" t="inlineStr">
        <is>
          <t>ESTIMATED</t>
        </is>
      </c>
      <c r="AE121" s="28" t="inlineStr">
        <is>
          <t>https://cataliseaj.com.br/sgc/download.php?file=files/processo_documento/processo_documento15092204102024_1_.pdf&amp;nome=02. RELAÇÃO DE CREDORES</t>
        </is>
      </c>
      <c r="AF121" s="27" t="inlineStr">
        <is>
          <t>p3 r1; p3 r2</t>
        </is>
      </c>
      <c r="AG121" s="27" t="inlineStr">
        <is>
          <t>p3: R$ 183.130,09; p3: R$ 956.629,63</t>
        </is>
      </c>
      <c r="AH121" s="27" t="inlineStr">
        <is>
          <t>DEBTOR_LIST</t>
        </is>
      </c>
      <c r="AI121" s="27" t="inlineStr"/>
      <c r="AJ121" s="27" t="inlineStr">
        <is>
          <t>OK_NO_TOTALS</t>
        </is>
      </c>
      <c r="AK121" s="29" t="inlineStr">
        <is>
          <t>5011460-87.2023.8.24.0020</t>
        </is>
      </c>
      <c r="AL121" s="29" t="inlineStr">
        <is>
          <t>TJSC</t>
        </is>
      </c>
      <c r="AM121" s="29" t="inlineStr">
        <is>
          <t>ACTIVE</t>
        </is>
      </c>
      <c r="AN121" s="29" t="n">
        <v>2023</v>
      </c>
      <c r="AO121" s="29" t="inlineStr">
        <is>
          <t>live case, no plan document yet</t>
        </is>
      </c>
      <c r="AP121" s="29" t="inlineStr">
        <is>
          <t>PORTO ALEGRE</t>
        </is>
      </c>
      <c r="AQ121" s="29" t="inlineStr">
        <is>
          <t>RS</t>
        </is>
      </c>
      <c r="AR121" s="29" t="inlineStr">
        <is>
          <t>Tecelagem de fios de fibras artificiais e sintéticas</t>
        </is>
      </c>
      <c r="AS121" s="29" t="inlineStr">
        <is>
          <t>DEMAIS</t>
        </is>
      </c>
      <c r="AT121" s="29" t="inlineStr">
        <is>
          <t>MID-MARKET</t>
        </is>
      </c>
      <c r="AU121" s="29" t="inlineStr">
        <is>
          <t>07944839</t>
        </is>
      </c>
      <c r="AV121" s="29" t="n">
        <v>2</v>
      </c>
      <c r="AW121" s="29" t="inlineStr">
        <is>
          <t>ROWS:p3r1,p3r2 UNRECONCILED_SOURCE</t>
        </is>
      </c>
    </row>
    <row r="122">
      <c r="A122" s="15" t="inlineStr">
        <is>
          <t>AGROQUIMICA BRASINHA LTDA</t>
        </is>
      </c>
      <c r="B122" s="16" t="n">
        <v>1138844</v>
      </c>
      <c r="C122" s="17" t="inlineStr">
        <is>
          <t>ADVOCACIA WANDERLEI DE PAULA BARRETO</t>
        </is>
      </c>
      <c r="D122" s="18" t="inlineStr">
        <is>
          <t>NEW</t>
        </is>
      </c>
      <c r="E122" s="19" t="inlineStr"/>
      <c r="F122" s="18" t="inlineStr"/>
      <c r="G122" s="19" t="inlineStr"/>
      <c r="H122" s="18" t="inlineStr"/>
      <c r="I122" s="20" t="inlineStr">
        <is>
          <t>MARCIO ALEXANDRO BRASINHA DA SILVA</t>
        </is>
      </c>
      <c r="J122" s="20" t="inlineStr">
        <is>
          <t>Sócio-Administrador</t>
        </is>
      </c>
      <c r="K122" s="20" t="inlineStr">
        <is>
          <t>(44) 3045-3700</t>
        </is>
      </c>
      <c r="L122" s="20" t="inlineStr"/>
      <c r="M122" s="20" t="inlineStr"/>
      <c r="N122" s="20" t="inlineStr"/>
      <c r="O122" s="20" t="inlineStr"/>
      <c r="P122" s="20" t="inlineStr"/>
      <c r="Q122" s="20" t="inlineStr"/>
      <c r="R122" s="20" t="inlineStr"/>
      <c r="S122" s="20" t="inlineStr"/>
      <c r="T122" s="21" t="n">
        <v>1138844</v>
      </c>
      <c r="U122" s="22" t="inlineStr">
        <is>
          <t>B</t>
        </is>
      </c>
      <c r="V122" s="23">
        <f>IFERROR(VLOOKUP(U122,Assumptions!$A$7:$D$11,2,FALSE),0)</f>
        <v/>
      </c>
      <c r="W122" s="24">
        <f>MAX(0.5,IFERROR(VLOOKUP(U122,Assumptions!$A$7:$D$11,3,FALSE),3)+IFERROR(VLOOKUP(U122,Assumptions!$A$7:$D$11,4,FALSE),8)/2-IF(AN122="",0,YEAR(TODAY())-AN122))</f>
        <v/>
      </c>
      <c r="X122" s="21">
        <f>T122*V122/(1+Assumptions!$B$3)^W122</f>
        <v/>
      </c>
      <c r="Y122" s="25">
        <f>IF(T122=0,"",ROUND(X122/T122*100,1))</f>
        <v/>
      </c>
      <c r="Z122" s="26">
        <f>X122*Assumptions!$B$4</f>
        <v/>
      </c>
      <c r="AA122" s="25">
        <f>IF(T122=0,"",ROUND(Z122/T122*100,1))</f>
        <v/>
      </c>
      <c r="AB122" s="26">
        <f>X122-Z122</f>
        <v/>
      </c>
      <c r="AC122" s="25">
        <f>IF(T122=0,"",ROUND((X122-Z122)/T122*100,1))</f>
        <v/>
      </c>
      <c r="AD122" s="27" t="inlineStr">
        <is>
          <t>ESTIMATED</t>
        </is>
      </c>
      <c r="AE122" s="28" t="inlineStr">
        <is>
          <t>https://marquesadmjudicial.com.br/sgc/download.php?file=files/processo_documento/processo_documento17040729052024_1_.pdf&amp;nome=Relação Nominal de Credores AJ-Sintética</t>
        </is>
      </c>
      <c r="AF122" s="27" t="inlineStr">
        <is>
          <t>p9 r6</t>
        </is>
      </c>
      <c r="AG122" s="27" t="inlineStr">
        <is>
          <t>p9: R$ 1.138.844,00</t>
        </is>
      </c>
      <c r="AH122" s="27" t="inlineStr">
        <is>
          <t>AJ_LIST</t>
        </is>
      </c>
      <c r="AI122" s="27" t="inlineStr">
        <is>
          <t>2024-05-27</t>
        </is>
      </c>
      <c r="AJ122" s="27" t="inlineStr">
        <is>
          <t>QUARANTINED</t>
        </is>
      </c>
      <c r="AK122" s="29" t="inlineStr">
        <is>
          <t>0003971-03.2023.8.16.0119</t>
        </is>
      </c>
      <c r="AL122" s="29" t="inlineStr">
        <is>
          <t>TJPR</t>
        </is>
      </c>
      <c r="AM122" s="29" t="inlineStr">
        <is>
          <t>ACTIVE</t>
        </is>
      </c>
      <c r="AN122" s="29" t="n">
        <v>2023</v>
      </c>
      <c r="AO122" s="29" t="inlineStr">
        <is>
          <t>live case, no plan document yet</t>
        </is>
      </c>
      <c r="AP122" s="29" t="inlineStr">
        <is>
          <t>NOVA ESPERANCA</t>
        </is>
      </c>
      <c r="AQ122" s="29" t="inlineStr">
        <is>
          <t>PR</t>
        </is>
      </c>
      <c r="AR122" s="29" t="inlineStr">
        <is>
          <t>Preparação de subprodutos do abate</t>
        </is>
      </c>
      <c r="AS122" s="29" t="inlineStr">
        <is>
          <t>DEMAIS</t>
        </is>
      </c>
      <c r="AT122" s="29" t="inlineStr">
        <is>
          <t>MID-MARKET</t>
        </is>
      </c>
      <c r="AU122" s="29" t="inlineStr">
        <is>
          <t>05696101</t>
        </is>
      </c>
      <c r="AV122" s="29" t="n">
        <v>1</v>
      </c>
      <c r="AW122" s="29" t="inlineStr">
        <is>
          <t>PARTIAL_DOC_CLASS_III_RECONCILED ROWS:p9r6</t>
        </is>
      </c>
    </row>
    <row r="123">
      <c r="A123" s="15" t="inlineStr">
        <is>
          <t>INOVAMED HOSPITALAR LTDA</t>
        </is>
      </c>
      <c r="B123" s="16" t="n">
        <v>908703.23</v>
      </c>
      <c r="C123" s="17" t="inlineStr">
        <is>
          <t>ASSOCIACAO DE CARIDADE SANTA CASA DE RIO GRANDE</t>
        </is>
      </c>
      <c r="D123" s="18" t="inlineStr">
        <is>
          <t>NEW</t>
        </is>
      </c>
      <c r="E123" s="19" t="inlineStr"/>
      <c r="F123" s="18" t="inlineStr"/>
      <c r="G123" s="19" t="inlineStr"/>
      <c r="H123" s="18" t="inlineStr"/>
      <c r="I123" s="20" t="inlineStr">
        <is>
          <t>Leticia Openkoski</t>
        </is>
      </c>
      <c r="J123" s="20" t="inlineStr">
        <is>
          <t>Financial</t>
        </is>
      </c>
      <c r="K123" s="20" t="inlineStr">
        <is>
          <t>(54) 2106-7930</t>
        </is>
      </c>
      <c r="L123" s="20" t="inlineStr"/>
      <c r="M123" s="20" t="inlineStr"/>
      <c r="N123" s="20" t="inlineStr">
        <is>
          <t>leticia.o@inovamedhospitalar.com</t>
        </is>
      </c>
      <c r="O123" s="20" t="inlineStr">
        <is>
          <t>debora.d@inovamedhospitalar.com</t>
        </is>
      </c>
      <c r="P123" s="20" t="inlineStr">
        <is>
          <t>Debora Dassoler</t>
        </is>
      </c>
      <c r="Q123" s="20" t="inlineStr">
        <is>
          <t>Analista Fiscal e Contábil</t>
        </is>
      </c>
      <c r="R123" s="20" t="inlineStr"/>
      <c r="S123" s="20" t="inlineStr">
        <is>
          <t>debora.d@inovamedhospitalar.com</t>
        </is>
      </c>
      <c r="T123" s="21" t="n">
        <v>908703.23</v>
      </c>
      <c r="U123" s="22" t="inlineStr">
        <is>
          <t>B</t>
        </is>
      </c>
      <c r="V123" s="23">
        <f>IFERROR(VLOOKUP(U123,Assumptions!$A$7:$D$11,2,FALSE),0)</f>
        <v/>
      </c>
      <c r="W123" s="24">
        <f>MAX(0.5,IFERROR(VLOOKUP(U123,Assumptions!$A$7:$D$11,3,FALSE),3)+IFERROR(VLOOKUP(U123,Assumptions!$A$7:$D$11,4,FALSE),8)/2-IF(AN123="",0,YEAR(TODAY())-AN123))</f>
        <v/>
      </c>
      <c r="X123" s="21">
        <f>T123*V123/(1+Assumptions!$B$3)^W123</f>
        <v/>
      </c>
      <c r="Y123" s="25">
        <f>IF(T123=0,"",ROUND(X123/T123*100,1))</f>
        <v/>
      </c>
      <c r="Z123" s="26">
        <f>X123*Assumptions!$B$4</f>
        <v/>
      </c>
      <c r="AA123" s="25">
        <f>IF(T123=0,"",ROUND(Z123/T123*100,1))</f>
        <v/>
      </c>
      <c r="AB123" s="26">
        <f>X123-Z123</f>
        <v/>
      </c>
      <c r="AC123" s="25">
        <f>IF(T123=0,"",ROUND((X123-Z123)/T123*100,1))</f>
        <v/>
      </c>
      <c r="AD123" s="27" t="inlineStr">
        <is>
          <t>ESTIMATED</t>
        </is>
      </c>
      <c r="AE123" s="28" t="inlineStr">
        <is>
          <t>https://scalzilliaj.com.br/sgc/download.php?file=files/processo_documento/processo_documento09120721032023_1_.pdf&amp;nome=15 - Edital do art. 7º, §2º e 53 da Lei 11.101/2005 (segunda lista de credores e recebimento do plano))</t>
        </is>
      </c>
      <c r="AF123" s="27" t="inlineStr">
        <is>
          <t>p28 r2</t>
        </is>
      </c>
      <c r="AG123" s="27" t="inlineStr">
        <is>
          <t>p28: R$ 908.703,23</t>
        </is>
      </c>
      <c r="AH123" s="27" t="inlineStr">
        <is>
          <t>AJ_LIST</t>
        </is>
      </c>
      <c r="AI123" s="27" t="inlineStr">
        <is>
          <t>2023-03-21</t>
        </is>
      </c>
      <c r="AJ123" s="27" t="inlineStr">
        <is>
          <t>OK_NO_TOTALS</t>
        </is>
      </c>
      <c r="AK123" s="29" t="inlineStr">
        <is>
          <t>5012306-16.2022.8.21.0023</t>
        </is>
      </c>
      <c r="AL123" s="29" t="inlineStr">
        <is>
          <t>TJRS</t>
        </is>
      </c>
      <c r="AM123" s="29" t="inlineStr">
        <is>
          <t>ACTIVE</t>
        </is>
      </c>
      <c r="AN123" s="29" t="n">
        <v>2022</v>
      </c>
      <c r="AO123" s="29" t="inlineStr">
        <is>
          <t>live case, no plan document yet</t>
        </is>
      </c>
      <c r="AP123" s="29" t="inlineStr">
        <is>
          <t>ERECHIM</t>
        </is>
      </c>
      <c r="AQ123" s="29" t="inlineStr">
        <is>
          <t>RS</t>
        </is>
      </c>
      <c r="AR123" s="29" t="inlineStr">
        <is>
          <t>Comércio atacadista de medicamentos e drogas de uso humano</t>
        </is>
      </c>
      <c r="AS123" s="29" t="inlineStr">
        <is>
          <t>DEMAIS</t>
        </is>
      </c>
      <c r="AT123" s="29" t="inlineStr">
        <is>
          <t>MID-MARKET</t>
        </is>
      </c>
      <c r="AU123" s="29" t="inlineStr">
        <is>
          <t>12889035</t>
        </is>
      </c>
      <c r="AV123" s="29" t="n">
        <v>1</v>
      </c>
      <c r="AW123" s="29" t="inlineStr">
        <is>
          <t>ROWS:p28r2 UNRECONCILED_SOURCE</t>
        </is>
      </c>
    </row>
    <row r="124">
      <c r="A124" s="15" t="inlineStr">
        <is>
          <t>INDUSTRIA DE CONFECCOES K-DU LTDA</t>
        </is>
      </c>
      <c r="B124" s="16" t="n">
        <v>908132.39</v>
      </c>
      <c r="C124" s="17" t="inlineStr">
        <is>
          <t>R W CONSTRUCOES LTDA</t>
        </is>
      </c>
      <c r="D124" s="18" t="inlineStr">
        <is>
          <t>NEW</t>
        </is>
      </c>
      <c r="E124" s="19" t="inlineStr"/>
      <c r="F124" s="18" t="inlineStr"/>
      <c r="G124" s="19" t="inlineStr"/>
      <c r="H124" s="18" t="inlineStr"/>
      <c r="I124" s="20" t="inlineStr">
        <is>
          <t>CLAUDIO CAUDURO</t>
        </is>
      </c>
      <c r="J124" s="20" t="inlineStr">
        <is>
          <t>Sócio-Administrador</t>
        </is>
      </c>
      <c r="K124" s="20" t="inlineStr">
        <is>
          <t>(46) 3563-1792</t>
        </is>
      </c>
      <c r="L124" s="20" t="inlineStr"/>
      <c r="M124" s="20" t="inlineStr"/>
      <c r="N124" s="20" t="inlineStr"/>
      <c r="O124" s="20" t="inlineStr"/>
      <c r="P124" s="20" t="inlineStr"/>
      <c r="Q124" s="20" t="inlineStr"/>
      <c r="R124" s="20" t="inlineStr"/>
      <c r="S124" s="20" t="inlineStr"/>
      <c r="T124" s="21" t="n">
        <v>908132.39</v>
      </c>
      <c r="U124" s="22" t="inlineStr">
        <is>
          <t>B</t>
        </is>
      </c>
      <c r="V124" s="23">
        <f>IFERROR(VLOOKUP(U124,Assumptions!$A$7:$D$11,2,FALSE),0)</f>
        <v/>
      </c>
      <c r="W124" s="24">
        <f>MAX(0.5,IFERROR(VLOOKUP(U124,Assumptions!$A$7:$D$11,3,FALSE),3)+IFERROR(VLOOKUP(U124,Assumptions!$A$7:$D$11,4,FALSE),8)/2-IF(AN124="",0,YEAR(TODAY())-AN124))</f>
        <v/>
      </c>
      <c r="X124" s="21">
        <f>T124*V124/(1+Assumptions!$B$3)^W124</f>
        <v/>
      </c>
      <c r="Y124" s="25">
        <f>IF(T124=0,"",ROUND(X124/T124*100,1))</f>
        <v/>
      </c>
      <c r="Z124" s="26">
        <f>X124*Assumptions!$B$4</f>
        <v/>
      </c>
      <c r="AA124" s="25">
        <f>IF(T124=0,"",ROUND(Z124/T124*100,1))</f>
        <v/>
      </c>
      <c r="AB124" s="26">
        <f>X124-Z124</f>
        <v/>
      </c>
      <c r="AC124" s="25">
        <f>IF(T124=0,"",ROUND((X124-Z124)/T124*100,1))</f>
        <v/>
      </c>
      <c r="AD124" s="27" t="inlineStr">
        <is>
          <t>ESTIMATED</t>
        </is>
      </c>
      <c r="AE124" s="28" t="inlineStr">
        <is>
          <t>https://lrflideres.com.br/wp-content/plugins/download-attachments/includes/download.php?id=4023</t>
        </is>
      </c>
      <c r="AF124" s="27" t="inlineStr">
        <is>
          <t>p4 r78; p7 r102; p9 r76</t>
        </is>
      </c>
      <c r="AG124" s="27" t="inlineStr">
        <is>
          <t>p4: R$ 271.843,99; p7: R$ 508.146,95; p9: R$ 128.141,45</t>
        </is>
      </c>
      <c r="AH124" s="27" t="inlineStr">
        <is>
          <t>DEBTOR_LIST</t>
        </is>
      </c>
      <c r="AI124" s="27" t="inlineStr"/>
      <c r="AJ124" s="27" t="inlineStr">
        <is>
          <t>QUARANTINED</t>
        </is>
      </c>
      <c r="AK124" s="29" t="inlineStr">
        <is>
          <t>0002484-82.2022.8.17.2001</t>
        </is>
      </c>
      <c r="AL124" s="29" t="inlineStr">
        <is>
          <t>TJPE</t>
        </is>
      </c>
      <c r="AM124" s="29" t="inlineStr">
        <is>
          <t>ACTIVE</t>
        </is>
      </c>
      <c r="AN124" s="29" t="n">
        <v>2022</v>
      </c>
      <c r="AO124" s="29" t="inlineStr">
        <is>
          <t>live case, no plan document yet</t>
        </is>
      </c>
      <c r="AP124" s="29" t="inlineStr">
        <is>
          <t>SANTO ANTONIO DO SUDOESTE</t>
        </is>
      </c>
      <c r="AQ124" s="29" t="inlineStr">
        <is>
          <t>PR</t>
        </is>
      </c>
      <c r="AR124" s="29" t="inlineStr">
        <is>
          <t>Confecção de peças de vestuário, exceto roupas íntimas e as confeccionadas sob medida</t>
        </is>
      </c>
      <c r="AS124" s="29" t="inlineStr">
        <is>
          <t>DEMAIS</t>
        </is>
      </c>
      <c r="AT124" s="29" t="inlineStr">
        <is>
          <t>MID-MARKET</t>
        </is>
      </c>
      <c r="AU124" s="29" t="inlineStr">
        <is>
          <t>10424098</t>
        </is>
      </c>
      <c r="AV124" s="29" t="n">
        <v>3</v>
      </c>
      <c r="AW124" s="29" t="inlineStr">
        <is>
          <t>PARTIAL_DOC_CLASS_III_RECONCILED ROWS:p4r78,p7r102,p9r76</t>
        </is>
      </c>
    </row>
    <row r="125">
      <c r="A125" s="15" t="inlineStr">
        <is>
          <t>ASK CRIOS PRODUTOS QUIMICOS DO BRASIL LTDA</t>
        </is>
      </c>
      <c r="B125" s="16" t="n">
        <v>2270274.68</v>
      </c>
      <c r="C125" s="17" t="inlineStr">
        <is>
          <t>FORMAPLAN FORMAS PLANEJADAS INDUSTRIA E COMERCIO LTDA EM RECUPERACAO JUDICIAL</t>
        </is>
      </c>
      <c r="D125" s="18" t="inlineStr">
        <is>
          <t>NEW</t>
        </is>
      </c>
      <c r="E125" s="19" t="inlineStr"/>
      <c r="F125" s="18" t="inlineStr"/>
      <c r="G125" s="19" t="inlineStr"/>
      <c r="H125" s="18" t="inlineStr"/>
      <c r="I125" s="20" t="inlineStr">
        <is>
          <t>LUIS ROBERTO OLIVEIRA DEGASPARI</t>
        </is>
      </c>
      <c r="J125" s="20" t="inlineStr">
        <is>
          <t>Administrador</t>
        </is>
      </c>
      <c r="K125" s="20" t="inlineStr">
        <is>
          <t>(19) 9953-9805</t>
        </is>
      </c>
      <c r="L125" s="20" t="inlineStr"/>
      <c r="M125" s="20" t="inlineStr"/>
      <c r="N125" s="20" t="inlineStr"/>
      <c r="O125" s="20" t="inlineStr"/>
      <c r="P125" s="20" t="inlineStr">
        <is>
          <t>MICHELINE WANDERLEY DE ARAUJO</t>
        </is>
      </c>
      <c r="Q125" s="20" t="inlineStr">
        <is>
          <t>Administrador</t>
        </is>
      </c>
      <c r="R125" s="20" t="inlineStr">
        <is>
          <t>(19) 9953-9805</t>
        </is>
      </c>
      <c r="S125" s="20" t="inlineStr"/>
      <c r="T125" s="21" t="n">
        <v>2270274.68</v>
      </c>
      <c r="U125" s="31" t="inlineStr">
        <is>
          <t>C</t>
        </is>
      </c>
      <c r="V125" s="23">
        <f>IFERROR(VLOOKUP(U125,Assumptions!$A$7:$D$11,2,FALSE),0)</f>
        <v/>
      </c>
      <c r="W125" s="24">
        <f>MAX(0.5,IFERROR(VLOOKUP(U125,Assumptions!$A$7:$D$11,3,FALSE),3)+IFERROR(VLOOKUP(U125,Assumptions!$A$7:$D$11,4,FALSE),8)/2-IF(AN125="",0,YEAR(TODAY())-AN125))</f>
        <v/>
      </c>
      <c r="X125" s="21">
        <f>T125*V125/(1+Assumptions!$B$3)^W125</f>
        <v/>
      </c>
      <c r="Y125" s="25">
        <f>IF(T125=0,"",ROUND(X125/T125*100,1))</f>
        <v/>
      </c>
      <c r="Z125" s="26">
        <f>X125*Assumptions!$B$4</f>
        <v/>
      </c>
      <c r="AA125" s="25">
        <f>IF(T125=0,"",ROUND(Z125/T125*100,1))</f>
        <v/>
      </c>
      <c r="AB125" s="26">
        <f>X125-Z125</f>
        <v/>
      </c>
      <c r="AC125" s="25">
        <f>IF(T125=0,"",ROUND((X125-Z125)/T125*100,1))</f>
        <v/>
      </c>
      <c r="AD125" s="27" t="inlineStr">
        <is>
          <t>ESTIMATED</t>
        </is>
      </c>
      <c r="AE125" s="28" t="inlineStr">
        <is>
          <t>https://marquesadmjudicial.com.br/sgc/download.php?file=files/processo_documento/processo_documento15232121112024_1_.pdf&amp;nome=Relação de Credores</t>
        </is>
      </c>
      <c r="AF125" s="27" t="inlineStr">
        <is>
          <t>p15 r19</t>
        </is>
      </c>
      <c r="AG125" s="27" t="inlineStr">
        <is>
          <t>p15: R$ 2.270.274,68</t>
        </is>
      </c>
      <c r="AH125" s="27" t="inlineStr">
        <is>
          <t>AJ_LIST</t>
        </is>
      </c>
      <c r="AI125" s="27" t="inlineStr">
        <is>
          <t>2021-01-22</t>
        </is>
      </c>
      <c r="AJ125" s="27" t="inlineStr">
        <is>
          <t>QUARANTINED</t>
        </is>
      </c>
      <c r="AK125" s="29" t="inlineStr">
        <is>
          <t>0000410-68.2021.8.16.0174</t>
        </is>
      </c>
      <c r="AL125" s="29" t="inlineStr">
        <is>
          <t>TJPR</t>
        </is>
      </c>
      <c r="AM125" s="29" t="inlineStr">
        <is>
          <t>ACTIVE</t>
        </is>
      </c>
      <c r="AN125" s="29" t="n">
        <v>2021</v>
      </c>
      <c r="AO125" s="29" t="inlineStr">
        <is>
          <t>5y since filing, no plan document</t>
        </is>
      </c>
      <c r="AP125" s="29" t="inlineStr">
        <is>
          <t>RIO CLARO</t>
        </is>
      </c>
      <c r="AQ125" s="29" t="inlineStr">
        <is>
          <t>SP</t>
        </is>
      </c>
      <c r="AR125" s="29" t="inlineStr">
        <is>
          <t>Fabricação de resinas termofixas</t>
        </is>
      </c>
      <c r="AS125" s="29" t="inlineStr">
        <is>
          <t>DEMAIS</t>
        </is>
      </c>
      <c r="AT125" s="29" t="inlineStr">
        <is>
          <t>MID-MARKET</t>
        </is>
      </c>
      <c r="AU125" s="29" t="inlineStr">
        <is>
          <t>44246528</t>
        </is>
      </c>
      <c r="AV125" s="29" t="n">
        <v>1</v>
      </c>
      <c r="AW125" s="29" t="inlineStr">
        <is>
          <t>PARTIAL_DOC_CLASS_III_RECONCILED ROWS:p15r19</t>
        </is>
      </c>
    </row>
    <row r="126">
      <c r="A126" s="15" t="inlineStr">
        <is>
          <t>FERRONORTE INDUSTRIAL LTDA</t>
        </is>
      </c>
      <c r="B126" s="16" t="n">
        <v>1452323.08</v>
      </c>
      <c r="C126" s="17" t="inlineStr"/>
      <c r="D126" s="18" t="inlineStr">
        <is>
          <t>NEW</t>
        </is>
      </c>
      <c r="E126" s="19" t="inlineStr"/>
      <c r="F126" s="18" t="inlineStr"/>
      <c r="G126" s="19" t="inlineStr"/>
      <c r="H126" s="18" t="inlineStr"/>
      <c r="I126" s="20" t="inlineStr">
        <is>
          <t>Joao Alves</t>
        </is>
      </c>
      <c r="J126" s="20" t="inlineStr">
        <is>
          <t>Industrial Director (headline says Analista de Ouvidoria)</t>
        </is>
      </c>
      <c r="K126" s="20" t="inlineStr">
        <is>
          <t>(86) 3215-4950</t>
        </is>
      </c>
      <c r="L126" s="20" t="inlineStr">
        <is>
          <t>(86) 8842-0763</t>
        </is>
      </c>
      <c r="M126" s="20" t="inlineStr"/>
      <c r="N126" s="20" t="inlineStr">
        <is>
          <t>joaovictor@ferronorteindustrial.com.br</t>
        </is>
      </c>
      <c r="O126" s="20" t="inlineStr"/>
      <c r="P126" s="20" t="inlineStr">
        <is>
          <t>Audo Gomes</t>
        </is>
      </c>
      <c r="Q126" s="20" t="inlineStr">
        <is>
          <t>Industrial Director</t>
        </is>
      </c>
      <c r="R126" s="20" t="inlineStr"/>
      <c r="S126" s="20" t="inlineStr"/>
      <c r="T126" s="21" t="n">
        <v>1452323.08</v>
      </c>
      <c r="U126" s="31" t="inlineStr">
        <is>
          <t>C</t>
        </is>
      </c>
      <c r="V126" s="23">
        <f>IFERROR(VLOOKUP(U126,Assumptions!$A$7:$D$11,2,FALSE),0)</f>
        <v/>
      </c>
      <c r="W126" s="24">
        <f>MAX(0.5,IFERROR(VLOOKUP(U126,Assumptions!$A$7:$D$11,3,FALSE),3)+IFERROR(VLOOKUP(U126,Assumptions!$A$7:$D$11,4,FALSE),8)/2-IF(AN126="",0,YEAR(TODAY())-AN126))</f>
        <v/>
      </c>
      <c r="X126" s="21">
        <f>T126*V126/(1+Assumptions!$B$3)^W126</f>
        <v/>
      </c>
      <c r="Y126" s="25">
        <f>IF(T126=0,"",ROUND(X126/T126*100,1))</f>
        <v/>
      </c>
      <c r="Z126" s="26">
        <f>X126*Assumptions!$B$4</f>
        <v/>
      </c>
      <c r="AA126" s="25">
        <f>IF(T126=0,"",ROUND(Z126/T126*100,1))</f>
        <v/>
      </c>
      <c r="AB126" s="26">
        <f>X126-Z126</f>
        <v/>
      </c>
      <c r="AC126" s="25">
        <f>IF(T126=0,"",ROUND((X126-Z126)/T126*100,1))</f>
        <v/>
      </c>
      <c r="AD126" s="27" t="inlineStr">
        <is>
          <t>UNKNOWN</t>
        </is>
      </c>
      <c r="AE126" s="28" t="inlineStr">
        <is>
          <t>https://realbrasil.com.br/wp-content/uploads/2018/06/2_LISTA-DE-CREDORES-DA-RECUPERANDA_ROQUE.pdf</t>
        </is>
      </c>
      <c r="AF126" s="27" t="inlineStr">
        <is>
          <t>p2 r3</t>
        </is>
      </c>
      <c r="AG126" s="27" t="inlineStr">
        <is>
          <t>p2: R$ 1.452.323,08</t>
        </is>
      </c>
      <c r="AH126" s="27" t="inlineStr">
        <is>
          <t>UNKNOWN</t>
        </is>
      </c>
      <c r="AI126" s="27" t="inlineStr"/>
      <c r="AJ126" s="27" t="inlineStr">
        <is>
          <t>OK</t>
        </is>
      </c>
      <c r="AK126" s="29" t="inlineStr">
        <is>
          <t>0802426-35.2019.8.10.0000</t>
        </is>
      </c>
      <c r="AL126" s="29" t="inlineStr">
        <is>
          <t>TJ</t>
        </is>
      </c>
      <c r="AM126" s="29" t="inlineStr"/>
      <c r="AN126" s="29" t="n">
        <v>2019</v>
      </c>
      <c r="AO126" s="29" t="inlineStr">
        <is>
          <t>7y since filing, no plan document</t>
        </is>
      </c>
      <c r="AP126" s="29" t="inlineStr">
        <is>
          <t>TERESINA</t>
        </is>
      </c>
      <c r="AQ126" s="29" t="inlineStr">
        <is>
          <t>PI</t>
        </is>
      </c>
      <c r="AR126" s="29" t="inlineStr">
        <is>
          <t>Produção de relaminados, trefilados e perfilados de aço, exceto arames</t>
        </is>
      </c>
      <c r="AS126" s="29" t="inlineStr">
        <is>
          <t>DEMAIS</t>
        </is>
      </c>
      <c r="AT126" s="29" t="inlineStr">
        <is>
          <t>LARGE CORP</t>
        </is>
      </c>
      <c r="AU126" s="29" t="inlineStr">
        <is>
          <t>03119889</t>
        </is>
      </c>
      <c r="AV126" s="29" t="n">
        <v>1</v>
      </c>
      <c r="AW126" s="29" t="inlineStr">
        <is>
          <t>ROWS:p2r3 VALUE_COL:Saldo_Total</t>
        </is>
      </c>
    </row>
    <row r="127">
      <c r="A127" s="15" t="inlineStr">
        <is>
          <t>TAG INDUSTRIA E LAMINACAO LTDA</t>
        </is>
      </c>
      <c r="B127" s="16" t="n">
        <v>1122336.63</v>
      </c>
      <c r="C127" s="17" t="inlineStr">
        <is>
          <t>REAL DISTRIBUIDORA ÚNICA RIO COMÉRCIO DE REFRIGERAÇÃO LTDA</t>
        </is>
      </c>
      <c r="D127" s="18" t="inlineStr">
        <is>
          <t>NEW</t>
        </is>
      </c>
      <c r="E127" s="19" t="inlineStr"/>
      <c r="F127" s="18" t="inlineStr"/>
      <c r="G127" s="19" t="inlineStr"/>
      <c r="H127" s="18" t="inlineStr"/>
      <c r="I127" s="20" t="inlineStr">
        <is>
          <t>TIAGO RODRIGO DETTILIO</t>
        </is>
      </c>
      <c r="J127" s="20" t="inlineStr">
        <is>
          <t>Administrador</t>
        </is>
      </c>
      <c r="K127" s="20" t="inlineStr">
        <is>
          <t>(11) 4463-4833</t>
        </is>
      </c>
      <c r="L127" s="20" t="inlineStr"/>
      <c r="M127" s="20" t="inlineStr"/>
      <c r="N127" s="20" t="inlineStr"/>
      <c r="O127" s="20" t="inlineStr"/>
      <c r="P127" s="20" t="inlineStr">
        <is>
          <t>WEBER MICAEL DA SILVA</t>
        </is>
      </c>
      <c r="Q127" s="20" t="inlineStr">
        <is>
          <t>Administrador</t>
        </is>
      </c>
      <c r="R127" s="20" t="inlineStr">
        <is>
          <t>(11) 4463-4833</t>
        </is>
      </c>
      <c r="S127" s="20" t="inlineStr"/>
      <c r="T127" s="21" t="n">
        <v>1122336.63</v>
      </c>
      <c r="U127" s="22" t="inlineStr">
        <is>
          <t>B</t>
        </is>
      </c>
      <c r="V127" s="23">
        <f>IFERROR(VLOOKUP(U127,Assumptions!$A$7:$D$11,2,FALSE),0)</f>
        <v/>
      </c>
      <c r="W127" s="24">
        <f>MAX(0.5,IFERROR(VLOOKUP(U127,Assumptions!$A$7:$D$11,3,FALSE),3)+IFERROR(VLOOKUP(U127,Assumptions!$A$7:$D$11,4,FALSE),8)/2-IF(AN127="",0,YEAR(TODAY())-AN127))</f>
        <v/>
      </c>
      <c r="X127" s="21">
        <f>T127*V127/(1+Assumptions!$B$3)^W127</f>
        <v/>
      </c>
      <c r="Y127" s="25">
        <f>IF(T127=0,"",ROUND(X127/T127*100,1))</f>
        <v/>
      </c>
      <c r="Z127" s="26">
        <f>X127*Assumptions!$B$4</f>
        <v/>
      </c>
      <c r="AA127" s="25">
        <f>IF(T127=0,"",ROUND(Z127/T127*100,1))</f>
        <v/>
      </c>
      <c r="AB127" s="26">
        <f>X127-Z127</f>
        <v/>
      </c>
      <c r="AC127" s="25">
        <f>IF(T127=0,"",ROUND((X127-Z127)/T127*100,1))</f>
        <v/>
      </c>
      <c r="AD127" s="27" t="inlineStr">
        <is>
          <t>UNKNOWN</t>
        </is>
      </c>
      <c r="AE127" s="28" t="inlineStr">
        <is>
          <t>https://inova-aj.com.br/wp-content/uploads/2026/08/1a-Relacao-de-Credores-Real.pdf</t>
        </is>
      </c>
      <c r="AF127" s="27" t="inlineStr">
        <is>
          <t>p2 r7</t>
        </is>
      </c>
      <c r="AG127" s="27" t="inlineStr">
        <is>
          <t>p2: R$ 1.122.336,63</t>
        </is>
      </c>
      <c r="AH127" s="27" t="inlineStr">
        <is>
          <t>AJ_LIST</t>
        </is>
      </c>
      <c r="AI127" s="27" t="inlineStr">
        <is>
          <t>2023-06-05</t>
        </is>
      </c>
      <c r="AJ127" s="27" t="inlineStr">
        <is>
          <t>OK</t>
        </is>
      </c>
      <c r="AK127" s="29" t="inlineStr">
        <is>
          <t>0873061-47.2023.8.19.0001</t>
        </is>
      </c>
      <c r="AL127" s="29" t="inlineStr">
        <is>
          <t>TJ</t>
        </is>
      </c>
      <c r="AM127" s="29" t="inlineStr"/>
      <c r="AN127" s="29" t="n">
        <v>2023</v>
      </c>
      <c r="AO127" s="29" t="inlineStr">
        <is>
          <t>live case, no plan document yet</t>
        </is>
      </c>
      <c r="AP127" s="29" t="inlineStr">
        <is>
          <t>SAO PAULO</t>
        </is>
      </c>
      <c r="AQ127" s="29" t="inlineStr">
        <is>
          <t>SP</t>
        </is>
      </c>
      <c r="AR127" s="29" t="inlineStr">
        <is>
          <t>Outras atividades profissionais, científicas e técnicas não especificadas anteriormente</t>
        </is>
      </c>
      <c r="AS127" s="29" t="inlineStr">
        <is>
          <t>DEMAIS</t>
        </is>
      </c>
      <c r="AT127" s="29" t="inlineStr">
        <is>
          <t>MID-MARKET</t>
        </is>
      </c>
      <c r="AU127" s="29" t="inlineStr">
        <is>
          <t>33233778</t>
        </is>
      </c>
      <c r="AV127" s="29" t="n">
        <v>1</v>
      </c>
      <c r="AW127" s="29" t="inlineStr">
        <is>
          <t>ALT_VALUE:R$816.060,00 ROWS:p2r7</t>
        </is>
      </c>
    </row>
    <row r="128">
      <c r="A128" s="15" t="inlineStr">
        <is>
          <t>LABORATORIO TEUTO BRASILEIRO S/A</t>
        </is>
      </c>
      <c r="B128" s="16" t="n">
        <v>1105911.24</v>
      </c>
      <c r="C128" s="17" t="inlineStr">
        <is>
          <t>VEV COMERCIO DE MEDICAMENTOS LTDA EM RECUPERACAO JUDICIAL</t>
        </is>
      </c>
      <c r="D128" s="18" t="inlineStr">
        <is>
          <t>NEW</t>
        </is>
      </c>
      <c r="E128" s="19" t="inlineStr"/>
      <c r="F128" s="18" t="inlineStr"/>
      <c r="G128" s="19" t="inlineStr"/>
      <c r="H128" s="18" t="inlineStr"/>
      <c r="I128" s="20" t="inlineStr">
        <is>
          <t>Luiz Lyra</t>
        </is>
      </c>
      <c r="J128" s="20" t="inlineStr">
        <is>
          <t>Financial Director</t>
        </is>
      </c>
      <c r="K128" s="20" t="inlineStr">
        <is>
          <t>(62) 3310-2000</t>
        </is>
      </c>
      <c r="L128" s="20" t="inlineStr">
        <is>
          <t>(62) 3310-2033</t>
        </is>
      </c>
      <c r="M128" s="20" t="inlineStr"/>
      <c r="N128" s="20" t="inlineStr">
        <is>
          <t>luiz.lyra@teuto.com.br</t>
        </is>
      </c>
      <c r="O128" s="20" t="inlineStr">
        <is>
          <t>elizamar.costa@teuto.com.br</t>
        </is>
      </c>
      <c r="P128" s="20" t="inlineStr">
        <is>
          <t>Elizamar Sousa</t>
        </is>
      </c>
      <c r="Q128" s="20" t="inlineStr">
        <is>
          <t>Controller</t>
        </is>
      </c>
      <c r="R128" s="20" t="inlineStr"/>
      <c r="S128" s="20" t="inlineStr">
        <is>
          <t>elizamar.costa@teuto.com.br</t>
        </is>
      </c>
      <c r="T128" s="21" t="n">
        <v>1105911.24</v>
      </c>
      <c r="U128" s="22" t="inlineStr">
        <is>
          <t>B</t>
        </is>
      </c>
      <c r="V128" s="23">
        <f>IFERROR(VLOOKUP(U128,Assumptions!$A$7:$D$11,2,FALSE),0)</f>
        <v/>
      </c>
      <c r="W128" s="24">
        <f>MAX(0.5,IFERROR(VLOOKUP(U128,Assumptions!$A$7:$D$11,3,FALSE),3)+IFERROR(VLOOKUP(U128,Assumptions!$A$7:$D$11,4,FALSE),8)/2-IF(AN128="",0,YEAR(TODAY())-AN128))</f>
        <v/>
      </c>
      <c r="X128" s="21">
        <f>T128*V128/(1+Assumptions!$B$3)^W128</f>
        <v/>
      </c>
      <c r="Y128" s="25">
        <f>IF(T128=0,"",ROUND(X128/T128*100,1))</f>
        <v/>
      </c>
      <c r="Z128" s="26">
        <f>X128*Assumptions!$B$4</f>
        <v/>
      </c>
      <c r="AA128" s="25">
        <f>IF(T128=0,"",ROUND(Z128/T128*100,1))</f>
        <v/>
      </c>
      <c r="AB128" s="26">
        <f>X128-Z128</f>
        <v/>
      </c>
      <c r="AC128" s="25">
        <f>IF(T128=0,"",ROUND((X128-Z128)/T128*100,1))</f>
        <v/>
      </c>
      <c r="AD128" s="27" t="inlineStr">
        <is>
          <t>ESTIMATED</t>
        </is>
      </c>
      <c r="AE128" s="28" t="inlineStr">
        <is>
          <t>https://marquesadmjudicial.com.br/sgc/download.php?file=files/processo_documento/processo_documento15293208032024_1_.pdf&amp;nome=Relação Nominal de Credores da AJ-Sintética</t>
        </is>
      </c>
      <c r="AF128" s="27" t="inlineStr">
        <is>
          <t>p27 r12</t>
        </is>
      </c>
      <c r="AG128" s="27" t="inlineStr">
        <is>
          <t>p27: R$ 1.105.911,24</t>
        </is>
      </c>
      <c r="AH128" s="27" t="inlineStr">
        <is>
          <t>AJ_LIST</t>
        </is>
      </c>
      <c r="AI128" s="27" t="inlineStr">
        <is>
          <t>2023-03-02</t>
        </is>
      </c>
      <c r="AJ128" s="27" t="inlineStr">
        <is>
          <t>QUARANTINED</t>
        </is>
      </c>
      <c r="AK128" s="29" t="inlineStr">
        <is>
          <t>0005010-98.2023.8.16.0001</t>
        </is>
      </c>
      <c r="AL128" s="29" t="inlineStr">
        <is>
          <t>TJPR</t>
        </is>
      </c>
      <c r="AM128" s="29" t="inlineStr">
        <is>
          <t>ACTIVE</t>
        </is>
      </c>
      <c r="AN128" s="29" t="n">
        <v>2023</v>
      </c>
      <c r="AO128" s="29" t="inlineStr">
        <is>
          <t>live case, no plan document yet</t>
        </is>
      </c>
      <c r="AP128" s="29" t="inlineStr">
        <is>
          <t>ANAPOLIS</t>
        </is>
      </c>
      <c r="AQ128" s="29" t="inlineStr">
        <is>
          <t>GO</t>
        </is>
      </c>
      <c r="AR128" s="29" t="inlineStr">
        <is>
          <t>Fabricação de medicamentos alopáticos para uso humano</t>
        </is>
      </c>
      <c r="AS128" s="29" t="inlineStr">
        <is>
          <t>DEMAIS</t>
        </is>
      </c>
      <c r="AT128" s="29" t="inlineStr">
        <is>
          <t>LARGE CORP</t>
        </is>
      </c>
      <c r="AU128" s="29" t="inlineStr">
        <is>
          <t>17159229</t>
        </is>
      </c>
      <c r="AV128" s="29" t="n">
        <v>1</v>
      </c>
      <c r="AW128" s="29" t="inlineStr">
        <is>
          <t>PARTIAL_DOC_CLASS_III_RECONCILED ROWS:p27r12</t>
        </is>
      </c>
    </row>
    <row r="129">
      <c r="A129" s="15" t="inlineStr">
        <is>
          <t>TERRAMAQ PECAS E SERVICOS LTDA</t>
        </is>
      </c>
      <c r="B129" s="16" t="n">
        <v>1091422.69</v>
      </c>
      <c r="C129" s="17" t="inlineStr">
        <is>
          <t>CLUBE NAUTICO CAPIBARIBE - EM RECUPERACAO JUDICIAL</t>
        </is>
      </c>
      <c r="D129" s="18" t="inlineStr">
        <is>
          <t>NEW</t>
        </is>
      </c>
      <c r="E129" s="19" t="inlineStr"/>
      <c r="F129" s="18" t="inlineStr"/>
      <c r="G129" s="19" t="inlineStr"/>
      <c r="H129" s="18" t="inlineStr"/>
      <c r="I129" s="20" t="inlineStr">
        <is>
          <t>PEDRO MOZART DOS PASSOS</t>
        </is>
      </c>
      <c r="J129" s="20" t="inlineStr">
        <is>
          <t>Sócio-Administrador</t>
        </is>
      </c>
      <c r="K129" s="20" t="inlineStr">
        <is>
          <t>(08) 13222-8756</t>
        </is>
      </c>
      <c r="L129" s="20" t="inlineStr"/>
      <c r="M129" s="20" t="inlineStr"/>
      <c r="N129" s="20" t="inlineStr"/>
      <c r="O129" s="20" t="inlineStr"/>
      <c r="P129" s="20" t="inlineStr"/>
      <c r="Q129" s="20" t="inlineStr"/>
      <c r="R129" s="20" t="inlineStr"/>
      <c r="S129" s="20" t="inlineStr"/>
      <c r="T129" s="21" t="n">
        <v>1091422.69</v>
      </c>
      <c r="U129" s="22" t="inlineStr">
        <is>
          <t>B</t>
        </is>
      </c>
      <c r="V129" s="23">
        <f>IFERROR(VLOOKUP(U129,Assumptions!$A$7:$D$11,2,FALSE),0)</f>
        <v/>
      </c>
      <c r="W129" s="24">
        <f>MAX(0.5,IFERROR(VLOOKUP(U129,Assumptions!$A$7:$D$11,3,FALSE),3)+IFERROR(VLOOKUP(U129,Assumptions!$A$7:$D$11,4,FALSE),8)/2-IF(AN129="",0,YEAR(TODAY())-AN129))</f>
        <v/>
      </c>
      <c r="X129" s="21">
        <f>T129*V129/(1+Assumptions!$B$3)^W129</f>
        <v/>
      </c>
      <c r="Y129" s="25">
        <f>IF(T129=0,"",ROUND(X129/T129*100,1))</f>
        <v/>
      </c>
      <c r="Z129" s="26">
        <f>X129*Assumptions!$B$4</f>
        <v/>
      </c>
      <c r="AA129" s="25">
        <f>IF(T129=0,"",ROUND(Z129/T129*100,1))</f>
        <v/>
      </c>
      <c r="AB129" s="26">
        <f>X129-Z129</f>
        <v/>
      </c>
      <c r="AC129" s="25">
        <f>IF(T129=0,"",ROUND((X129-Z129)/T129*100,1))</f>
        <v/>
      </c>
      <c r="AD129" s="27" t="inlineStr">
        <is>
          <t>ESTIMATED</t>
        </is>
      </c>
      <c r="AE129" s="28" t="inlineStr">
        <is>
          <t>https://lrflideres.com.br/wp-content/plugins/download-attachments/includes/download.php?id=5589</t>
        </is>
      </c>
      <c r="AF129" s="27" t="inlineStr">
        <is>
          <t>p12 r48</t>
        </is>
      </c>
      <c r="AG129" s="27" t="inlineStr">
        <is>
          <t>p12: R$ 1.091.422,69</t>
        </is>
      </c>
      <c r="AH129" s="27" t="inlineStr">
        <is>
          <t>AJ_LIST</t>
        </is>
      </c>
      <c r="AI129" s="27" t="inlineStr">
        <is>
          <t>2023-11-27</t>
        </is>
      </c>
      <c r="AJ129" s="27" t="inlineStr">
        <is>
          <t>QUARANTINED</t>
        </is>
      </c>
      <c r="AK129" s="29" t="inlineStr">
        <is>
          <t>0011283-80.2023.8.17.2001</t>
        </is>
      </c>
      <c r="AL129" s="29" t="inlineStr">
        <is>
          <t>TJPE</t>
        </is>
      </c>
      <c r="AM129" s="29" t="inlineStr">
        <is>
          <t>ACTIVE</t>
        </is>
      </c>
      <c r="AN129" s="29" t="n">
        <v>2023</v>
      </c>
      <c r="AO129" s="29" t="inlineStr">
        <is>
          <t>live case, no plan document yet</t>
        </is>
      </c>
      <c r="AP129" s="29" t="inlineStr">
        <is>
          <t>RECIFE</t>
        </is>
      </c>
      <c r="AQ129" s="29" t="inlineStr">
        <is>
          <t>PE</t>
        </is>
      </c>
      <c r="AR129" s="29" t="inlineStr">
        <is>
          <t>Comércio atacadista de máquinas, aparelhos e equipamentos para uso agropecuário; partes e peças</t>
        </is>
      </c>
      <c r="AS129" s="29" t="inlineStr">
        <is>
          <t>EMPRESA DE PEQUENO PORTE</t>
        </is>
      </c>
      <c r="AT129" s="29" t="inlineStr">
        <is>
          <t>SMALL</t>
        </is>
      </c>
      <c r="AU129" s="29" t="inlineStr">
        <is>
          <t>01790923</t>
        </is>
      </c>
      <c r="AV129" s="29" t="n">
        <v>1</v>
      </c>
      <c r="AW129" s="29" t="inlineStr">
        <is>
          <t>PARTIAL_DOC_CLASS_III_RECONCILED ROWS:p12r48</t>
        </is>
      </c>
    </row>
    <row r="130">
      <c r="A130" s="15" t="inlineStr">
        <is>
          <t>VENTUROSO, VALENTINI &amp; CIA LTDA</t>
        </is>
      </c>
      <c r="B130" s="16" t="n">
        <v>1687942.83</v>
      </c>
      <c r="C130" s="17" t="inlineStr"/>
      <c r="D130" s="18" t="inlineStr">
        <is>
          <t>NEW</t>
        </is>
      </c>
      <c r="E130" s="19" t="inlineStr"/>
      <c r="F130" s="18" t="inlineStr"/>
      <c r="G130" s="19" t="inlineStr"/>
      <c r="H130" s="18" t="inlineStr"/>
      <c r="I130" s="20" t="inlineStr">
        <is>
          <t>Elaine Valentini</t>
        </is>
      </c>
      <c r="J130" s="20" t="inlineStr">
        <is>
          <t>Administrative and Financial Manager</t>
        </is>
      </c>
      <c r="K130" s="20" t="inlineStr">
        <is>
          <t>(16) 3810-1704</t>
        </is>
      </c>
      <c r="L130" s="20" t="inlineStr">
        <is>
          <t>(16) 3810-1727</t>
        </is>
      </c>
      <c r="M130" s="20" t="inlineStr"/>
      <c r="N130" s="20" t="inlineStr">
        <is>
          <t>elaine.valentini@vv.com.br</t>
        </is>
      </c>
      <c r="O130" s="20" t="inlineStr"/>
      <c r="P130" s="20" t="inlineStr">
        <is>
          <t>Carlos Valentini</t>
        </is>
      </c>
      <c r="Q130" s="20" t="inlineStr">
        <is>
          <t>CEO</t>
        </is>
      </c>
      <c r="R130" s="20" t="inlineStr"/>
      <c r="S130" s="20" t="inlineStr"/>
      <c r="T130" s="21" t="n">
        <v>1687942.83</v>
      </c>
      <c r="U130" s="22" t="inlineStr">
        <is>
          <t>B</t>
        </is>
      </c>
      <c r="V130" s="23">
        <f>IFERROR(VLOOKUP(U130,Assumptions!$A$7:$D$11,2,FALSE),0)</f>
        <v/>
      </c>
      <c r="W130" s="24">
        <f>MAX(0.5,IFERROR(VLOOKUP(U130,Assumptions!$A$7:$D$11,3,FALSE),3)+IFERROR(VLOOKUP(U130,Assumptions!$A$7:$D$11,4,FALSE),8)/2-IF(AN130="",0,YEAR(TODAY())-AN130))</f>
        <v/>
      </c>
      <c r="X130" s="21">
        <f>T130*V130/(1+Assumptions!$B$3)^W130</f>
        <v/>
      </c>
      <c r="Y130" s="25">
        <f>IF(T130=0,"",ROUND(X130/T130*100,1))</f>
        <v/>
      </c>
      <c r="Z130" s="26">
        <f>X130*Assumptions!$B$4</f>
        <v/>
      </c>
      <c r="AA130" s="25">
        <f>IF(T130=0,"",ROUND(Z130/T130*100,1))</f>
        <v/>
      </c>
      <c r="AB130" s="26">
        <f>X130-Z130</f>
        <v/>
      </c>
      <c r="AC130" s="25">
        <f>IF(T130=0,"",ROUND((X130-Z130)/T130*100,1))</f>
        <v/>
      </c>
      <c r="AD130" s="27" t="inlineStr">
        <is>
          <t>UNKNOWN</t>
        </is>
      </c>
      <c r="AE130" s="28" t="inlineStr">
        <is>
          <t>https://credibilita.com.br/wp-content/uploads/2025/09/Relacao-Credores-29.04.2026.pdf</t>
        </is>
      </c>
      <c r="AF130" s="27" t="inlineStr">
        <is>
          <t>p2 r24</t>
        </is>
      </c>
      <c r="AG130" s="27" t="inlineStr">
        <is>
          <t>p2: R$ 1.687.942,83</t>
        </is>
      </c>
      <c r="AH130" s="27" t="inlineStr">
        <is>
          <t>UNKNOWN</t>
        </is>
      </c>
      <c r="AI130" s="27" t="inlineStr"/>
      <c r="AJ130" s="27" t="inlineStr">
        <is>
          <t>OK_NO_TOTALS</t>
        </is>
      </c>
      <c r="AK130" s="29" t="inlineStr">
        <is>
          <t>5057720-48.2025.8.24.0023</t>
        </is>
      </c>
      <c r="AL130" s="29" t="inlineStr">
        <is>
          <t>TJ</t>
        </is>
      </c>
      <c r="AM130" s="29" t="inlineStr"/>
      <c r="AN130" s="29" t="n">
        <v>2025</v>
      </c>
      <c r="AO130" s="29" t="inlineStr">
        <is>
          <t>live case, no plan document yet</t>
        </is>
      </c>
      <c r="AP130" s="29" t="inlineStr">
        <is>
          <t>SAO JOAQUIM DA BARRA</t>
        </is>
      </c>
      <c r="AQ130" s="29" t="inlineStr">
        <is>
          <t>SP</t>
        </is>
      </c>
      <c r="AR130" s="29" t="inlineStr">
        <is>
          <t>Fabricação de equipamentos de transmissão para fins industriais, exceto rolamentos</t>
        </is>
      </c>
      <c r="AS130" s="29" t="inlineStr">
        <is>
          <t>DEMAIS</t>
        </is>
      </c>
      <c r="AT130" s="29" t="inlineStr">
        <is>
          <t>MID-MARKET</t>
        </is>
      </c>
      <c r="AU130" s="29" t="inlineStr">
        <is>
          <t>59850115</t>
        </is>
      </c>
      <c r="AV130" s="29" t="n">
        <v>1</v>
      </c>
      <c r="AW130" s="29" t="inlineStr">
        <is>
          <t>ROWS:p2r24 UNRECONCILED_SOURCE VALUE_COL:Valor_Após_Analise</t>
        </is>
      </c>
    </row>
    <row r="131">
      <c r="A131" s="15" t="inlineStr">
        <is>
          <t>OMRON HEALTHCARE BRASIL COMERCIO E DISTRIBUICAO DE PRODUTOS MEDICOS LTDA</t>
        </is>
      </c>
      <c r="B131" s="16" t="n">
        <v>1077222.82</v>
      </c>
      <c r="C131" s="17" t="inlineStr">
        <is>
          <t>VEV COMERCIO DE MEDICAMENTOS LTDA EM RECUPERACAO JUDICIAL</t>
        </is>
      </c>
      <c r="D131" s="18" t="inlineStr">
        <is>
          <t>NEW</t>
        </is>
      </c>
      <c r="E131" s="19" t="inlineStr"/>
      <c r="F131" s="18" t="inlineStr"/>
      <c r="G131" s="19" t="inlineStr"/>
      <c r="H131" s="18" t="inlineStr"/>
      <c r="I131" s="20" t="inlineStr">
        <is>
          <t>Michelle Herrero</t>
        </is>
      </c>
      <c r="J131" s="20" t="inlineStr">
        <is>
          <t>Gerente de Análise de Planejamento Financeiro</t>
        </is>
      </c>
      <c r="K131" s="20" t="inlineStr">
        <is>
          <t>(11) 3149-3046</t>
        </is>
      </c>
      <c r="L131" s="20" t="inlineStr"/>
      <c r="M131" s="20" t="inlineStr"/>
      <c r="N131" s="20" t="inlineStr"/>
      <c r="O131" s="20" t="inlineStr"/>
      <c r="P131" s="20" t="inlineStr">
        <is>
          <t>FERNANDA ZAMIKHOWSKY VILLALOBOS</t>
        </is>
      </c>
      <c r="Q131" s="20" t="inlineStr">
        <is>
          <t>Administrador</t>
        </is>
      </c>
      <c r="R131" s="20" t="inlineStr">
        <is>
          <t>(11) 3149-3046</t>
        </is>
      </c>
      <c r="S131" s="20" t="inlineStr"/>
      <c r="T131" s="21" t="n">
        <v>1077222.82</v>
      </c>
      <c r="U131" s="22" t="inlineStr">
        <is>
          <t>B</t>
        </is>
      </c>
      <c r="V131" s="23">
        <f>IFERROR(VLOOKUP(U131,Assumptions!$A$7:$D$11,2,FALSE),0)</f>
        <v/>
      </c>
      <c r="W131" s="24">
        <f>MAX(0.5,IFERROR(VLOOKUP(U131,Assumptions!$A$7:$D$11,3,FALSE),3)+IFERROR(VLOOKUP(U131,Assumptions!$A$7:$D$11,4,FALSE),8)/2-IF(AN131="",0,YEAR(TODAY())-AN131))</f>
        <v/>
      </c>
      <c r="X131" s="21">
        <f>T131*V131/(1+Assumptions!$B$3)^W131</f>
        <v/>
      </c>
      <c r="Y131" s="25">
        <f>IF(T131=0,"",ROUND(X131/T131*100,1))</f>
        <v/>
      </c>
      <c r="Z131" s="26">
        <f>X131*Assumptions!$B$4</f>
        <v/>
      </c>
      <c r="AA131" s="25">
        <f>IF(T131=0,"",ROUND(Z131/T131*100,1))</f>
        <v/>
      </c>
      <c r="AB131" s="26">
        <f>X131-Z131</f>
        <v/>
      </c>
      <c r="AC131" s="25">
        <f>IF(T131=0,"",ROUND((X131-Z131)/T131*100,1))</f>
        <v/>
      </c>
      <c r="AD131" s="27" t="inlineStr">
        <is>
          <t>ESTIMATED</t>
        </is>
      </c>
      <c r="AE131" s="28" t="inlineStr">
        <is>
          <t>https://marquesadmjudicial.com.br/sgc/download.php?file=files/processo_documento/processo_documento15293208032024_1_.pdf&amp;nome=Relação Nominal de Credores da AJ-Sintética</t>
        </is>
      </c>
      <c r="AF131" s="27" t="inlineStr">
        <is>
          <t>p30 r2</t>
        </is>
      </c>
      <c r="AG131" s="27" t="inlineStr">
        <is>
          <t>p30: R$ 1.077.222,82</t>
        </is>
      </c>
      <c r="AH131" s="27" t="inlineStr">
        <is>
          <t>AJ_LIST</t>
        </is>
      </c>
      <c r="AI131" s="27" t="inlineStr">
        <is>
          <t>2023-03-02</t>
        </is>
      </c>
      <c r="AJ131" s="27" t="inlineStr">
        <is>
          <t>QUARANTINED</t>
        </is>
      </c>
      <c r="AK131" s="29" t="inlineStr">
        <is>
          <t>0005010-98.2023.8.16.0001</t>
        </is>
      </c>
      <c r="AL131" s="29" t="inlineStr">
        <is>
          <t>TJPR</t>
        </is>
      </c>
      <c r="AM131" s="29" t="inlineStr">
        <is>
          <t>ACTIVE</t>
        </is>
      </c>
      <c r="AN131" s="29" t="n">
        <v>2023</v>
      </c>
      <c r="AO131" s="29" t="inlineStr">
        <is>
          <t>live case, no plan document yet</t>
        </is>
      </c>
      <c r="AP131" s="29" t="inlineStr">
        <is>
          <t>SAO PAULO</t>
        </is>
      </c>
      <c r="AQ131" s="29" t="inlineStr">
        <is>
          <t>SP</t>
        </is>
      </c>
      <c r="AR131" s="29" t="inlineStr">
        <is>
          <t>Comércio atacadista de máquinas, aparelhos e equipamentos para uso odonto-médico-hospitalar; partes e peças</t>
        </is>
      </c>
      <c r="AS131" s="29" t="inlineStr">
        <is>
          <t>DEMAIS</t>
        </is>
      </c>
      <c r="AT131" s="29" t="inlineStr">
        <is>
          <t>LARGE CORP</t>
        </is>
      </c>
      <c r="AU131" s="29" t="inlineStr">
        <is>
          <t>10345462</t>
        </is>
      </c>
      <c r="AV131" s="29" t="n">
        <v>1</v>
      </c>
      <c r="AW131" s="29" t="inlineStr">
        <is>
          <t>PARTIAL_DOC_CLASS_III_RECONCILED ROWS:p30r2</t>
        </is>
      </c>
    </row>
    <row r="132">
      <c r="A132" s="15" t="inlineStr">
        <is>
          <t>PLASTICOS TANGARA LTDA</t>
        </is>
      </c>
      <c r="B132" s="16" t="n">
        <v>1070557.39</v>
      </c>
      <c r="C132" s="17" t="inlineStr">
        <is>
          <t>CRISTAL MASTER INDUSTRIA E COMERCIO LTDA</t>
        </is>
      </c>
      <c r="D132" s="18" t="inlineStr">
        <is>
          <t>NEW</t>
        </is>
      </c>
      <c r="E132" s="19" t="inlineStr"/>
      <c r="F132" s="18" t="inlineStr"/>
      <c r="G132" s="19" t="inlineStr"/>
      <c r="H132" s="18" t="inlineStr"/>
      <c r="I132" s="20" t="inlineStr">
        <is>
          <t>PAULO RICARDO SORGATTO</t>
        </is>
      </c>
      <c r="J132" s="20" t="inlineStr">
        <is>
          <t>Sócio-Administrador</t>
        </is>
      </c>
      <c r="K132" s="20" t="inlineStr">
        <is>
          <t>(49) 3532-1511</t>
        </is>
      </c>
      <c r="L132" s="20" t="inlineStr"/>
      <c r="M132" s="20" t="inlineStr"/>
      <c r="N132" s="20" t="inlineStr"/>
      <c r="O132" s="20" t="inlineStr"/>
      <c r="P132" s="20" t="inlineStr"/>
      <c r="Q132" s="20" t="inlineStr"/>
      <c r="R132" s="20" t="inlineStr"/>
      <c r="S132" s="20" t="inlineStr"/>
      <c r="T132" s="21" t="n">
        <v>1070557.39</v>
      </c>
      <c r="U132" s="22" t="inlineStr">
        <is>
          <t>B</t>
        </is>
      </c>
      <c r="V132" s="23">
        <f>IFERROR(VLOOKUP(U132,Assumptions!$A$7:$D$11,2,FALSE),0)</f>
        <v/>
      </c>
      <c r="W132" s="24">
        <f>MAX(0.5,IFERROR(VLOOKUP(U132,Assumptions!$A$7:$D$11,3,FALSE),3)+IFERROR(VLOOKUP(U132,Assumptions!$A$7:$D$11,4,FALSE),8)/2-IF(AN132="",0,YEAR(TODAY())-AN132))</f>
        <v/>
      </c>
      <c r="X132" s="21">
        <f>T132*V132/(1+Assumptions!$B$3)^W132</f>
        <v/>
      </c>
      <c r="Y132" s="25">
        <f>IF(T132=0,"",ROUND(X132/T132*100,1))</f>
        <v/>
      </c>
      <c r="Z132" s="26">
        <f>X132*Assumptions!$B$4</f>
        <v/>
      </c>
      <c r="AA132" s="25">
        <f>IF(T132=0,"",ROUND(Z132/T132*100,1))</f>
        <v/>
      </c>
      <c r="AB132" s="26">
        <f>X132-Z132</f>
        <v/>
      </c>
      <c r="AC132" s="25">
        <f>IF(T132=0,"",ROUND((X132-Z132)/T132*100,1))</f>
        <v/>
      </c>
      <c r="AD132" s="27" t="inlineStr">
        <is>
          <t>ESTIMATED</t>
        </is>
      </c>
      <c r="AE132" s="28" t="inlineStr">
        <is>
          <t>https://ajruiz.com.br/sites/default/files/public/arquivos-processos/2026-08/qgc_azeplast_julho_2026.pdf</t>
        </is>
      </c>
      <c r="AF132" s="27" t="inlineStr">
        <is>
          <t>p2 r6</t>
        </is>
      </c>
      <c r="AG132" s="27" t="inlineStr">
        <is>
          <t>p2: R$ 1.070.557,39</t>
        </is>
      </c>
      <c r="AH132" s="27" t="inlineStr">
        <is>
          <t>QGC</t>
        </is>
      </c>
      <c r="AI132" s="27" t="inlineStr"/>
      <c r="AJ132" s="27" t="inlineStr">
        <is>
          <t>QUARANTINED</t>
        </is>
      </c>
      <c r="AK132" s="29" t="inlineStr">
        <is>
          <t>5008793-34.2023.8.24.0019</t>
        </is>
      </c>
      <c r="AL132" s="29" t="inlineStr">
        <is>
          <t>TJSC</t>
        </is>
      </c>
      <c r="AM132" s="29" t="inlineStr">
        <is>
          <t>ACTIVE</t>
        </is>
      </c>
      <c r="AN132" s="29" t="n">
        <v>2023</v>
      </c>
      <c r="AO132" s="29" t="inlineStr">
        <is>
          <t>live case, no plan document yet</t>
        </is>
      </c>
      <c r="AP132" s="29" t="inlineStr">
        <is>
          <t>TANGARA</t>
        </is>
      </c>
      <c r="AQ132" s="29" t="inlineStr">
        <is>
          <t>SC</t>
        </is>
      </c>
      <c r="AR132" s="29" t="inlineStr">
        <is>
          <t>Comércio atacadista especializado em outros produtos intermediários não especificados anteriormente</t>
        </is>
      </c>
      <c r="AS132" s="29" t="inlineStr">
        <is>
          <t>DEMAIS</t>
        </is>
      </c>
      <c r="AT132" s="29" t="inlineStr">
        <is>
          <t>MID-MARKET</t>
        </is>
      </c>
      <c r="AU132" s="29" t="inlineStr">
        <is>
          <t>11230832</t>
        </is>
      </c>
      <c r="AV132" s="29" t="n">
        <v>1</v>
      </c>
      <c r="AW132" s="29" t="inlineStr">
        <is>
          <t>PARTIAL_DOC_CLASS_III_RECONCILED ROWS:p2r6</t>
        </is>
      </c>
    </row>
    <row r="133">
      <c r="A133" s="15" t="inlineStr">
        <is>
          <t>MECMETAL INDUSTRIA E COMERCIO DE TRANSFORMADORES LTDA</t>
        </is>
      </c>
      <c r="B133" s="16" t="n">
        <v>1213121.27</v>
      </c>
      <c r="C133" s="17" t="inlineStr"/>
      <c r="D133" s="18" t="inlineStr">
        <is>
          <t>NEW</t>
        </is>
      </c>
      <c r="E133" s="19" t="inlineStr"/>
      <c r="F133" s="18" t="inlineStr"/>
      <c r="G133" s="19" t="inlineStr"/>
      <c r="H133" s="18" t="inlineStr"/>
      <c r="I133" s="20" t="inlineStr">
        <is>
          <t>LEANDRO FURLANI</t>
        </is>
      </c>
      <c r="J133" s="20" t="inlineStr">
        <is>
          <t>Sócio-Administrador</t>
        </is>
      </c>
      <c r="K133" s="20" t="inlineStr">
        <is>
          <t>(47) 3039-9330</t>
        </is>
      </c>
      <c r="L133" s="20" t="inlineStr">
        <is>
          <t>(47) 9979-2026</t>
        </is>
      </c>
      <c r="M133" s="20" t="inlineStr"/>
      <c r="N133" s="20" t="inlineStr"/>
      <c r="O133" s="20" t="inlineStr"/>
      <c r="P133" s="20" t="inlineStr"/>
      <c r="Q133" s="20" t="inlineStr"/>
      <c r="R133" s="20" t="inlineStr"/>
      <c r="S133" s="20" t="inlineStr"/>
      <c r="T133" s="21" t="n">
        <v>1213121.27</v>
      </c>
      <c r="U133" s="31" t="inlineStr">
        <is>
          <t>C</t>
        </is>
      </c>
      <c r="V133" s="23">
        <f>IFERROR(VLOOKUP(U133,Assumptions!$A$7:$D$11,2,FALSE),0)</f>
        <v/>
      </c>
      <c r="W133" s="24">
        <f>MAX(0.5,IFERROR(VLOOKUP(U133,Assumptions!$A$7:$D$11,3,FALSE),3)+IFERROR(VLOOKUP(U133,Assumptions!$A$7:$D$11,4,FALSE),8)/2-IF(AN133="",0,YEAR(TODAY())-AN133))</f>
        <v/>
      </c>
      <c r="X133" s="21">
        <f>T133*V133/(1+Assumptions!$B$3)^W133</f>
        <v/>
      </c>
      <c r="Y133" s="25">
        <f>IF(T133=0,"",ROUND(X133/T133*100,1))</f>
        <v/>
      </c>
      <c r="Z133" s="26">
        <f>X133*Assumptions!$B$4</f>
        <v/>
      </c>
      <c r="AA133" s="25">
        <f>IF(T133=0,"",ROUND(Z133/T133*100,1))</f>
        <v/>
      </c>
      <c r="AB133" s="26">
        <f>X133-Z133</f>
        <v/>
      </c>
      <c r="AC133" s="25">
        <f>IF(T133=0,"",ROUND((X133-Z133)/T133*100,1))</f>
        <v/>
      </c>
      <c r="AD133" s="27" t="inlineStr">
        <is>
          <t>UNKNOWN</t>
        </is>
      </c>
      <c r="AE133" s="28" t="inlineStr">
        <is>
          <t>https://administradorajudicialgs.com.br/wp-content/uploads/2023/08/advogados-sgrott-doc-22-relacao-de-credores-do-administrador-judicial-classe-iii-05-02-14.pdf</t>
        </is>
      </c>
      <c r="AF133" s="27" t="inlineStr">
        <is>
          <t>p4 r17</t>
        </is>
      </c>
      <c r="AG133" s="27" t="inlineStr">
        <is>
          <t>p4: R$ 1.213.121,27</t>
        </is>
      </c>
      <c r="AH133" s="27" t="inlineStr">
        <is>
          <t>UNKNOWN</t>
        </is>
      </c>
      <c r="AI133" s="27" t="inlineStr"/>
      <c r="AJ133" s="27" t="inlineStr">
        <is>
          <t>OK</t>
        </is>
      </c>
      <c r="AK133" s="29" t="inlineStr">
        <is>
          <t>0022845-08.2013.8.24.0008</t>
        </is>
      </c>
      <c r="AL133" s="29" t="inlineStr">
        <is>
          <t>TJ</t>
        </is>
      </c>
      <c r="AM133" s="29" t="inlineStr"/>
      <c r="AN133" s="29" t="n">
        <v>2013</v>
      </c>
      <c r="AO133" s="29" t="inlineStr">
        <is>
          <t>13y since filing, no plan document</t>
        </is>
      </c>
      <c r="AP133" s="29" t="inlineStr">
        <is>
          <t>INDAIAL</t>
        </is>
      </c>
      <c r="AQ133" s="29" t="inlineStr">
        <is>
          <t>SC</t>
        </is>
      </c>
      <c r="AR133" s="29" t="inlineStr">
        <is>
          <t>Fabricação de transformadores, indutores, conversores, sincronizadores e semelhantes, peças e acessórios</t>
        </is>
      </c>
      <c r="AS133" s="29" t="inlineStr">
        <is>
          <t>EMPRESA DE PEQUENO PORTE</t>
        </is>
      </c>
      <c r="AT133" s="29" t="inlineStr">
        <is>
          <t>SMALL</t>
        </is>
      </c>
      <c r="AU133" s="29" t="inlineStr">
        <is>
          <t>04686964</t>
        </is>
      </c>
      <c r="AV133" s="29" t="n">
        <v>1</v>
      </c>
      <c r="AW133" s="29" t="inlineStr">
        <is>
          <t>ROWS:p4r17</t>
        </is>
      </c>
    </row>
    <row r="134">
      <c r="A134" s="15" t="inlineStr">
        <is>
          <t>BRACELL SP CELULOSE LTDA</t>
        </is>
      </c>
      <c r="B134" s="16" t="n">
        <v>3000000</v>
      </c>
      <c r="C134" s="17" t="inlineStr"/>
      <c r="D134" s="18" t="inlineStr">
        <is>
          <t>NEW</t>
        </is>
      </c>
      <c r="E134" s="19" t="inlineStr"/>
      <c r="F134" s="18" t="inlineStr"/>
      <c r="G134" s="19" t="inlineStr"/>
      <c r="H134" s="18" t="inlineStr"/>
      <c r="I134" s="20" t="inlineStr">
        <is>
          <t>William Troelsen</t>
        </is>
      </c>
      <c r="J134" s="20" t="inlineStr">
        <is>
          <t>Financial Director</t>
        </is>
      </c>
      <c r="K134" s="20" t="inlineStr">
        <is>
          <t>(14) 3269-5100</t>
        </is>
      </c>
      <c r="L134" s="20" t="inlineStr"/>
      <c r="M134" s="20" t="inlineStr"/>
      <c r="N134" s="20" t="inlineStr">
        <is>
          <t>william_troelsen@bracell.com</t>
        </is>
      </c>
      <c r="O134" s="20" t="inlineStr">
        <is>
          <t>ariadne_vilar@bracell.com</t>
        </is>
      </c>
      <c r="P134" s="20" t="inlineStr">
        <is>
          <t>Ariadne Vilar</t>
        </is>
      </c>
      <c r="Q134" s="20" t="inlineStr">
        <is>
          <t>Coordenadora de Tesouraria</t>
        </is>
      </c>
      <c r="R134" s="20" t="inlineStr"/>
      <c r="S134" s="20" t="inlineStr">
        <is>
          <t>ariadne_vilar@bracell.com</t>
        </is>
      </c>
      <c r="T134" s="21" t="n">
        <v>3000000</v>
      </c>
      <c r="U134" s="30" t="inlineStr">
        <is>
          <t>?</t>
        </is>
      </c>
      <c r="V134" s="23">
        <f>IFERROR(VLOOKUP(U134,Assumptions!$A$7:$D$11,2,FALSE),0)</f>
        <v/>
      </c>
      <c r="W134" s="24">
        <f>MAX(0.5,IFERROR(VLOOKUP(U134,Assumptions!$A$7:$D$11,3,FALSE),3)+IFERROR(VLOOKUP(U134,Assumptions!$A$7:$D$11,4,FALSE),8)/2-IF(AN134="",0,YEAR(TODAY())-AN134))</f>
        <v/>
      </c>
      <c r="X134" s="21">
        <f>T134*V134/(1+Assumptions!$B$3)^W134</f>
        <v/>
      </c>
      <c r="Y134" s="25">
        <f>IF(T134=0,"",ROUND(X134/T134*100,1))</f>
        <v/>
      </c>
      <c r="Z134" s="26">
        <f>X134*Assumptions!$B$4</f>
        <v/>
      </c>
      <c r="AA134" s="25">
        <f>IF(T134=0,"",ROUND(Z134/T134*100,1))</f>
        <v/>
      </c>
      <c r="AB134" s="26">
        <f>X134-Z134</f>
        <v/>
      </c>
      <c r="AC134" s="25">
        <f>IF(T134=0,"",ROUND((X134-Z134)/T134*100,1))</f>
        <v/>
      </c>
      <c r="AD134" s="27" t="inlineStr">
        <is>
          <t>UNKNOWN</t>
        </is>
      </c>
      <c r="AE134" s="28" t="inlineStr">
        <is>
          <t>https://ajruiz.com.br/sites/default/files/public/arquivos-processos/2023-11/4_relacao_de_credores_analitica_art._51_iii_da_lre.pdf</t>
        </is>
      </c>
      <c r="AF134" s="27" t="inlineStr">
        <is>
          <t>p2 r21</t>
        </is>
      </c>
      <c r="AG134" s="27" t="inlineStr">
        <is>
          <t>p2: R$ 3.000.000,00</t>
        </is>
      </c>
      <c r="AH134" s="27" t="inlineStr">
        <is>
          <t>UNKNOWN</t>
        </is>
      </c>
      <c r="AI134" s="27" t="inlineStr"/>
      <c r="AJ134" s="27" t="inlineStr">
        <is>
          <t>OK</t>
        </is>
      </c>
      <c r="AK134" s="29" t="inlineStr">
        <is>
          <t>(not printed)</t>
        </is>
      </c>
      <c r="AL134" s="29" t="inlineStr"/>
      <c r="AM134" s="29" t="inlineStr"/>
      <c r="AN134" s="29" t="inlineStr"/>
      <c r="AO134" s="29" t="inlineStr">
        <is>
          <t>RJ case number not identified on the document</t>
        </is>
      </c>
      <c r="AP134" s="29" t="inlineStr">
        <is>
          <t>LENCOIS PAULISTA</t>
        </is>
      </c>
      <c r="AQ134" s="29" t="inlineStr">
        <is>
          <t>SP</t>
        </is>
      </c>
      <c r="AR134" s="29" t="inlineStr">
        <is>
          <t>Fabricação de celulose e outras pastas para a fabricação de papel</t>
        </is>
      </c>
      <c r="AS134" s="29" t="inlineStr">
        <is>
          <t>DEMAIS</t>
        </is>
      </c>
      <c r="AT134" s="29" t="inlineStr">
        <is>
          <t>LARGE CORP</t>
        </is>
      </c>
      <c r="AU134" s="29" t="inlineStr">
        <is>
          <t>53943098</t>
        </is>
      </c>
      <c r="AV134" s="29" t="n">
        <v>1</v>
      </c>
      <c r="AW134" s="29" t="inlineStr">
        <is>
          <t>ALT_VALUE:cliente ROWS:p2r21 VALUE_COL:Valor_Do_Crédito CASE_NUMBER_CORRECTED</t>
        </is>
      </c>
    </row>
    <row r="135">
      <c r="A135" s="15" t="inlineStr">
        <is>
          <t>AGROCERES MULTIMIX NUTRICAO ANIMAL LTDA</t>
        </is>
      </c>
      <c r="B135" s="16" t="n">
        <v>1268978.32</v>
      </c>
      <c r="C135" s="17" t="inlineStr"/>
      <c r="D135" s="18" t="inlineStr">
        <is>
          <t>NEW</t>
        </is>
      </c>
      <c r="E135" s="19" t="inlineStr"/>
      <c r="F135" s="18" t="inlineStr"/>
      <c r="G135" s="19" t="inlineStr"/>
      <c r="H135" s="18" t="inlineStr"/>
      <c r="I135" s="20" t="inlineStr">
        <is>
          <t>Renata Campos</t>
        </is>
      </c>
      <c r="J135" s="20" t="inlineStr">
        <is>
          <t>Analista de Crédito e Cobrança Sênior</t>
        </is>
      </c>
      <c r="K135" s="20" t="inlineStr">
        <is>
          <t>(19) 3526-8500</t>
        </is>
      </c>
      <c r="L135" s="20" t="inlineStr"/>
      <c r="M135" s="20" t="inlineStr"/>
      <c r="N135" s="20" t="inlineStr">
        <is>
          <t>renata@agroceres.com</t>
        </is>
      </c>
      <c r="O135" s="20" t="inlineStr">
        <is>
          <t>pedroso.kelly@agroceresmultimix.com.br</t>
        </is>
      </c>
      <c r="P135" s="20" t="inlineStr">
        <is>
          <t>Kelly Pedroso</t>
        </is>
      </c>
      <c r="Q135" s="20" t="inlineStr">
        <is>
          <t>Analista de Crédito e Cobrança Jr</t>
        </is>
      </c>
      <c r="R135" s="20" t="inlineStr"/>
      <c r="S135" s="20" t="inlineStr">
        <is>
          <t>pedroso.kelly@agroceresmultimix.com.br</t>
        </is>
      </c>
      <c r="T135" s="21" t="n">
        <v>1268978.32</v>
      </c>
      <c r="U135" s="22" t="inlineStr">
        <is>
          <t>B</t>
        </is>
      </c>
      <c r="V135" s="23">
        <f>IFERROR(VLOOKUP(U135,Assumptions!$A$7:$D$11,2,FALSE),0)</f>
        <v/>
      </c>
      <c r="W135" s="24">
        <f>MAX(0.5,IFERROR(VLOOKUP(U135,Assumptions!$A$7:$D$11,3,FALSE),3)+IFERROR(VLOOKUP(U135,Assumptions!$A$7:$D$11,4,FALSE),8)/2-IF(AN135="",0,YEAR(TODAY())-AN135))</f>
        <v/>
      </c>
      <c r="X135" s="21">
        <f>T135*V135/(1+Assumptions!$B$3)^W135</f>
        <v/>
      </c>
      <c r="Y135" s="25">
        <f>IF(T135=0,"",ROUND(X135/T135*100,1))</f>
        <v/>
      </c>
      <c r="Z135" s="26">
        <f>X135*Assumptions!$B$4</f>
        <v/>
      </c>
      <c r="AA135" s="25">
        <f>IF(T135=0,"",ROUND(Z135/T135*100,1))</f>
        <v/>
      </c>
      <c r="AB135" s="26">
        <f>X135-Z135</f>
        <v/>
      </c>
      <c r="AC135" s="25">
        <f>IF(T135=0,"",ROUND((X135-Z135)/T135*100,1))</f>
        <v/>
      </c>
      <c r="AD135" s="27" t="inlineStr">
        <is>
          <t>ESTIMATED</t>
        </is>
      </c>
      <c r="AE135" s="28" t="inlineStr">
        <is>
          <t>https://rlg-aj.com.br/wp-content/uploads/2024/11/07.-Relação-de-credores.pdf</t>
        </is>
      </c>
      <c r="AF135" s="27" t="inlineStr">
        <is>
          <t>p1 r22</t>
        </is>
      </c>
      <c r="AG135" s="27" t="inlineStr">
        <is>
          <t>p1: R$ 1.268.978,32</t>
        </is>
      </c>
      <c r="AH135" s="27" t="inlineStr">
        <is>
          <t>UNKNOWN</t>
        </is>
      </c>
      <c r="AI135" s="27" t="inlineStr"/>
      <c r="AJ135" s="27" t="inlineStr">
        <is>
          <t>OK_NO_TOTALS</t>
        </is>
      </c>
      <c r="AK135" s="29" t="inlineStr">
        <is>
          <t>5009149-92.2024.8.24.0019</t>
        </is>
      </c>
      <c r="AL135" s="29" t="inlineStr">
        <is>
          <t>TJSC</t>
        </is>
      </c>
      <c r="AM135" s="29" t="inlineStr">
        <is>
          <t>ACTIVE</t>
        </is>
      </c>
      <c r="AN135" s="29" t="n">
        <v>2024</v>
      </c>
      <c r="AO135" s="29" t="inlineStr">
        <is>
          <t>live case, no plan document yet</t>
        </is>
      </c>
      <c r="AP135" s="29" t="inlineStr">
        <is>
          <t>RIO CLARO</t>
        </is>
      </c>
      <c r="AQ135" s="29" t="inlineStr">
        <is>
          <t>SP</t>
        </is>
      </c>
      <c r="AR135" s="29" t="inlineStr">
        <is>
          <t>Fabricação de alimentos para animais</t>
        </is>
      </c>
      <c r="AS135" s="29" t="inlineStr">
        <is>
          <t>DEMAIS</t>
        </is>
      </c>
      <c r="AT135" s="29" t="inlineStr">
        <is>
          <t>LARGE CORP</t>
        </is>
      </c>
      <c r="AU135" s="29" t="inlineStr">
        <is>
          <t>28622744</t>
        </is>
      </c>
      <c r="AV135" s="29" t="n">
        <v>1</v>
      </c>
      <c r="AW135" s="29" t="inlineStr">
        <is>
          <t>ROWS:p1r22 UNRECONCILED_SOURCE</t>
        </is>
      </c>
    </row>
    <row r="136">
      <c r="A136" s="15" t="inlineStr">
        <is>
          <t>GRUPO MULTILASER S.A.</t>
        </is>
      </c>
      <c r="B136" s="16" t="n">
        <v>1603580.85</v>
      </c>
      <c r="C136" s="17" t="inlineStr">
        <is>
          <t>aludida empresa</t>
        </is>
      </c>
      <c r="D136" s="18" t="inlineStr">
        <is>
          <t>NEW</t>
        </is>
      </c>
      <c r="E136" s="19" t="inlineStr"/>
      <c r="F136" s="18" t="inlineStr"/>
      <c r="G136" s="19" t="inlineStr"/>
      <c r="H136" s="18" t="inlineStr"/>
      <c r="I136" s="20" t="inlineStr">
        <is>
          <t>Claudia Vicente</t>
        </is>
      </c>
      <c r="J136" s="20" t="inlineStr">
        <is>
          <t>Gerente de Crédito e Cobrança</t>
        </is>
      </c>
      <c r="K136" s="20" t="inlineStr">
        <is>
          <t>(11) 3616-8600</t>
        </is>
      </c>
      <c r="L136" s="20" t="inlineStr"/>
      <c r="M136" s="20" t="inlineStr"/>
      <c r="N136" s="20" t="inlineStr">
        <is>
          <t>claudia.fernandes@grupomultilaser.com.br</t>
        </is>
      </c>
      <c r="O136" s="20" t="inlineStr">
        <is>
          <t>ana.amaral@grupomultilaser.com.br</t>
        </is>
      </c>
      <c r="P136" s="20" t="inlineStr">
        <is>
          <t>Ana Amaral</t>
        </is>
      </c>
      <c r="Q136" s="20" t="inlineStr">
        <is>
          <t>Coordenador de Contas a Receber</t>
        </is>
      </c>
      <c r="R136" s="20" t="inlineStr"/>
      <c r="S136" s="20" t="inlineStr">
        <is>
          <t>ana.amaral@grupomultilaser.com.br</t>
        </is>
      </c>
      <c r="T136" s="21" t="n">
        <v>1603580.85</v>
      </c>
      <c r="U136" s="31" t="inlineStr">
        <is>
          <t>C</t>
        </is>
      </c>
      <c r="V136" s="23">
        <f>IFERROR(VLOOKUP(U136,Assumptions!$A$7:$D$11,2,FALSE),0)</f>
        <v/>
      </c>
      <c r="W136" s="24">
        <f>MAX(0.5,IFERROR(VLOOKUP(U136,Assumptions!$A$7:$D$11,3,FALSE),3)+IFERROR(VLOOKUP(U136,Assumptions!$A$7:$D$11,4,FALSE),8)/2-IF(AN136="",0,YEAR(TODAY())-AN136))</f>
        <v/>
      </c>
      <c r="X136" s="21">
        <f>T136*V136/(1+Assumptions!$B$3)^W136</f>
        <v/>
      </c>
      <c r="Y136" s="25">
        <f>IF(T136=0,"",ROUND(X136/T136*100,1))</f>
        <v/>
      </c>
      <c r="Z136" s="26">
        <f>X136*Assumptions!$B$4</f>
        <v/>
      </c>
      <c r="AA136" s="25">
        <f>IF(T136=0,"",ROUND(Z136/T136*100,1))</f>
        <v/>
      </c>
      <c r="AB136" s="26">
        <f>X136-Z136</f>
        <v/>
      </c>
      <c r="AC136" s="25">
        <f>IF(T136=0,"",ROUND((X136-Z136)/T136*100,1))</f>
        <v/>
      </c>
      <c r="AD136" s="27" t="inlineStr">
        <is>
          <t>ESTIMATED</t>
        </is>
      </c>
      <c r="AE136" s="28" t="inlineStr">
        <is>
          <t>https://recuperacaojudicial.squarespace.com/s/RJ-Credimoveis-QGC-01082025.pdf</t>
        </is>
      </c>
      <c r="AF136" s="27" t="inlineStr">
        <is>
          <t>p16 r28</t>
        </is>
      </c>
      <c r="AG136" s="27" t="inlineStr">
        <is>
          <t>p16: R$ 1.603.580,85</t>
        </is>
      </c>
      <c r="AH136" s="27" t="inlineStr">
        <is>
          <t>QGC</t>
        </is>
      </c>
      <c r="AI136" s="27" t="inlineStr">
        <is>
          <t>2026-01-28</t>
        </is>
      </c>
      <c r="AJ136" s="27" t="inlineStr">
        <is>
          <t>OK</t>
        </is>
      </c>
      <c r="AK136" s="29" t="inlineStr">
        <is>
          <t>0007565-40.2020.8.17.2370</t>
        </is>
      </c>
      <c r="AL136" s="29" t="inlineStr">
        <is>
          <t>TJPE</t>
        </is>
      </c>
      <c r="AM136" s="29" t="inlineStr">
        <is>
          <t>ACTIVE</t>
        </is>
      </c>
      <c r="AN136" s="29" t="n">
        <v>2020</v>
      </c>
      <c r="AO136" s="29" t="inlineStr">
        <is>
          <t>6y since filing, no plan document</t>
        </is>
      </c>
      <c r="AP136" s="29" t="inlineStr">
        <is>
          <t>SAO PAULO</t>
        </is>
      </c>
      <c r="AQ136" s="29" t="inlineStr">
        <is>
          <t>SP</t>
        </is>
      </c>
      <c r="AR136" s="29" t="inlineStr">
        <is>
          <t>Fabricação de periféricos para equipamentos de informática</t>
        </is>
      </c>
      <c r="AS136" s="29" t="inlineStr">
        <is>
          <t>DEMAIS</t>
        </is>
      </c>
      <c r="AT136" s="29" t="inlineStr">
        <is>
          <t>LARGE CORP</t>
        </is>
      </c>
      <c r="AU136" s="29" t="inlineStr">
        <is>
          <t>59717553</t>
        </is>
      </c>
      <c r="AV136" s="29" t="n">
        <v>1</v>
      </c>
      <c r="AW136" s="29" t="inlineStr">
        <is>
          <t>ROWS:p16r28</t>
        </is>
      </c>
    </row>
    <row r="137">
      <c r="A137" s="15" t="inlineStr">
        <is>
          <t>NAZCA DISTRIBUIDORA DE COSMETICOS LTDA</t>
        </is>
      </c>
      <c r="B137" s="16" t="n">
        <v>999930.72</v>
      </c>
      <c r="C137" s="17" t="inlineStr">
        <is>
          <t>VEV COMERCIO DE MEDICAMENTOS LTDA EM RECUPERACAO JUDICIAL</t>
        </is>
      </c>
      <c r="D137" s="18" t="inlineStr">
        <is>
          <t>NEW</t>
        </is>
      </c>
      <c r="E137" s="19" t="inlineStr"/>
      <c r="F137" s="18" t="inlineStr"/>
      <c r="G137" s="19" t="inlineStr"/>
      <c r="H137" s="18" t="inlineStr"/>
      <c r="I137" s="20" t="inlineStr">
        <is>
          <t>JOSE DURVAL CARINHATO</t>
        </is>
      </c>
      <c r="J137" s="20" t="inlineStr">
        <is>
          <t>Administrador</t>
        </is>
      </c>
      <c r="K137" s="20" t="inlineStr">
        <is>
          <t>(11) 4061-6000</t>
        </is>
      </c>
      <c r="L137" s="20" t="inlineStr"/>
      <c r="M137" s="20" t="inlineStr"/>
      <c r="N137" s="20" t="inlineStr"/>
      <c r="O137" s="20" t="inlineStr"/>
      <c r="P137" s="20" t="inlineStr">
        <is>
          <t>MARCOS FERNANDO CARINHATO</t>
        </is>
      </c>
      <c r="Q137" s="20" t="inlineStr">
        <is>
          <t>Administrador</t>
        </is>
      </c>
      <c r="R137" s="20" t="inlineStr">
        <is>
          <t>(11) 4061-6000</t>
        </is>
      </c>
      <c r="S137" s="20" t="inlineStr"/>
      <c r="T137" s="21" t="n">
        <v>999930.72</v>
      </c>
      <c r="U137" s="22" t="inlineStr">
        <is>
          <t>B</t>
        </is>
      </c>
      <c r="V137" s="23">
        <f>IFERROR(VLOOKUP(U137,Assumptions!$A$7:$D$11,2,FALSE),0)</f>
        <v/>
      </c>
      <c r="W137" s="24">
        <f>MAX(0.5,IFERROR(VLOOKUP(U137,Assumptions!$A$7:$D$11,3,FALSE),3)+IFERROR(VLOOKUP(U137,Assumptions!$A$7:$D$11,4,FALSE),8)/2-IF(AN137="",0,YEAR(TODAY())-AN137))</f>
        <v/>
      </c>
      <c r="X137" s="21">
        <f>T137*V137/(1+Assumptions!$B$3)^W137</f>
        <v/>
      </c>
      <c r="Y137" s="25">
        <f>IF(T137=0,"",ROUND(X137/T137*100,1))</f>
        <v/>
      </c>
      <c r="Z137" s="26">
        <f>X137*Assumptions!$B$4</f>
        <v/>
      </c>
      <c r="AA137" s="25">
        <f>IF(T137=0,"",ROUND(Z137/T137*100,1))</f>
        <v/>
      </c>
      <c r="AB137" s="26">
        <f>X137-Z137</f>
        <v/>
      </c>
      <c r="AC137" s="25">
        <f>IF(T137=0,"",ROUND((X137-Z137)/T137*100,1))</f>
        <v/>
      </c>
      <c r="AD137" s="27" t="inlineStr">
        <is>
          <t>ESTIMATED</t>
        </is>
      </c>
      <c r="AE137" s="28" t="inlineStr">
        <is>
          <t>https://marquesadmjudicial.com.br/sgc/download.php?file=files/processo_documento/processo_documento15293208032024_1_.pdf&amp;nome=Relação Nominal de Credores da AJ-Sintética</t>
        </is>
      </c>
      <c r="AF137" s="27" t="inlineStr">
        <is>
          <t>p29 r11</t>
        </is>
      </c>
      <c r="AG137" s="27" t="inlineStr">
        <is>
          <t>p29: R$ 999.930,72</t>
        </is>
      </c>
      <c r="AH137" s="27" t="inlineStr">
        <is>
          <t>AJ_LIST</t>
        </is>
      </c>
      <c r="AI137" s="27" t="inlineStr">
        <is>
          <t>2023-03-02</t>
        </is>
      </c>
      <c r="AJ137" s="27" t="inlineStr">
        <is>
          <t>QUARANTINED</t>
        </is>
      </c>
      <c r="AK137" s="29" t="inlineStr">
        <is>
          <t>0005010-98.2023.8.16.0001</t>
        </is>
      </c>
      <c r="AL137" s="29" t="inlineStr">
        <is>
          <t>TJPR</t>
        </is>
      </c>
      <c r="AM137" s="29" t="inlineStr">
        <is>
          <t>ACTIVE</t>
        </is>
      </c>
      <c r="AN137" s="29" t="n">
        <v>2023</v>
      </c>
      <c r="AO137" s="29" t="inlineStr">
        <is>
          <t>live case, no plan document yet</t>
        </is>
      </c>
      <c r="AP137" s="29" t="inlineStr">
        <is>
          <t>DIADEMA</t>
        </is>
      </c>
      <c r="AQ137" s="29" t="inlineStr">
        <is>
          <t>SP</t>
        </is>
      </c>
      <c r="AR137" s="29" t="inlineStr">
        <is>
          <t>Comércio atacadista de cosméticos e produtos de perfumaria</t>
        </is>
      </c>
      <c r="AS137" s="29" t="inlineStr">
        <is>
          <t>DEMAIS</t>
        </is>
      </c>
      <c r="AT137" s="29" t="inlineStr">
        <is>
          <t>MID-MARKET</t>
        </is>
      </c>
      <c r="AU137" s="29" t="inlineStr">
        <is>
          <t>08509682</t>
        </is>
      </c>
      <c r="AV137" s="29" t="n">
        <v>1</v>
      </c>
      <c r="AW137" s="29" t="inlineStr">
        <is>
          <t>PARTIAL_DOC_CLASS_III_RECONCILED ROWS:p29r11</t>
        </is>
      </c>
    </row>
    <row r="138">
      <c r="A138" s="15" t="inlineStr">
        <is>
          <t>EPHOXAL DO BRASIL INDUSTRIA E COMERCIO LTDA</t>
        </is>
      </c>
      <c r="B138" s="16" t="n">
        <v>1130990.79</v>
      </c>
      <c r="C138" s="17" t="inlineStr"/>
      <c r="D138" s="18" t="inlineStr">
        <is>
          <t>NEW</t>
        </is>
      </c>
      <c r="E138" s="19" t="inlineStr"/>
      <c r="F138" s="18" t="inlineStr"/>
      <c r="G138" s="19" t="inlineStr"/>
      <c r="H138" s="18" t="inlineStr"/>
      <c r="I138" s="20" t="inlineStr">
        <is>
          <t>LUIZ CARLOS LAGO</t>
        </is>
      </c>
      <c r="J138" s="20" t="inlineStr">
        <is>
          <t>Sócio-Administrador</t>
        </is>
      </c>
      <c r="K138" s="20" t="inlineStr">
        <is>
          <t>(11) 4138-9347</t>
        </is>
      </c>
      <c r="L138" s="20" t="inlineStr"/>
      <c r="M138" s="20" t="inlineStr"/>
      <c r="N138" s="20" t="inlineStr"/>
      <c r="O138" s="20" t="inlineStr"/>
      <c r="P138" s="20" t="inlineStr">
        <is>
          <t>MARIA HELENA TOMASSI</t>
        </is>
      </c>
      <c r="Q138" s="20" t="inlineStr">
        <is>
          <t>Administrador</t>
        </is>
      </c>
      <c r="R138" s="20" t="inlineStr">
        <is>
          <t>(11) 4138-9347</t>
        </is>
      </c>
      <c r="S138" s="20" t="inlineStr"/>
      <c r="T138" s="21" t="n">
        <v>1130990.79</v>
      </c>
      <c r="U138" s="31" t="inlineStr">
        <is>
          <t>C</t>
        </is>
      </c>
      <c r="V138" s="23">
        <f>IFERROR(VLOOKUP(U138,Assumptions!$A$7:$D$11,2,FALSE),0)</f>
        <v/>
      </c>
      <c r="W138" s="24">
        <f>MAX(0.5,IFERROR(VLOOKUP(U138,Assumptions!$A$7:$D$11,3,FALSE),3)+IFERROR(VLOOKUP(U138,Assumptions!$A$7:$D$11,4,FALSE),8)/2-IF(AN138="",0,YEAR(TODAY())-AN138))</f>
        <v/>
      </c>
      <c r="X138" s="21">
        <f>T138*V138/(1+Assumptions!$B$3)^W138</f>
        <v/>
      </c>
      <c r="Y138" s="25">
        <f>IF(T138=0,"",ROUND(X138/T138*100,1))</f>
        <v/>
      </c>
      <c r="Z138" s="26">
        <f>X138*Assumptions!$B$4</f>
        <v/>
      </c>
      <c r="AA138" s="25">
        <f>IF(T138=0,"",ROUND(Z138/T138*100,1))</f>
        <v/>
      </c>
      <c r="AB138" s="26">
        <f>X138-Z138</f>
        <v/>
      </c>
      <c r="AC138" s="25">
        <f>IF(T138=0,"",ROUND((X138-Z138)/T138*100,1))</f>
        <v/>
      </c>
      <c r="AD138" s="27" t="inlineStr">
        <is>
          <t>UNKNOWN</t>
        </is>
      </c>
      <c r="AE138" s="28" t="inlineStr">
        <is>
          <t>https://administradorajudicialgs.com.br/wp-content/uploads/2023/08/advogados-sgrott-doc-22-relacao-de-credores-do-administrador-judicial-classe-iii-05-02-14.pdf</t>
        </is>
      </c>
      <c r="AF138" s="27" t="inlineStr">
        <is>
          <t>p2 r46</t>
        </is>
      </c>
      <c r="AG138" s="27" t="inlineStr">
        <is>
          <t>p2: R$ 1.130.990,79</t>
        </is>
      </c>
      <c r="AH138" s="27" t="inlineStr">
        <is>
          <t>UNKNOWN</t>
        </is>
      </c>
      <c r="AI138" s="27" t="inlineStr"/>
      <c r="AJ138" s="27" t="inlineStr">
        <is>
          <t>OK</t>
        </is>
      </c>
      <c r="AK138" s="29" t="inlineStr">
        <is>
          <t>0022845-08.2013.8.24.0008</t>
        </is>
      </c>
      <c r="AL138" s="29" t="inlineStr">
        <is>
          <t>TJ</t>
        </is>
      </c>
      <c r="AM138" s="29" t="inlineStr"/>
      <c r="AN138" s="29" t="n">
        <v>2013</v>
      </c>
      <c r="AO138" s="29" t="inlineStr">
        <is>
          <t>13y since filing, no plan document</t>
        </is>
      </c>
      <c r="AP138" s="29" t="inlineStr">
        <is>
          <t>EMBU DAS ARTES</t>
        </is>
      </c>
      <c r="AQ138" s="29" t="inlineStr">
        <is>
          <t>SP</t>
        </is>
      </c>
      <c r="AR138" s="29" t="inlineStr">
        <is>
          <t>Fabricação de resinas termofixas</t>
        </is>
      </c>
      <c r="AS138" s="29" t="inlineStr">
        <is>
          <t>DEMAIS</t>
        </is>
      </c>
      <c r="AT138" s="29" t="inlineStr">
        <is>
          <t>MID-MARKET</t>
        </is>
      </c>
      <c r="AU138" s="29" t="inlineStr">
        <is>
          <t>02770062</t>
        </is>
      </c>
      <c r="AV138" s="29" t="n">
        <v>1</v>
      </c>
      <c r="AW138" s="29" t="inlineStr">
        <is>
          <t>ROWS:p2r46</t>
        </is>
      </c>
    </row>
    <row r="139">
      <c r="A139" s="15" t="inlineStr">
        <is>
          <t>JBT MAREL BRASIL LTDA</t>
        </is>
      </c>
      <c r="B139" s="16" t="n">
        <v>1444276.42</v>
      </c>
      <c r="C139" s="17" t="inlineStr">
        <is>
          <t>COMERCIO RACOES BEM BOM LTDA</t>
        </is>
      </c>
      <c r="D139" s="18" t="inlineStr">
        <is>
          <t>NEW</t>
        </is>
      </c>
      <c r="E139" s="19" t="inlineStr"/>
      <c r="F139" s="18" t="inlineStr"/>
      <c r="G139" s="19" t="inlineStr"/>
      <c r="H139" s="18" t="inlineStr"/>
      <c r="I139" s="20" t="inlineStr">
        <is>
          <t>GLAUBER RODRIGUES</t>
        </is>
      </c>
      <c r="J139" s="20" t="inlineStr">
        <is>
          <t>Administrador</t>
        </is>
      </c>
      <c r="K139" s="20" t="inlineStr">
        <is>
          <t>(16) 3301-2050</t>
        </is>
      </c>
      <c r="L139" s="20" t="inlineStr"/>
      <c r="M139" s="20" t="inlineStr"/>
      <c r="N139" s="20" t="inlineStr"/>
      <c r="O139" s="20" t="inlineStr"/>
      <c r="P139" s="20" t="inlineStr">
        <is>
          <t>JOSE MIGUEL RUIZ</t>
        </is>
      </c>
      <c r="Q139" s="20" t="inlineStr">
        <is>
          <t>Administrador</t>
        </is>
      </c>
      <c r="R139" s="20" t="inlineStr">
        <is>
          <t>(16) 3301-2050</t>
        </is>
      </c>
      <c r="S139" s="20" t="inlineStr"/>
      <c r="T139" s="21" t="n">
        <v>1444276.42</v>
      </c>
      <c r="U139" s="32" t="inlineStr">
        <is>
          <t>A</t>
        </is>
      </c>
      <c r="V139" s="23">
        <f>IFERROR(VLOOKUP(U139,Assumptions!$A$7:$D$11,2,FALSE),0)</f>
        <v/>
      </c>
      <c r="W139" s="24">
        <f>MAX(0.5,IFERROR(VLOOKUP(U139,Assumptions!$A$7:$D$11,3,FALSE),3)+IFERROR(VLOOKUP(U139,Assumptions!$A$7:$D$11,4,FALSE),8)/2-IF(AN139="",0,YEAR(TODAY())-AN139))</f>
        <v/>
      </c>
      <c r="X139" s="21">
        <f>T139*V139/(1+Assumptions!$B$3)^W139</f>
        <v/>
      </c>
      <c r="Y139" s="25">
        <f>IF(T139=0,"",ROUND(X139/T139*100,1))</f>
        <v/>
      </c>
      <c r="Z139" s="26">
        <f>X139*Assumptions!$B$4</f>
        <v/>
      </c>
      <c r="AA139" s="25">
        <f>IF(T139=0,"",ROUND(Z139/T139*100,1))</f>
        <v/>
      </c>
      <c r="AB139" s="26">
        <f>X139-Z139</f>
        <v/>
      </c>
      <c r="AC139" s="25">
        <f>IF(T139=0,"",ROUND((X139-Z139)/T139*100,1))</f>
        <v/>
      </c>
      <c r="AD139" s="27" t="inlineStr">
        <is>
          <t>CONFIRMED</t>
        </is>
      </c>
      <c r="AE139" s="28" t="inlineStr">
        <is>
          <t>https://stenius.com.br/wp-content/uploads/2026/06/EDITAL-GRUPO-3E.pdf</t>
        </is>
      </c>
      <c r="AF139" s="27" t="inlineStr">
        <is>
          <t>p15 r54</t>
        </is>
      </c>
      <c r="AG139" s="27" t="inlineStr">
        <is>
          <t>p15: R$ 1.444.276,42</t>
        </is>
      </c>
      <c r="AH139" s="27" t="inlineStr">
        <is>
          <t>DEBTOR_LIST</t>
        </is>
      </c>
      <c r="AI139" s="27" t="inlineStr">
        <is>
          <t>2026-06-22</t>
        </is>
      </c>
      <c r="AJ139" s="27" t="inlineStr">
        <is>
          <t>OK_NO_TOTALS</t>
        </is>
      </c>
      <c r="AK139" s="29" t="inlineStr">
        <is>
          <t>5341375-33.2026.8.09.0049</t>
        </is>
      </c>
      <c r="AL139" s="29" t="inlineStr">
        <is>
          <t>TJGO</t>
        </is>
      </c>
      <c r="AM139" s="29" t="inlineStr">
        <is>
          <t>ACTIVE</t>
        </is>
      </c>
      <c r="AN139" s="29" t="n">
        <v>2026</v>
      </c>
      <c r="AO139" s="29" t="inlineStr">
        <is>
          <t>plan/homologation document found</t>
        </is>
      </c>
      <c r="AP139" s="29" t="inlineStr">
        <is>
          <t>CAMPINAS</t>
        </is>
      </c>
      <c r="AQ139" s="29" t="inlineStr">
        <is>
          <t>SP</t>
        </is>
      </c>
      <c r="AR139" s="29" t="inlineStr">
        <is>
          <t>Fabricação de máquinas e equipamentos para as indústrias de alimentos, bebidas e fumo, peças e acessórios</t>
        </is>
      </c>
      <c r="AS139" s="29" t="inlineStr">
        <is>
          <t>DEMAIS</t>
        </is>
      </c>
      <c r="AT139" s="29" t="inlineStr">
        <is>
          <t>LARGE CORP</t>
        </is>
      </c>
      <c r="AU139" s="29" t="inlineStr">
        <is>
          <t>05013050</t>
        </is>
      </c>
      <c r="AV139" s="29" t="n">
        <v>1</v>
      </c>
      <c r="AW139" s="29" t="inlineStr">
        <is>
          <t>ROWS:p15r54 UNRECONCILED_SOURCE</t>
        </is>
      </c>
    </row>
    <row r="140">
      <c r="A140" s="15" t="inlineStr">
        <is>
          <t>MOJ CONSULTORIA E NEGOCIOS S/A</t>
        </is>
      </c>
      <c r="B140" s="16" t="n">
        <v>1528248.6</v>
      </c>
      <c r="C140" s="17" t="inlineStr">
        <is>
          <t>- VENEZA SERVIÇOS ADMINISTRATIVOS LTDA</t>
        </is>
      </c>
      <c r="D140" s="18" t="inlineStr">
        <is>
          <t>NEW</t>
        </is>
      </c>
      <c r="E140" s="19" t="inlineStr"/>
      <c r="F140" s="18" t="inlineStr"/>
      <c r="G140" s="19" t="inlineStr"/>
      <c r="H140" s="18" t="inlineStr"/>
      <c r="I140" s="20" t="inlineStr">
        <is>
          <t>ANA MARIA ALVES DA ROCHA NEVES</t>
        </is>
      </c>
      <c r="J140" s="20" t="inlineStr">
        <is>
          <t>Diretor</t>
        </is>
      </c>
      <c r="K140" s="20" t="inlineStr">
        <is>
          <t>(21) 4106-5038</t>
        </is>
      </c>
      <c r="L140" s="20" t="inlineStr"/>
      <c r="M140" s="20" t="inlineStr"/>
      <c r="N140" s="20" t="inlineStr"/>
      <c r="O140" s="20" t="inlineStr"/>
      <c r="P140" s="20" t="inlineStr">
        <is>
          <t>SAMELA VAZ DOS SANTOS</t>
        </is>
      </c>
      <c r="Q140" s="20" t="inlineStr">
        <is>
          <t>Diretor</t>
        </is>
      </c>
      <c r="R140" s="20" t="inlineStr">
        <is>
          <t>(21) 4106-5038</t>
        </is>
      </c>
      <c r="S140" s="20" t="inlineStr"/>
      <c r="T140" s="21" t="n">
        <v>1528248.6</v>
      </c>
      <c r="U140" s="22" t="inlineStr">
        <is>
          <t>B</t>
        </is>
      </c>
      <c r="V140" s="23">
        <f>IFERROR(VLOOKUP(U140,Assumptions!$A$7:$D$11,2,FALSE),0)</f>
        <v/>
      </c>
      <c r="W140" s="24">
        <f>MAX(0.5,IFERROR(VLOOKUP(U140,Assumptions!$A$7:$D$11,3,FALSE),3)+IFERROR(VLOOKUP(U140,Assumptions!$A$7:$D$11,4,FALSE),8)/2-IF(AN140="",0,YEAR(TODAY())-AN140))</f>
        <v/>
      </c>
      <c r="X140" s="21">
        <f>T140*V140/(1+Assumptions!$B$3)^W140</f>
        <v/>
      </c>
      <c r="Y140" s="25">
        <f>IF(T140=0,"",ROUND(X140/T140*100,1))</f>
        <v/>
      </c>
      <c r="Z140" s="26">
        <f>X140*Assumptions!$B$4</f>
        <v/>
      </c>
      <c r="AA140" s="25">
        <f>IF(T140=0,"",ROUND(Z140/T140*100,1))</f>
        <v/>
      </c>
      <c r="AB140" s="26">
        <f>X140-Z140</f>
        <v/>
      </c>
      <c r="AC140" s="25">
        <f>IF(T140=0,"",ROUND((X140-Z140)/T140*100,1))</f>
        <v/>
      </c>
      <c r="AD140" s="27" t="inlineStr">
        <is>
          <t>ESTIMATED</t>
        </is>
      </c>
      <c r="AE140" s="28" t="inlineStr">
        <is>
          <t>https://bugarimecoelho.com.br/ws/media-library/b6b7ea42b9fa2afe30bc728fe00cd5c6/07---edital-do-processamento-da-recuperacao-judicial.pdf</t>
        </is>
      </c>
      <c r="AF140" s="27" t="inlineStr">
        <is>
          <t>p16 r10</t>
        </is>
      </c>
      <c r="AG140" s="27" t="inlineStr">
        <is>
          <t>p16: R$ 1.528.248,60</t>
        </is>
      </c>
      <c r="AH140" s="27" t="inlineStr">
        <is>
          <t>UNKNOWN</t>
        </is>
      </c>
      <c r="AI140" s="27" t="inlineStr">
        <is>
          <t>2026-07-09</t>
        </is>
      </c>
      <c r="AJ140" s="27" t="inlineStr">
        <is>
          <t>OK</t>
        </is>
      </c>
      <c r="AK140" s="29" t="inlineStr">
        <is>
          <t>3000117-40.2025.8.06.0512</t>
        </is>
      </c>
      <c r="AL140" s="29" t="inlineStr">
        <is>
          <t>TJCE</t>
        </is>
      </c>
      <c r="AM140" s="29" t="inlineStr">
        <is>
          <t>ACTIVE</t>
        </is>
      </c>
      <c r="AN140" s="29" t="n">
        <v>2025</v>
      </c>
      <c r="AO140" s="29" t="inlineStr">
        <is>
          <t>live case, no plan document yet</t>
        </is>
      </c>
      <c r="AP140" s="29" t="inlineStr">
        <is>
          <t>RIO DE JANEIRO</t>
        </is>
      </c>
      <c r="AQ140" s="29" t="inlineStr">
        <is>
          <t>RJ</t>
        </is>
      </c>
      <c r="AR140" s="29" t="inlineStr">
        <is>
          <t>Atividades de produção cinematográfica, de vídeos e de programas de televisão não especificadas anteriormente</t>
        </is>
      </c>
      <c r="AS140" s="29" t="inlineStr">
        <is>
          <t>DEMAIS</t>
        </is>
      </c>
      <c r="AT140" s="29" t="inlineStr">
        <is>
          <t>MID-MARKET</t>
        </is>
      </c>
      <c r="AU140" s="29" t="inlineStr">
        <is>
          <t>21132562</t>
        </is>
      </c>
      <c r="AV140" s="29" t="n">
        <v>1</v>
      </c>
      <c r="AW140" s="29" t="inlineStr">
        <is>
          <t>ROWS:p16r10</t>
        </is>
      </c>
    </row>
    <row r="141">
      <c r="A141" s="15" t="inlineStr">
        <is>
          <t>PARADOX JEANS CONFECCOES DE ROUPAS E TECIDOS LTDA</t>
        </is>
      </c>
      <c r="B141" s="16" t="n">
        <v>769232.88</v>
      </c>
      <c r="C141" s="17" t="inlineStr">
        <is>
          <t>R W CONSTRUCOES LTDA</t>
        </is>
      </c>
      <c r="D141" s="18" t="inlineStr">
        <is>
          <t>NEW</t>
        </is>
      </c>
      <c r="E141" s="19" t="inlineStr"/>
      <c r="F141" s="18" t="inlineStr"/>
      <c r="G141" s="19" t="inlineStr"/>
      <c r="H141" s="18" t="inlineStr"/>
      <c r="I141" s="20" t="inlineStr">
        <is>
          <t>JOE EL SAMED</t>
        </is>
      </c>
      <c r="J141" s="20" t="inlineStr">
        <is>
          <t>Sócio-Administrador</t>
        </is>
      </c>
      <c r="K141" s="20" t="inlineStr">
        <is>
          <t>(11) 2693-6106</t>
        </is>
      </c>
      <c r="L141" s="20" t="inlineStr"/>
      <c r="M141" s="20" t="inlineStr"/>
      <c r="N141" s="20" t="inlineStr"/>
      <c r="O141" s="20" t="inlineStr"/>
      <c r="P141" s="20" t="inlineStr"/>
      <c r="Q141" s="20" t="inlineStr"/>
      <c r="R141" s="20" t="inlineStr"/>
      <c r="S141" s="20" t="inlineStr"/>
      <c r="T141" s="21" t="n">
        <v>769232.88</v>
      </c>
      <c r="U141" s="22" t="inlineStr">
        <is>
          <t>B</t>
        </is>
      </c>
      <c r="V141" s="23">
        <f>IFERROR(VLOOKUP(U141,Assumptions!$A$7:$D$11,2,FALSE),0)</f>
        <v/>
      </c>
      <c r="W141" s="24">
        <f>MAX(0.5,IFERROR(VLOOKUP(U141,Assumptions!$A$7:$D$11,3,FALSE),3)+IFERROR(VLOOKUP(U141,Assumptions!$A$7:$D$11,4,FALSE),8)/2-IF(AN141="",0,YEAR(TODAY())-AN141))</f>
        <v/>
      </c>
      <c r="X141" s="21">
        <f>T141*V141/(1+Assumptions!$B$3)^W141</f>
        <v/>
      </c>
      <c r="Y141" s="25">
        <f>IF(T141=0,"",ROUND(X141/T141*100,1))</f>
        <v/>
      </c>
      <c r="Z141" s="26">
        <f>X141*Assumptions!$B$4</f>
        <v/>
      </c>
      <c r="AA141" s="25">
        <f>IF(T141=0,"",ROUND(Z141/T141*100,1))</f>
        <v/>
      </c>
      <c r="AB141" s="26">
        <f>X141-Z141</f>
        <v/>
      </c>
      <c r="AC141" s="25">
        <f>IF(T141=0,"",ROUND((X141-Z141)/T141*100,1))</f>
        <v/>
      </c>
      <c r="AD141" s="27" t="inlineStr">
        <is>
          <t>ESTIMATED</t>
        </is>
      </c>
      <c r="AE141" s="28" t="inlineStr">
        <is>
          <t>https://lrflideres.com.br/wp-content/plugins/download-attachments/includes/download.php?id=4023</t>
        </is>
      </c>
      <c r="AF141" s="27" t="inlineStr">
        <is>
          <t>p7 r115; p9 r86</t>
        </is>
      </c>
      <c r="AG141" s="27" t="inlineStr">
        <is>
          <t>p7: R$ 663.239,28; p9: R$ 105.993,60</t>
        </is>
      </c>
      <c r="AH141" s="27" t="inlineStr">
        <is>
          <t>DEBTOR_LIST</t>
        </is>
      </c>
      <c r="AI141" s="27" t="inlineStr"/>
      <c r="AJ141" s="27" t="inlineStr">
        <is>
          <t>QUARANTINED</t>
        </is>
      </c>
      <c r="AK141" s="29" t="inlineStr">
        <is>
          <t>0002484-82.2022.8.17.2001</t>
        </is>
      </c>
      <c r="AL141" s="29" t="inlineStr">
        <is>
          <t>TJPE</t>
        </is>
      </c>
      <c r="AM141" s="29" t="inlineStr">
        <is>
          <t>ACTIVE</t>
        </is>
      </c>
      <c r="AN141" s="29" t="n">
        <v>2022</v>
      </c>
      <c r="AO141" s="29" t="inlineStr">
        <is>
          <t>live case, no plan document yet</t>
        </is>
      </c>
      <c r="AP141" s="29" t="inlineStr">
        <is>
          <t>SAO PAULO</t>
        </is>
      </c>
      <c r="AQ141" s="29" t="inlineStr">
        <is>
          <t>SP</t>
        </is>
      </c>
      <c r="AR141" s="29" t="inlineStr">
        <is>
          <t>Confecção de peças de vestuário, exceto roupas íntimas e as confeccionadas sob medida</t>
        </is>
      </c>
      <c r="AS141" s="29" t="inlineStr">
        <is>
          <t>DEMAIS</t>
        </is>
      </c>
      <c r="AT141" s="29" t="inlineStr">
        <is>
          <t>MID-MARKET</t>
        </is>
      </c>
      <c r="AU141" s="29" t="inlineStr">
        <is>
          <t>21577893</t>
        </is>
      </c>
      <c r="AV141" s="29" t="n">
        <v>2</v>
      </c>
      <c r="AW141" s="29" t="inlineStr">
        <is>
          <t>PARTIAL_DOC_CLASS_III_RECONCILED ROWS:p7r115,p9r86</t>
        </is>
      </c>
    </row>
    <row r="142">
      <c r="A142" s="15" t="inlineStr">
        <is>
          <t>BELLOTA BRASIL LTDA</t>
        </is>
      </c>
      <c r="B142" s="16" t="n">
        <v>1492675.94</v>
      </c>
      <c r="C142" s="17" t="inlineStr"/>
      <c r="D142" s="18" t="inlineStr">
        <is>
          <t>NEW</t>
        </is>
      </c>
      <c r="E142" s="19" t="inlineStr"/>
      <c r="F142" s="18" t="inlineStr"/>
      <c r="G142" s="19" t="inlineStr"/>
      <c r="H142" s="18" t="inlineStr"/>
      <c r="I142" s="20" t="inlineStr">
        <is>
          <t>Cleuri Decker</t>
        </is>
      </c>
      <c r="J142" s="20" t="inlineStr">
        <is>
          <t>Operations Manager</t>
        </is>
      </c>
      <c r="K142" s="20" t="inlineStr">
        <is>
          <t>(47) 3301-8030</t>
        </is>
      </c>
      <c r="L142" s="20" t="inlineStr"/>
      <c r="M142" s="20" t="inlineStr"/>
      <c r="N142" s="20" t="inlineStr"/>
      <c r="O142" s="20" t="inlineStr">
        <is>
          <t>jose.renato@bellota.com.br</t>
        </is>
      </c>
      <c r="P142" s="20" t="inlineStr">
        <is>
          <t>Jose Renato</t>
        </is>
      </c>
      <c r="Q142" s="20" t="inlineStr">
        <is>
          <t>Cost Analyst</t>
        </is>
      </c>
      <c r="R142" s="20" t="inlineStr"/>
      <c r="S142" s="20" t="inlineStr">
        <is>
          <t>jose.renato@bellota.com.br</t>
        </is>
      </c>
      <c r="T142" s="21" t="n">
        <v>1492675.94</v>
      </c>
      <c r="U142" s="22" t="inlineStr">
        <is>
          <t>B</t>
        </is>
      </c>
      <c r="V142" s="23">
        <f>IFERROR(VLOOKUP(U142,Assumptions!$A$7:$D$11,2,FALSE),0)</f>
        <v/>
      </c>
      <c r="W142" s="24">
        <f>MAX(0.5,IFERROR(VLOOKUP(U142,Assumptions!$A$7:$D$11,3,FALSE),3)+IFERROR(VLOOKUP(U142,Assumptions!$A$7:$D$11,4,FALSE),8)/2-IF(AN142="",0,YEAR(TODAY())-AN142))</f>
        <v/>
      </c>
      <c r="X142" s="21">
        <f>T142*V142/(1+Assumptions!$B$3)^W142</f>
        <v/>
      </c>
      <c r="Y142" s="25">
        <f>IF(T142=0,"",ROUND(X142/T142*100,1))</f>
        <v/>
      </c>
      <c r="Z142" s="26">
        <f>X142*Assumptions!$B$4</f>
        <v/>
      </c>
      <c r="AA142" s="25">
        <f>IF(T142=0,"",ROUND(Z142/T142*100,1))</f>
        <v/>
      </c>
      <c r="AB142" s="26">
        <f>X142-Z142</f>
        <v/>
      </c>
      <c r="AC142" s="25">
        <f>IF(T142=0,"",ROUND((X142-Z142)/T142*100,1))</f>
        <v/>
      </c>
      <c r="AD142" s="27" t="inlineStr">
        <is>
          <t>UNKNOWN</t>
        </is>
      </c>
      <c r="AE142" s="28" t="inlineStr">
        <is>
          <t>https://credibilita.com.br/wp-content/uploads/2025/09/Relacao-Credores-29.04.2026.pdf</t>
        </is>
      </c>
      <c r="AF142" s="27" t="inlineStr">
        <is>
          <t>p1 r14</t>
        </is>
      </c>
      <c r="AG142" s="27" t="inlineStr">
        <is>
          <t>p1: R$ 1.492.675,94</t>
        </is>
      </c>
      <c r="AH142" s="27" t="inlineStr">
        <is>
          <t>UNKNOWN</t>
        </is>
      </c>
      <c r="AI142" s="27" t="inlineStr"/>
      <c r="AJ142" s="27" t="inlineStr">
        <is>
          <t>OK_NO_TOTALS</t>
        </is>
      </c>
      <c r="AK142" s="29" t="inlineStr">
        <is>
          <t>5057720-48.2025.8.24.0023</t>
        </is>
      </c>
      <c r="AL142" s="29" t="inlineStr">
        <is>
          <t>TJ</t>
        </is>
      </c>
      <c r="AM142" s="29" t="inlineStr"/>
      <c r="AN142" s="29" t="n">
        <v>2025</v>
      </c>
      <c r="AO142" s="29" t="inlineStr">
        <is>
          <t>live case, no plan document yet</t>
        </is>
      </c>
      <c r="AP142" s="29" t="inlineStr">
        <is>
          <t>INDAIAL</t>
        </is>
      </c>
      <c r="AQ142" s="29" t="inlineStr">
        <is>
          <t>SC</t>
        </is>
      </c>
      <c r="AR142" s="29" t="inlineStr">
        <is>
          <t>Fabricação de máquinas e equipamentos para a agricultura e pecuária, peças e acessórios, exceto para irrigação</t>
        </is>
      </c>
      <c r="AS142" s="29" t="inlineStr">
        <is>
          <t>DEMAIS</t>
        </is>
      </c>
      <c r="AT142" s="29" t="inlineStr">
        <is>
          <t>MID-MARKET</t>
        </is>
      </c>
      <c r="AU142" s="29" t="inlineStr">
        <is>
          <t>02588815</t>
        </is>
      </c>
      <c r="AV142" s="29" t="n">
        <v>1</v>
      </c>
      <c r="AW142" s="29" t="inlineStr">
        <is>
          <t>ROWS:p1r14 UNRECONCILED_SOURCE VALUE_COL:Valor_Após_Analise</t>
        </is>
      </c>
    </row>
    <row r="143">
      <c r="A143" s="15" t="inlineStr">
        <is>
          <t>CREATIVE PROPAGANDA E MARKETING LTDA</t>
        </is>
      </c>
      <c r="B143" s="16" t="n">
        <v>935547.55</v>
      </c>
      <c r="C143" s="17" t="inlineStr">
        <is>
          <t>CLUBE NAUTICO CAPIBARIBE - EM RECUPERACAO JUDICIAL</t>
        </is>
      </c>
      <c r="D143" s="18" t="inlineStr">
        <is>
          <t>NEW</t>
        </is>
      </c>
      <c r="E143" s="19" t="inlineStr"/>
      <c r="F143" s="18" t="inlineStr"/>
      <c r="G143" s="19" t="inlineStr"/>
      <c r="H143" s="18" t="inlineStr"/>
      <c r="I143" s="20" t="inlineStr">
        <is>
          <t>Sergio Nhuch</t>
        </is>
      </c>
      <c r="J143" s="20" t="inlineStr">
        <is>
          <t>Business Consultant</t>
        </is>
      </c>
      <c r="K143" s="20" t="inlineStr">
        <is>
          <t>(21) 3295-8800</t>
        </is>
      </c>
      <c r="L143" s="20" t="inlineStr">
        <is>
          <t>(21) 3295-2454</t>
        </is>
      </c>
      <c r="M143" s="20" t="inlineStr"/>
      <c r="N143" s="20" t="inlineStr"/>
      <c r="O143" s="20" t="inlineStr"/>
      <c r="P143" s="20" t="inlineStr"/>
      <c r="Q143" s="20" t="inlineStr"/>
      <c r="R143" s="20" t="inlineStr"/>
      <c r="S143" s="20" t="inlineStr"/>
      <c r="T143" s="21" t="n">
        <v>935547.55</v>
      </c>
      <c r="U143" s="22" t="inlineStr">
        <is>
          <t>B</t>
        </is>
      </c>
      <c r="V143" s="23">
        <f>IFERROR(VLOOKUP(U143,Assumptions!$A$7:$D$11,2,FALSE),0)</f>
        <v/>
      </c>
      <c r="W143" s="24">
        <f>MAX(0.5,IFERROR(VLOOKUP(U143,Assumptions!$A$7:$D$11,3,FALSE),3)+IFERROR(VLOOKUP(U143,Assumptions!$A$7:$D$11,4,FALSE),8)/2-IF(AN143="",0,YEAR(TODAY())-AN143))</f>
        <v/>
      </c>
      <c r="X143" s="21">
        <f>T143*V143/(1+Assumptions!$B$3)^W143</f>
        <v/>
      </c>
      <c r="Y143" s="25">
        <f>IF(T143=0,"",ROUND(X143/T143*100,1))</f>
        <v/>
      </c>
      <c r="Z143" s="26">
        <f>X143*Assumptions!$B$4</f>
        <v/>
      </c>
      <c r="AA143" s="25">
        <f>IF(T143=0,"",ROUND(Z143/T143*100,1))</f>
        <v/>
      </c>
      <c r="AB143" s="26">
        <f>X143-Z143</f>
        <v/>
      </c>
      <c r="AC143" s="25">
        <f>IF(T143=0,"",ROUND((X143-Z143)/T143*100,1))</f>
        <v/>
      </c>
      <c r="AD143" s="27" t="inlineStr">
        <is>
          <t>ESTIMATED</t>
        </is>
      </c>
      <c r="AE143" s="28" t="inlineStr">
        <is>
          <t>https://lrflideres.com.br/wp-content/plugins/download-attachments/includes/download.php?id=5589</t>
        </is>
      </c>
      <c r="AF143" s="27" t="inlineStr">
        <is>
          <t>p12 r1</t>
        </is>
      </c>
      <c r="AG143" s="27" t="inlineStr">
        <is>
          <t>p12: R$ 935.547,55</t>
        </is>
      </c>
      <c r="AH143" s="27" t="inlineStr">
        <is>
          <t>AJ_LIST</t>
        </is>
      </c>
      <c r="AI143" s="27" t="inlineStr">
        <is>
          <t>2023-11-27</t>
        </is>
      </c>
      <c r="AJ143" s="27" t="inlineStr">
        <is>
          <t>QUARANTINED</t>
        </is>
      </c>
      <c r="AK143" s="29" t="inlineStr">
        <is>
          <t>0011283-80.2023.8.17.2001</t>
        </is>
      </c>
      <c r="AL143" s="29" t="inlineStr">
        <is>
          <t>TJPE</t>
        </is>
      </c>
      <c r="AM143" s="29" t="inlineStr">
        <is>
          <t>ACTIVE</t>
        </is>
      </c>
      <c r="AN143" s="29" t="n">
        <v>2023</v>
      </c>
      <c r="AO143" s="29" t="inlineStr">
        <is>
          <t>live case, no plan document yet</t>
        </is>
      </c>
      <c r="AP143" s="29" t="inlineStr">
        <is>
          <t>RIO DE JANEIRO</t>
        </is>
      </c>
      <c r="AQ143" s="29" t="inlineStr">
        <is>
          <t>RJ</t>
        </is>
      </c>
      <c r="AR143" s="29" t="inlineStr">
        <is>
          <t>Outras atividades de publicidade não especificadas anteriormente</t>
        </is>
      </c>
      <c r="AS143" s="29" t="inlineStr">
        <is>
          <t>MICRO EMPRESA</t>
        </is>
      </c>
      <c r="AT143" s="29" t="inlineStr">
        <is>
          <t>SMALL</t>
        </is>
      </c>
      <c r="AU143" s="29" t="inlineStr">
        <is>
          <t>32184798</t>
        </is>
      </c>
      <c r="AV143" s="29" t="n">
        <v>1</v>
      </c>
      <c r="AW143" s="29" t="inlineStr">
        <is>
          <t>LONG_CHUNK PARTIAL_DOC_CLASS_III_RECONCILED ROWS:p12r1</t>
        </is>
      </c>
    </row>
    <row r="144">
      <c r="A144" s="15" t="inlineStr">
        <is>
          <t>ALPHA MOTION DO BRASIL LTDA</t>
        </is>
      </c>
      <c r="B144" s="16" t="n">
        <v>1059494.57</v>
      </c>
      <c r="C144" s="17" t="inlineStr"/>
      <c r="D144" s="18" t="inlineStr">
        <is>
          <t>NEW</t>
        </is>
      </c>
      <c r="E144" s="19" t="inlineStr"/>
      <c r="F144" s="18" t="inlineStr"/>
      <c r="G144" s="19" t="inlineStr"/>
      <c r="H144" s="18" t="inlineStr"/>
      <c r="I144" s="20" t="inlineStr">
        <is>
          <t>ANTONIO APARECIDO SERINI</t>
        </is>
      </c>
      <c r="J144" s="20" t="inlineStr">
        <is>
          <t>Sócio-Administrador</t>
        </is>
      </c>
      <c r="K144" s="20" t="inlineStr">
        <is>
          <t>(67) 3565-9100</t>
        </is>
      </c>
      <c r="L144" s="20" t="inlineStr"/>
      <c r="M144" s="20" t="inlineStr"/>
      <c r="N144" s="20" t="inlineStr"/>
      <c r="O144" s="20" t="inlineStr"/>
      <c r="P144" s="20" t="inlineStr"/>
      <c r="Q144" s="20" t="inlineStr"/>
      <c r="R144" s="20" t="inlineStr"/>
      <c r="S144" s="20" t="inlineStr"/>
      <c r="T144" s="21" t="n">
        <v>1059494.57</v>
      </c>
      <c r="U144" s="31" t="inlineStr">
        <is>
          <t>C</t>
        </is>
      </c>
      <c r="V144" s="23">
        <f>IFERROR(VLOOKUP(U144,Assumptions!$A$7:$D$11,2,FALSE),0)</f>
        <v/>
      </c>
      <c r="W144" s="24">
        <f>MAX(0.5,IFERROR(VLOOKUP(U144,Assumptions!$A$7:$D$11,3,FALSE),3)+IFERROR(VLOOKUP(U144,Assumptions!$A$7:$D$11,4,FALSE),8)/2-IF(AN144="",0,YEAR(TODAY())-AN144))</f>
        <v/>
      </c>
      <c r="X144" s="21">
        <f>T144*V144/(1+Assumptions!$B$3)^W144</f>
        <v/>
      </c>
      <c r="Y144" s="25">
        <f>IF(T144=0,"",ROUND(X144/T144*100,1))</f>
        <v/>
      </c>
      <c r="Z144" s="26">
        <f>X144*Assumptions!$B$4</f>
        <v/>
      </c>
      <c r="AA144" s="25">
        <f>IF(T144=0,"",ROUND(Z144/T144*100,1))</f>
        <v/>
      </c>
      <c r="AB144" s="26">
        <f>X144-Z144</f>
        <v/>
      </c>
      <c r="AC144" s="25">
        <f>IF(T144=0,"",ROUND((X144-Z144)/T144*100,1))</f>
        <v/>
      </c>
      <c r="AD144" s="27" t="inlineStr">
        <is>
          <t>UNKNOWN</t>
        </is>
      </c>
      <c r="AE144" s="28" t="inlineStr">
        <is>
          <t>https://administradorajudicialgs.com.br/wp-content/uploads/2024/12/relacao-de-credores-da-falida.pdf</t>
        </is>
      </c>
      <c r="AF144" s="27" t="inlineStr">
        <is>
          <t>p12 r42</t>
        </is>
      </c>
      <c r="AG144" s="27" t="inlineStr">
        <is>
          <t>p12: R$ 1.059.494,57</t>
        </is>
      </c>
      <c r="AH144" s="27" t="inlineStr">
        <is>
          <t>UNKNOWN</t>
        </is>
      </c>
      <c r="AI144" s="27" t="inlineStr">
        <is>
          <t>2025-03-25</t>
        </is>
      </c>
      <c r="AJ144" s="27" t="inlineStr">
        <is>
          <t>OK_NO_TOTALS</t>
        </is>
      </c>
      <c r="AK144" s="29" t="inlineStr">
        <is>
          <t>0005010-50.2013.8.24.0026</t>
        </is>
      </c>
      <c r="AL144" s="29" t="inlineStr">
        <is>
          <t>TJ</t>
        </is>
      </c>
      <c r="AM144" s="29" t="inlineStr"/>
      <c r="AN144" s="29" t="n">
        <v>2013</v>
      </c>
      <c r="AO144" s="29" t="inlineStr">
        <is>
          <t>13y since filing, no plan document</t>
        </is>
      </c>
      <c r="AP144" s="29" t="inlineStr">
        <is>
          <t>APARECIDA DO TABOADO</t>
        </is>
      </c>
      <c r="AQ144" s="29" t="inlineStr">
        <is>
          <t>MS</t>
        </is>
      </c>
      <c r="AR144" s="29" t="inlineStr">
        <is>
          <t>Fabricação de móveis com predominância de metal</t>
        </is>
      </c>
      <c r="AS144" s="29" t="inlineStr">
        <is>
          <t>DEMAIS</t>
        </is>
      </c>
      <c r="AT144" s="29" t="inlineStr">
        <is>
          <t>MID-MARKET</t>
        </is>
      </c>
      <c r="AU144" s="29" t="inlineStr">
        <is>
          <t>04547784</t>
        </is>
      </c>
      <c r="AV144" s="29" t="n">
        <v>1</v>
      </c>
      <c r="AW144" s="29" t="inlineStr">
        <is>
          <t>ROWS:p12r42 UNRECONCILED_SOURCE</t>
        </is>
      </c>
    </row>
    <row r="145">
      <c r="A145" s="15" t="inlineStr">
        <is>
          <t>GFE EQUIPAMENTOS ELETRICOS LTDA</t>
        </is>
      </c>
      <c r="B145" s="16" t="n">
        <v>1054854.54</v>
      </c>
      <c r="C145" s="17" t="inlineStr"/>
      <c r="D145" s="18" t="inlineStr">
        <is>
          <t>NEW</t>
        </is>
      </c>
      <c r="E145" s="19" t="inlineStr"/>
      <c r="F145" s="18" t="inlineStr"/>
      <c r="G145" s="19" t="inlineStr"/>
      <c r="H145" s="18" t="inlineStr"/>
      <c r="I145" s="20" t="inlineStr">
        <is>
          <t>OSCAR LIBERATO MARTINS FILHO</t>
        </is>
      </c>
      <c r="J145" s="20" t="inlineStr">
        <is>
          <t>Sócio-Administrador</t>
        </is>
      </c>
      <c r="K145" s="20" t="inlineStr">
        <is>
          <t>(47) 3039-9330</t>
        </is>
      </c>
      <c r="L145" s="20" t="inlineStr"/>
      <c r="M145" s="20" t="inlineStr"/>
      <c r="N145" s="20" t="inlineStr"/>
      <c r="O145" s="20" t="inlineStr"/>
      <c r="P145" s="20" t="inlineStr"/>
      <c r="Q145" s="20" t="inlineStr"/>
      <c r="R145" s="20" t="inlineStr"/>
      <c r="S145" s="20" t="inlineStr"/>
      <c r="T145" s="21" t="n">
        <v>1054854.54</v>
      </c>
      <c r="U145" s="31" t="inlineStr">
        <is>
          <t>C</t>
        </is>
      </c>
      <c r="V145" s="23">
        <f>IFERROR(VLOOKUP(U145,Assumptions!$A$7:$D$11,2,FALSE),0)</f>
        <v/>
      </c>
      <c r="W145" s="24">
        <f>MAX(0.5,IFERROR(VLOOKUP(U145,Assumptions!$A$7:$D$11,3,FALSE),3)+IFERROR(VLOOKUP(U145,Assumptions!$A$7:$D$11,4,FALSE),8)/2-IF(AN145="",0,YEAR(TODAY())-AN145))</f>
        <v/>
      </c>
      <c r="X145" s="21">
        <f>T145*V145/(1+Assumptions!$B$3)^W145</f>
        <v/>
      </c>
      <c r="Y145" s="25">
        <f>IF(T145=0,"",ROUND(X145/T145*100,1))</f>
        <v/>
      </c>
      <c r="Z145" s="26">
        <f>X145*Assumptions!$B$4</f>
        <v/>
      </c>
      <c r="AA145" s="25">
        <f>IF(T145=0,"",ROUND(Z145/T145*100,1))</f>
        <v/>
      </c>
      <c r="AB145" s="26">
        <f>X145-Z145</f>
        <v/>
      </c>
      <c r="AC145" s="25">
        <f>IF(T145=0,"",ROUND((X145-Z145)/T145*100,1))</f>
        <v/>
      </c>
      <c r="AD145" s="27" t="inlineStr">
        <is>
          <t>UNKNOWN</t>
        </is>
      </c>
      <c r="AE145" s="28" t="inlineStr">
        <is>
          <t>https://administradorajudicialgs.com.br/wp-content/uploads/2023/08/advogados-sgrott-doc-22-relacao-de-credores-do-administrador-judicial-classe-iii-05-02-14.pdf</t>
        </is>
      </c>
      <c r="AF145" s="27" t="inlineStr">
        <is>
          <t>p3 r8</t>
        </is>
      </c>
      <c r="AG145" s="27" t="inlineStr">
        <is>
          <t>p3: R$ 1.054.854,54</t>
        </is>
      </c>
      <c r="AH145" s="27" t="inlineStr">
        <is>
          <t>UNKNOWN</t>
        </is>
      </c>
      <c r="AI145" s="27" t="inlineStr"/>
      <c r="AJ145" s="27" t="inlineStr">
        <is>
          <t>OK</t>
        </is>
      </c>
      <c r="AK145" s="29" t="inlineStr">
        <is>
          <t>0022845-08.2013.8.24.0008</t>
        </is>
      </c>
      <c r="AL145" s="29" t="inlineStr">
        <is>
          <t>TJ</t>
        </is>
      </c>
      <c r="AM145" s="29" t="inlineStr"/>
      <c r="AN145" s="29" t="n">
        <v>2013</v>
      </c>
      <c r="AO145" s="29" t="inlineStr">
        <is>
          <t>13y since filing, no plan document</t>
        </is>
      </c>
      <c r="AP145" s="29" t="inlineStr">
        <is>
          <t>INDAIAL</t>
        </is>
      </c>
      <c r="AQ145" s="29" t="inlineStr">
        <is>
          <t>SC</t>
        </is>
      </c>
      <c r="AR145" s="29" t="inlineStr">
        <is>
          <t>Fabricação de transformadores, indutores, conversores, sincronizadores e semelhantes, peças e acessórios</t>
        </is>
      </c>
      <c r="AS145" s="29" t="inlineStr">
        <is>
          <t>EMPRESA DE PEQUENO PORTE</t>
        </is>
      </c>
      <c r="AT145" s="29" t="inlineStr">
        <is>
          <t>SMALL</t>
        </is>
      </c>
      <c r="AU145" s="29" t="inlineStr">
        <is>
          <t>04756153</t>
        </is>
      </c>
      <c r="AV145" s="29" t="n">
        <v>1</v>
      </c>
      <c r="AW145" s="29" t="inlineStr">
        <is>
          <t>ROWS:p3r8</t>
        </is>
      </c>
    </row>
    <row r="146">
      <c r="A146" s="15" t="inlineStr">
        <is>
          <t>MAXLIFT LOCADORA DE EQUIPAMENTOS LTDA.</t>
        </is>
      </c>
      <c r="B146" s="16" t="n">
        <v>2680302.42</v>
      </c>
      <c r="C146" s="17" t="inlineStr">
        <is>
          <t>EGESA ENGENHARIA S/A (Consórcio ETDI)</t>
        </is>
      </c>
      <c r="D146" s="18" t="inlineStr">
        <is>
          <t>NEW</t>
        </is>
      </c>
      <c r="E146" s="19" t="inlineStr"/>
      <c r="F146" s="18" t="inlineStr"/>
      <c r="G146" s="19" t="inlineStr"/>
      <c r="H146" s="18" t="inlineStr"/>
      <c r="I146" s="20" t="inlineStr">
        <is>
          <t>Vander Bartolomeu</t>
        </is>
      </c>
      <c r="J146" s="20" t="inlineStr">
        <is>
          <t>Operational Manager</t>
        </is>
      </c>
      <c r="K146" s="20" t="inlineStr">
        <is>
          <t>(11) 4191-4480</t>
        </is>
      </c>
      <c r="L146" s="20" t="inlineStr">
        <is>
          <t>(11) 4152-2907</t>
        </is>
      </c>
      <c r="M146" s="20" t="inlineStr"/>
      <c r="N146" s="20" t="inlineStr"/>
      <c r="O146" s="20" t="inlineStr">
        <is>
          <t>marcos@maxlift.com.br</t>
        </is>
      </c>
      <c r="P146" s="20" t="inlineStr">
        <is>
          <t>Marcos Silva</t>
        </is>
      </c>
      <c r="Q146" s="20" t="inlineStr">
        <is>
          <t>Sales Department</t>
        </is>
      </c>
      <c r="R146" s="20" t="inlineStr"/>
      <c r="S146" s="20" t="inlineStr">
        <is>
          <t>marcos@maxlift.com.br</t>
        </is>
      </c>
      <c r="T146" s="21" t="n">
        <v>2680302.42</v>
      </c>
      <c r="U146" s="30" t="inlineStr">
        <is>
          <t>?</t>
        </is>
      </c>
      <c r="V146" s="23">
        <f>IFERROR(VLOOKUP(U146,Assumptions!$A$7:$D$11,2,FALSE),0)</f>
        <v/>
      </c>
      <c r="W146" s="24">
        <f>MAX(0.5,IFERROR(VLOOKUP(U146,Assumptions!$A$7:$D$11,3,FALSE),3)+IFERROR(VLOOKUP(U146,Assumptions!$A$7:$D$11,4,FALSE),8)/2-IF(AN146="",0,YEAR(TODAY())-AN146))</f>
        <v/>
      </c>
      <c r="X146" s="21">
        <f>T146*V146/(1+Assumptions!$B$3)^W146</f>
        <v/>
      </c>
      <c r="Y146" s="25">
        <f>IF(T146=0,"",ROUND(X146/T146*100,1))</f>
        <v/>
      </c>
      <c r="Z146" s="26">
        <f>X146*Assumptions!$B$4</f>
        <v/>
      </c>
      <c r="AA146" s="25">
        <f>IF(T146=0,"",ROUND(Z146/T146*100,1))</f>
        <v/>
      </c>
      <c r="AB146" s="26">
        <f>X146-Z146</f>
        <v/>
      </c>
      <c r="AC146" s="25">
        <f>IF(T146=0,"",ROUND((X146-Z146)/T146*100,1))</f>
        <v/>
      </c>
      <c r="AD146" s="27" t="inlineStr">
        <is>
          <t>UNKNOWN</t>
        </is>
      </c>
      <c r="AE146" s="28" t="inlineStr">
        <is>
          <t>https://scalzilliaj.com.br/sgc/download.php?file=files/processo_documento/processo_documento09514021082025_1_.pdf&amp;nome=04 - Relação de credores das Recuperandas</t>
        </is>
      </c>
      <c r="AF146" s="27" t="inlineStr">
        <is>
          <t>p69 r16</t>
        </is>
      </c>
      <c r="AG146" s="27" t="inlineStr">
        <is>
          <t>p69: R$ 2.680.302,42</t>
        </is>
      </c>
      <c r="AH146" s="27" t="inlineStr">
        <is>
          <t>DEBTOR_LIST</t>
        </is>
      </c>
      <c r="AI146" s="27" t="inlineStr"/>
      <c r="AJ146" s="27" t="inlineStr">
        <is>
          <t>OK</t>
        </is>
      </c>
      <c r="AK146" s="29" t="inlineStr">
        <is>
          <t>(not printed)</t>
        </is>
      </c>
      <c r="AL146" s="29" t="inlineStr"/>
      <c r="AM146" s="29" t="inlineStr"/>
      <c r="AN146" s="29" t="inlineStr"/>
      <c r="AO146" s="29" t="inlineStr">
        <is>
          <t>RJ case number not identified on the document</t>
        </is>
      </c>
      <c r="AP146" s="29" t="inlineStr">
        <is>
          <t>SAO PAULO</t>
        </is>
      </c>
      <c r="AQ146" s="29" t="inlineStr">
        <is>
          <t>SP</t>
        </is>
      </c>
      <c r="AR146" s="29" t="inlineStr">
        <is>
          <t>Aluguel de outras máquinas e equipamentos comerciais e industriais não especificados anteriormente, sem operador</t>
        </is>
      </c>
      <c r="AS146" s="29" t="inlineStr">
        <is>
          <t>DEMAIS</t>
        </is>
      </c>
      <c r="AT146" s="29" t="inlineStr">
        <is>
          <t>MID-MARKET</t>
        </is>
      </c>
      <c r="AU146" s="29" t="inlineStr">
        <is>
          <t>08992890</t>
        </is>
      </c>
      <c r="AV146" s="29" t="n">
        <v>1</v>
      </c>
      <c r="AW146" s="29" t="inlineStr">
        <is>
          <t>ROWS:p69r16 VALUE_COL:Valor_Atualizado CASE_NUMBER_CORRECTED</t>
        </is>
      </c>
    </row>
    <row r="147">
      <c r="A147" s="15" t="inlineStr">
        <is>
          <t>FMC QUIMICA DO BRASIL LTDA.</t>
        </is>
      </c>
      <c r="B147" s="16" t="n">
        <v>1785400</v>
      </c>
      <c r="C147" s="17" t="inlineStr"/>
      <c r="D147" s="18" t="inlineStr">
        <is>
          <t>NEW</t>
        </is>
      </c>
      <c r="E147" s="19" t="inlineStr"/>
      <c r="F147" s="18" t="inlineStr"/>
      <c r="G147" s="19" t="inlineStr"/>
      <c r="H147" s="18" t="inlineStr"/>
      <c r="I147" s="20" t="inlineStr">
        <is>
          <t>Vivian Faria</t>
        </is>
      </c>
      <c r="J147" s="20" t="inlineStr">
        <is>
          <t>Treasury</t>
        </is>
      </c>
      <c r="K147" s="20" t="inlineStr">
        <is>
          <t>(19) 2042-4500</t>
        </is>
      </c>
      <c r="L147" s="20" t="inlineStr"/>
      <c r="M147" s="20" t="inlineStr"/>
      <c r="N147" s="20" t="inlineStr"/>
      <c r="O147" s="20" t="inlineStr"/>
      <c r="P147" s="20" t="inlineStr">
        <is>
          <t>MARIA DE LOURDES SETTEN FUSTAINO</t>
        </is>
      </c>
      <c r="Q147" s="20" t="inlineStr">
        <is>
          <t>Administrador</t>
        </is>
      </c>
      <c r="R147" s="20" t="inlineStr">
        <is>
          <t>(19) 2042-4500</t>
        </is>
      </c>
      <c r="S147" s="20" t="inlineStr"/>
      <c r="T147" s="21" t="n">
        <v>1785400</v>
      </c>
      <c r="U147" s="22" t="inlineStr">
        <is>
          <t>B</t>
        </is>
      </c>
      <c r="V147" s="23">
        <f>IFERROR(VLOOKUP(U147,Assumptions!$A$7:$D$11,2,FALSE),0)</f>
        <v/>
      </c>
      <c r="W147" s="24">
        <f>MAX(0.5,IFERROR(VLOOKUP(U147,Assumptions!$A$7:$D$11,3,FALSE),3)+IFERROR(VLOOKUP(U147,Assumptions!$A$7:$D$11,4,FALSE),8)/2-IF(AN147="",0,YEAR(TODAY())-AN147))</f>
        <v/>
      </c>
      <c r="X147" s="21">
        <f>T147*V147/(1+Assumptions!$B$3)^W147</f>
        <v/>
      </c>
      <c r="Y147" s="25">
        <f>IF(T147=0,"",ROUND(X147/T147*100,1))</f>
        <v/>
      </c>
      <c r="Z147" s="26">
        <f>X147*Assumptions!$B$4</f>
        <v/>
      </c>
      <c r="AA147" s="25">
        <f>IF(T147=0,"",ROUND(Z147/T147*100,1))</f>
        <v/>
      </c>
      <c r="AB147" s="26">
        <f>X147-Z147</f>
        <v/>
      </c>
      <c r="AC147" s="25">
        <f>IF(T147=0,"",ROUND((X147-Z147)/T147*100,1))</f>
        <v/>
      </c>
      <c r="AD147" s="27" t="inlineStr">
        <is>
          <t>ESTIMATED</t>
        </is>
      </c>
      <c r="AE147" s="28" t="inlineStr">
        <is>
          <t>https://scalzilliaj.com.br/sgc/download.php?file=files/processo_documento/processo_documento11421222052026_1_.pdf&amp;nome=08. Lista de credores do edital do art. 52, §1º da LREF</t>
        </is>
      </c>
      <c r="AF147" s="27" t="inlineStr">
        <is>
          <t>p3 r10</t>
        </is>
      </c>
      <c r="AG147" s="27" t="inlineStr">
        <is>
          <t>p3: R$ 1.785.400,00</t>
        </is>
      </c>
      <c r="AH147" s="27" t="inlineStr">
        <is>
          <t>UNKNOWN</t>
        </is>
      </c>
      <c r="AI147" s="27" t="inlineStr"/>
      <c r="AJ147" s="27" t="inlineStr">
        <is>
          <t>OK_NO_TOTALS</t>
        </is>
      </c>
      <c r="AK147" s="29" t="inlineStr">
        <is>
          <t>5011369-81.2026.8.09.0093</t>
        </is>
      </c>
      <c r="AL147" s="29" t="inlineStr">
        <is>
          <t>TJGO</t>
        </is>
      </c>
      <c r="AM147" s="29" t="inlineStr">
        <is>
          <t>ACTIVE</t>
        </is>
      </c>
      <c r="AN147" s="29" t="n">
        <v>2026</v>
      </c>
      <c r="AO147" s="29" t="inlineStr">
        <is>
          <t>live case, no plan document yet</t>
        </is>
      </c>
      <c r="AP147" s="29" t="inlineStr">
        <is>
          <t>CAMPINAS</t>
        </is>
      </c>
      <c r="AQ147" s="29" t="inlineStr">
        <is>
          <t>SP</t>
        </is>
      </c>
      <c r="AR147" s="29" t="inlineStr">
        <is>
          <t>Comércio atacadista de alimentos para animais</t>
        </is>
      </c>
      <c r="AS147" s="29" t="inlineStr">
        <is>
          <t>DEMAIS</t>
        </is>
      </c>
      <c r="AT147" s="29" t="inlineStr">
        <is>
          <t>LARGE CORP</t>
        </is>
      </c>
      <c r="AU147" s="29" t="inlineStr">
        <is>
          <t>04136367</t>
        </is>
      </c>
      <c r="AV147" s="29" t="n">
        <v>1</v>
      </c>
      <c r="AW147" s="29" t="inlineStr">
        <is>
          <t>ROWS:p3r10 UNRECONCILED_SOURCE</t>
        </is>
      </c>
    </row>
    <row r="148">
      <c r="A148" s="15" t="inlineStr">
        <is>
          <t>IMPROTEC COMERCIO DE MATERIAL CIRURGICO SA</t>
        </is>
      </c>
      <c r="B148" s="16" t="n">
        <v>730000</v>
      </c>
      <c r="C148" s="17" t="inlineStr">
        <is>
          <t>ASSOCIACAO DE CARIDADE SANTA CASA DE RIO GRANDE</t>
        </is>
      </c>
      <c r="D148" s="18" t="inlineStr">
        <is>
          <t>NEW</t>
        </is>
      </c>
      <c r="E148" s="19" t="inlineStr"/>
      <c r="F148" s="18" t="inlineStr"/>
      <c r="G148" s="19" t="inlineStr"/>
      <c r="H148" s="18" t="inlineStr"/>
      <c r="I148" s="20" t="inlineStr">
        <is>
          <t>FRANCISCO JOSE DAMBROS</t>
        </is>
      </c>
      <c r="J148" s="20" t="inlineStr">
        <is>
          <t>Diretor</t>
        </is>
      </c>
      <c r="K148" s="20" t="inlineStr">
        <is>
          <t>(51) 3361-4560</t>
        </is>
      </c>
      <c r="L148" s="20" t="inlineStr"/>
      <c r="M148" s="20" t="inlineStr"/>
      <c r="N148" s="20" t="inlineStr"/>
      <c r="O148" s="20" t="inlineStr"/>
      <c r="P148" s="20" t="inlineStr"/>
      <c r="Q148" s="20" t="inlineStr"/>
      <c r="R148" s="20" t="inlineStr"/>
      <c r="S148" s="20" t="inlineStr"/>
      <c r="T148" s="21" t="n">
        <v>730000</v>
      </c>
      <c r="U148" s="22" t="inlineStr">
        <is>
          <t>B</t>
        </is>
      </c>
      <c r="V148" s="23">
        <f>IFERROR(VLOOKUP(U148,Assumptions!$A$7:$D$11,2,FALSE),0)</f>
        <v/>
      </c>
      <c r="W148" s="24">
        <f>MAX(0.5,IFERROR(VLOOKUP(U148,Assumptions!$A$7:$D$11,3,FALSE),3)+IFERROR(VLOOKUP(U148,Assumptions!$A$7:$D$11,4,FALSE),8)/2-IF(AN148="",0,YEAR(TODAY())-AN148))</f>
        <v/>
      </c>
      <c r="X148" s="21">
        <f>T148*V148/(1+Assumptions!$B$3)^W148</f>
        <v/>
      </c>
      <c r="Y148" s="25">
        <f>IF(T148=0,"",ROUND(X148/T148*100,1))</f>
        <v/>
      </c>
      <c r="Z148" s="26">
        <f>X148*Assumptions!$B$4</f>
        <v/>
      </c>
      <c r="AA148" s="25">
        <f>IF(T148=0,"",ROUND(Z148/T148*100,1))</f>
        <v/>
      </c>
      <c r="AB148" s="26">
        <f>X148-Z148</f>
        <v/>
      </c>
      <c r="AC148" s="25">
        <f>IF(T148=0,"",ROUND((X148-Z148)/T148*100,1))</f>
        <v/>
      </c>
      <c r="AD148" s="27" t="inlineStr">
        <is>
          <t>ESTIMATED</t>
        </is>
      </c>
      <c r="AE148" s="28" t="inlineStr">
        <is>
          <t>https://scalzilliaj.com.br/sgc/download.php?file=files/processo_documento/processo_documento09120721032023_1_.pdf&amp;nome=15 - Edital do art. 7º, §2º e 53 da Lei 11.101/2005 (segunda lista de credores e recebimento do plano))</t>
        </is>
      </c>
      <c r="AF148" s="27" t="inlineStr">
        <is>
          <t>p27 r55</t>
        </is>
      </c>
      <c r="AG148" s="27" t="inlineStr">
        <is>
          <t>p27: R$ 730.000,00</t>
        </is>
      </c>
      <c r="AH148" s="27" t="inlineStr">
        <is>
          <t>AJ_LIST</t>
        </is>
      </c>
      <c r="AI148" s="27" t="inlineStr">
        <is>
          <t>2023-03-21</t>
        </is>
      </c>
      <c r="AJ148" s="27" t="inlineStr">
        <is>
          <t>OK_NO_TOTALS</t>
        </is>
      </c>
      <c r="AK148" s="29" t="inlineStr">
        <is>
          <t>5012306-16.2022.8.21.0023</t>
        </is>
      </c>
      <c r="AL148" s="29" t="inlineStr">
        <is>
          <t>TJRS</t>
        </is>
      </c>
      <c r="AM148" s="29" t="inlineStr">
        <is>
          <t>ACTIVE</t>
        </is>
      </c>
      <c r="AN148" s="29" t="n">
        <v>2022</v>
      </c>
      <c r="AO148" s="29" t="inlineStr">
        <is>
          <t>live case, no plan document yet</t>
        </is>
      </c>
      <c r="AP148" s="29" t="inlineStr">
        <is>
          <t>PORTO ALEGRE</t>
        </is>
      </c>
      <c r="AQ148" s="29" t="inlineStr">
        <is>
          <t>RS</t>
        </is>
      </c>
      <c r="AR148" s="29" t="inlineStr">
        <is>
          <t>Comércio atacadista de instrumentos e materiais para uso médico, cirúrgico, hospitalar e de laboratórios</t>
        </is>
      </c>
      <c r="AS148" s="29" t="inlineStr">
        <is>
          <t>DEMAIS</t>
        </is>
      </c>
      <c r="AT148" s="29" t="inlineStr">
        <is>
          <t>MID-MARKET</t>
        </is>
      </c>
      <c r="AU148" s="29" t="inlineStr">
        <is>
          <t>94868742</t>
        </is>
      </c>
      <c r="AV148" s="29" t="n">
        <v>1</v>
      </c>
      <c r="AW148" s="29" t="inlineStr">
        <is>
          <t>ROWS:p27r55 UNRECONCILED_SOURCE</t>
        </is>
      </c>
    </row>
    <row r="149">
      <c r="A149" s="15" t="inlineStr">
        <is>
          <t>GALVANI ENGENHARIA E PARTICIPACOES LTDA</t>
        </is>
      </c>
      <c r="B149" s="16" t="n">
        <v>2654550.86</v>
      </c>
      <c r="C149" s="17" t="inlineStr">
        <is>
          <t>EGESA ENGENHARIA S/A (Consórcio ETDI)</t>
        </is>
      </c>
      <c r="D149" s="18" t="inlineStr">
        <is>
          <t>NEW</t>
        </is>
      </c>
      <c r="E149" s="19" t="inlineStr"/>
      <c r="F149" s="18" t="inlineStr"/>
      <c r="G149" s="19" t="inlineStr"/>
      <c r="H149" s="18" t="inlineStr"/>
      <c r="I149" s="20" t="inlineStr">
        <is>
          <t>Graciela Anastacio</t>
        </is>
      </c>
      <c r="J149" s="20" t="inlineStr">
        <is>
          <t>Financial Coordinator</t>
        </is>
      </c>
      <c r="K149" s="20" t="inlineStr">
        <is>
          <t>(19) 3844-9900</t>
        </is>
      </c>
      <c r="L149" s="20" t="inlineStr">
        <is>
          <t>(19) 3844-9667</t>
        </is>
      </c>
      <c r="M149" s="20" t="inlineStr"/>
      <c r="N149" s="20" t="inlineStr">
        <is>
          <t>ganastacio@galvaniengenharia.com.br</t>
        </is>
      </c>
      <c r="O149" s="20" t="inlineStr">
        <is>
          <t>dfsilva@galvaniengenharia.com.br</t>
        </is>
      </c>
      <c r="P149" s="20" t="inlineStr">
        <is>
          <t>Daiane Silva</t>
        </is>
      </c>
      <c r="Q149" s="20" t="inlineStr">
        <is>
          <t>Analista Financeiro FP &amp; A</t>
        </is>
      </c>
      <c r="R149" s="20" t="inlineStr"/>
      <c r="S149" s="20" t="inlineStr">
        <is>
          <t>dfsilva@galvaniengenharia.com.br</t>
        </is>
      </c>
      <c r="T149" s="21" t="n">
        <v>2654550.86</v>
      </c>
      <c r="U149" s="30" t="inlineStr">
        <is>
          <t>?</t>
        </is>
      </c>
      <c r="V149" s="23">
        <f>IFERROR(VLOOKUP(U149,Assumptions!$A$7:$D$11,2,FALSE),0)</f>
        <v/>
      </c>
      <c r="W149" s="24">
        <f>MAX(0.5,IFERROR(VLOOKUP(U149,Assumptions!$A$7:$D$11,3,FALSE),3)+IFERROR(VLOOKUP(U149,Assumptions!$A$7:$D$11,4,FALSE),8)/2-IF(AN149="",0,YEAR(TODAY())-AN149))</f>
        <v/>
      </c>
      <c r="X149" s="21">
        <f>T149*V149/(1+Assumptions!$B$3)^W149</f>
        <v/>
      </c>
      <c r="Y149" s="25">
        <f>IF(T149=0,"",ROUND(X149/T149*100,1))</f>
        <v/>
      </c>
      <c r="Z149" s="26">
        <f>X149*Assumptions!$B$4</f>
        <v/>
      </c>
      <c r="AA149" s="25">
        <f>IF(T149=0,"",ROUND(Z149/T149*100,1))</f>
        <v/>
      </c>
      <c r="AB149" s="26">
        <f>X149-Z149</f>
        <v/>
      </c>
      <c r="AC149" s="25">
        <f>IF(T149=0,"",ROUND((X149-Z149)/T149*100,1))</f>
        <v/>
      </c>
      <c r="AD149" s="27" t="inlineStr">
        <is>
          <t>UNKNOWN</t>
        </is>
      </c>
      <c r="AE149" s="28" t="inlineStr">
        <is>
          <t>https://scalzilliaj.com.br/sgc/download.php?file=files/processo_documento/processo_documento09514021082025_1_.pdf&amp;nome=04 - Relação de credores das Recuperandas</t>
        </is>
      </c>
      <c r="AF149" s="27" t="inlineStr">
        <is>
          <t>p67 r2; p67 r3</t>
        </is>
      </c>
      <c r="AG149" s="27" t="inlineStr">
        <is>
          <t>p67: R$ 2.209.334,79; p67: R$ 445.216,07</t>
        </is>
      </c>
      <c r="AH149" s="27" t="inlineStr">
        <is>
          <t>DEBTOR_LIST</t>
        </is>
      </c>
      <c r="AI149" s="27" t="inlineStr"/>
      <c r="AJ149" s="27" t="inlineStr">
        <is>
          <t>OK</t>
        </is>
      </c>
      <c r="AK149" s="29" t="inlineStr">
        <is>
          <t>(not printed)</t>
        </is>
      </c>
      <c r="AL149" s="29" t="inlineStr"/>
      <c r="AM149" s="29" t="inlineStr"/>
      <c r="AN149" s="29" t="inlineStr"/>
      <c r="AO149" s="29" t="inlineStr">
        <is>
          <t>RJ case number not identified on the document</t>
        </is>
      </c>
      <c r="AP149" s="29" t="inlineStr">
        <is>
          <t>PAULINIA</t>
        </is>
      </c>
      <c r="AQ149" s="29" t="inlineStr">
        <is>
          <t>SP</t>
        </is>
      </c>
      <c r="AR149" s="29" t="inlineStr">
        <is>
          <t>Obras de urbanização - ruas, praças e calçadas</t>
        </is>
      </c>
      <c r="AS149" s="29" t="inlineStr">
        <is>
          <t>DEMAIS</t>
        </is>
      </c>
      <c r="AT149" s="29" t="inlineStr">
        <is>
          <t>MID-MARKET</t>
        </is>
      </c>
      <c r="AU149" s="29" t="inlineStr">
        <is>
          <t>09422727</t>
        </is>
      </c>
      <c r="AV149" s="29" t="n">
        <v>2</v>
      </c>
      <c r="AW149" s="29" t="inlineStr">
        <is>
          <t>ROWS:p67r2,p67r3 VALUE_COL:Valor_Atualizado CASE_NUMBER_CORRECTED</t>
        </is>
      </c>
    </row>
    <row r="150">
      <c r="A150" s="15" t="inlineStr">
        <is>
          <t>SH INDUSTRIA TEXTIL LTDA.</t>
        </is>
      </c>
      <c r="B150" s="16" t="n">
        <v>723908</v>
      </c>
      <c r="C150" s="17" t="inlineStr">
        <is>
          <t>R W CONSTRUCOES LTDA</t>
        </is>
      </c>
      <c r="D150" s="18" t="inlineStr">
        <is>
          <t>NEW</t>
        </is>
      </c>
      <c r="E150" s="19" t="inlineStr"/>
      <c r="F150" s="18" t="inlineStr"/>
      <c r="G150" s="19" t="inlineStr"/>
      <c r="H150" s="18" t="inlineStr"/>
      <c r="I150" s="20" t="inlineStr">
        <is>
          <t>IVANILDE CRISTINA DE PAULA HAMMES</t>
        </is>
      </c>
      <c r="J150" s="20" t="inlineStr">
        <is>
          <t>Sócio-Administrador</t>
        </is>
      </c>
      <c r="K150" s="20" t="inlineStr">
        <is>
          <t>(24) 2103-9003</t>
        </is>
      </c>
      <c r="L150" s="20" t="inlineStr"/>
      <c r="M150" s="20" t="inlineStr"/>
      <c r="N150" s="20" t="inlineStr"/>
      <c r="O150" s="20" t="inlineStr"/>
      <c r="P150" s="20" t="inlineStr">
        <is>
          <t>MARLAN SCHERER HAMMES</t>
        </is>
      </c>
      <c r="Q150" s="20" t="inlineStr">
        <is>
          <t>Sócio-Administrador</t>
        </is>
      </c>
      <c r="R150" s="20" t="inlineStr">
        <is>
          <t>(24) 2103-9003</t>
        </is>
      </c>
      <c r="S150" s="20" t="inlineStr"/>
      <c r="T150" s="21" t="n">
        <v>723908</v>
      </c>
      <c r="U150" s="22" t="inlineStr">
        <is>
          <t>B</t>
        </is>
      </c>
      <c r="V150" s="23">
        <f>IFERROR(VLOOKUP(U150,Assumptions!$A$7:$D$11,2,FALSE),0)</f>
        <v/>
      </c>
      <c r="W150" s="24">
        <f>MAX(0.5,IFERROR(VLOOKUP(U150,Assumptions!$A$7:$D$11,3,FALSE),3)+IFERROR(VLOOKUP(U150,Assumptions!$A$7:$D$11,4,FALSE),8)/2-IF(AN150="",0,YEAR(TODAY())-AN150))</f>
        <v/>
      </c>
      <c r="X150" s="21">
        <f>T150*V150/(1+Assumptions!$B$3)^W150</f>
        <v/>
      </c>
      <c r="Y150" s="25">
        <f>IF(T150=0,"",ROUND(X150/T150*100,1))</f>
        <v/>
      </c>
      <c r="Z150" s="26">
        <f>X150*Assumptions!$B$4</f>
        <v/>
      </c>
      <c r="AA150" s="25">
        <f>IF(T150=0,"",ROUND(Z150/T150*100,1))</f>
        <v/>
      </c>
      <c r="AB150" s="26">
        <f>X150-Z150</f>
        <v/>
      </c>
      <c r="AC150" s="25">
        <f>IF(T150=0,"",ROUND((X150-Z150)/T150*100,1))</f>
        <v/>
      </c>
      <c r="AD150" s="27" t="inlineStr">
        <is>
          <t>ESTIMATED</t>
        </is>
      </c>
      <c r="AE150" s="28" t="inlineStr">
        <is>
          <t>https://lrflideres.com.br/wp-content/plugins/download-attachments/includes/download.php?id=4023</t>
        </is>
      </c>
      <c r="AF150" s="27" t="inlineStr">
        <is>
          <t>p4 r91</t>
        </is>
      </c>
      <c r="AG150" s="27" t="inlineStr">
        <is>
          <t>p4: R$ 723.908,00</t>
        </is>
      </c>
      <c r="AH150" s="27" t="inlineStr">
        <is>
          <t>DEBTOR_LIST</t>
        </is>
      </c>
      <c r="AI150" s="27" t="inlineStr"/>
      <c r="AJ150" s="27" t="inlineStr">
        <is>
          <t>QUARANTINED</t>
        </is>
      </c>
      <c r="AK150" s="29" t="inlineStr">
        <is>
          <t>0002484-82.2022.8.17.2001</t>
        </is>
      </c>
      <c r="AL150" s="29" t="inlineStr">
        <is>
          <t>TJPE</t>
        </is>
      </c>
      <c r="AM150" s="29" t="inlineStr">
        <is>
          <t>ACTIVE</t>
        </is>
      </c>
      <c r="AN150" s="29" t="n">
        <v>2022</v>
      </c>
      <c r="AO150" s="29" t="inlineStr">
        <is>
          <t>live case, no plan document yet</t>
        </is>
      </c>
      <c r="AP150" s="29" t="inlineStr">
        <is>
          <t>PETROPOLIS</t>
        </is>
      </c>
      <c r="AQ150" s="29" t="inlineStr">
        <is>
          <t>RJ</t>
        </is>
      </c>
      <c r="AR150" s="29" t="inlineStr">
        <is>
          <t>Fabricação de tecidos de malha</t>
        </is>
      </c>
      <c r="AS150" s="29" t="inlineStr">
        <is>
          <t>DEMAIS</t>
        </is>
      </c>
      <c r="AT150" s="29" t="inlineStr">
        <is>
          <t>MID-MARKET</t>
        </is>
      </c>
      <c r="AU150" s="29" t="inlineStr">
        <is>
          <t>07790530</t>
        </is>
      </c>
      <c r="AV150" s="29" t="n">
        <v>1</v>
      </c>
      <c r="AW150" s="29" t="inlineStr">
        <is>
          <t>PARTIAL_DOC_CLASS_III_RECONCILED ROWS:p4r91</t>
        </is>
      </c>
    </row>
    <row r="151">
      <c r="A151" s="15" t="inlineStr">
        <is>
          <t>HOHL MAQUINAS AGRICOLAS LTDA</t>
        </is>
      </c>
      <c r="B151" s="16" t="n">
        <v>1324133.99</v>
      </c>
      <c r="C151" s="17" t="inlineStr">
        <is>
          <t>COMERCIO RACOES BEM BOM LTDA</t>
        </is>
      </c>
      <c r="D151" s="18" t="inlineStr">
        <is>
          <t>NEW</t>
        </is>
      </c>
      <c r="E151" s="19" t="inlineStr"/>
      <c r="F151" s="18" t="inlineStr"/>
      <c r="G151" s="19" t="inlineStr"/>
      <c r="H151" s="18" t="inlineStr"/>
      <c r="I151" s="20" t="inlineStr">
        <is>
          <t>ALEXANDER HOHL</t>
        </is>
      </c>
      <c r="J151" s="20" t="inlineStr">
        <is>
          <t>Sócio-Administrador</t>
        </is>
      </c>
      <c r="K151" s="20" t="inlineStr">
        <is>
          <t>(62) 3142-6515</t>
        </is>
      </c>
      <c r="L151" s="20" t="inlineStr"/>
      <c r="M151" s="20" t="inlineStr"/>
      <c r="N151" s="20" t="inlineStr"/>
      <c r="O151" s="20" t="inlineStr"/>
      <c r="P151" s="20" t="inlineStr">
        <is>
          <t>ADRIANE HOHL</t>
        </is>
      </c>
      <c r="Q151" s="20" t="inlineStr">
        <is>
          <t>Administrador</t>
        </is>
      </c>
      <c r="R151" s="20" t="inlineStr">
        <is>
          <t>(62) 3142-6515</t>
        </is>
      </c>
      <c r="S151" s="20" t="inlineStr"/>
      <c r="T151" s="21" t="n">
        <v>1324133.99</v>
      </c>
      <c r="U151" s="32" t="inlineStr">
        <is>
          <t>A</t>
        </is>
      </c>
      <c r="V151" s="23">
        <f>IFERROR(VLOOKUP(U151,Assumptions!$A$7:$D$11,2,FALSE),0)</f>
        <v/>
      </c>
      <c r="W151" s="24">
        <f>MAX(0.5,IFERROR(VLOOKUP(U151,Assumptions!$A$7:$D$11,3,FALSE),3)+IFERROR(VLOOKUP(U151,Assumptions!$A$7:$D$11,4,FALSE),8)/2-IF(AN151="",0,YEAR(TODAY())-AN151))</f>
        <v/>
      </c>
      <c r="X151" s="21">
        <f>T151*V151/(1+Assumptions!$B$3)^W151</f>
        <v/>
      </c>
      <c r="Y151" s="25">
        <f>IF(T151=0,"",ROUND(X151/T151*100,1))</f>
        <v/>
      </c>
      <c r="Z151" s="26">
        <f>X151*Assumptions!$B$4</f>
        <v/>
      </c>
      <c r="AA151" s="25">
        <f>IF(T151=0,"",ROUND(Z151/T151*100,1))</f>
        <v/>
      </c>
      <c r="AB151" s="26">
        <f>X151-Z151</f>
        <v/>
      </c>
      <c r="AC151" s="25">
        <f>IF(T151=0,"",ROUND((X151-Z151)/T151*100,1))</f>
        <v/>
      </c>
      <c r="AD151" s="27" t="inlineStr">
        <is>
          <t>CONFIRMED</t>
        </is>
      </c>
      <c r="AE151" s="28" t="inlineStr">
        <is>
          <t>https://stenius.com.br/wp-content/uploads/2026/06/EDITAL-GRUPO-3E.pdf</t>
        </is>
      </c>
      <c r="AF151" s="27" t="inlineStr">
        <is>
          <t>p14 r39; p14 r40</t>
        </is>
      </c>
      <c r="AG151" s="27" t="inlineStr">
        <is>
          <t>p14: R$ 1.323.718,99; p14: R$ 415,00</t>
        </is>
      </c>
      <c r="AH151" s="27" t="inlineStr">
        <is>
          <t>DEBTOR_LIST</t>
        </is>
      </c>
      <c r="AI151" s="27" t="inlineStr">
        <is>
          <t>2026-06-22</t>
        </is>
      </c>
      <c r="AJ151" s="27" t="inlineStr">
        <is>
          <t>OK_NO_TOTALS</t>
        </is>
      </c>
      <c r="AK151" s="29" t="inlineStr">
        <is>
          <t>5341375-33.2026.8.09.0049</t>
        </is>
      </c>
      <c r="AL151" s="29" t="inlineStr">
        <is>
          <t>TJGO</t>
        </is>
      </c>
      <c r="AM151" s="29" t="inlineStr">
        <is>
          <t>ACTIVE</t>
        </is>
      </c>
      <c r="AN151" s="29" t="n">
        <v>2026</v>
      </c>
      <c r="AO151" s="29" t="inlineStr">
        <is>
          <t>plan/homologation document found</t>
        </is>
      </c>
      <c r="AP151" s="29" t="inlineStr">
        <is>
          <t>GOIANIA</t>
        </is>
      </c>
      <c r="AQ151" s="29" t="inlineStr">
        <is>
          <t>GO</t>
        </is>
      </c>
      <c r="AR151" s="29" t="inlineStr">
        <is>
          <t>Serviços combinados de escritório e apoio administrativo</t>
        </is>
      </c>
      <c r="AS151" s="29" t="inlineStr">
        <is>
          <t>DEMAIS</t>
        </is>
      </c>
      <c r="AT151" s="29" t="inlineStr">
        <is>
          <t>LARGE CORP</t>
        </is>
      </c>
      <c r="AU151" s="29" t="inlineStr">
        <is>
          <t>01608488</t>
        </is>
      </c>
      <c r="AV151" s="29" t="n">
        <v>2</v>
      </c>
      <c r="AW151" s="29" t="inlineStr">
        <is>
          <t>ROWS:p14r39,p14r40 UNRECONCILED_SOURCE</t>
        </is>
      </c>
    </row>
    <row r="152">
      <c r="A152" s="15" t="inlineStr">
        <is>
          <t>CASA BUGRE GOIAS COMERCIO E REPRESENTACAO LTDA</t>
        </is>
      </c>
      <c r="B152" s="16" t="n">
        <v>1367817.98</v>
      </c>
      <c r="C152" s="17" t="inlineStr">
        <is>
          <t>NORTESUL COMERCIAL AGRICOLA LTDA EM RECUPERACAO JUDICIAL</t>
        </is>
      </c>
      <c r="D152" s="18" t="inlineStr">
        <is>
          <t>NEW</t>
        </is>
      </c>
      <c r="E152" s="19" t="inlineStr"/>
      <c r="F152" s="18" t="inlineStr"/>
      <c r="G152" s="19" t="inlineStr"/>
      <c r="H152" s="18" t="inlineStr"/>
      <c r="I152" s="20" t="inlineStr">
        <is>
          <t>Marcos Gomes</t>
        </is>
      </c>
      <c r="J152" s="20" t="inlineStr">
        <is>
          <t>Partner (sócio)</t>
        </is>
      </c>
      <c r="K152" s="20" t="inlineStr">
        <is>
          <t>(61) 3770-0199</t>
        </is>
      </c>
      <c r="L152" s="20" t="inlineStr"/>
      <c r="M152" s="20" t="inlineStr"/>
      <c r="N152" s="20" t="inlineStr">
        <is>
          <t>marcos@casabugre.com.br</t>
        </is>
      </c>
      <c r="O152" s="20" t="inlineStr">
        <is>
          <t>sue.domingues@casabugre.com.br</t>
        </is>
      </c>
      <c r="P152" s="20" t="inlineStr">
        <is>
          <t>Sue Domingues</t>
        </is>
      </c>
      <c r="Q152" s="20" t="inlineStr">
        <is>
          <t>Supply Specialist</t>
        </is>
      </c>
      <c r="R152" s="20" t="inlineStr"/>
      <c r="S152" s="20" t="inlineStr">
        <is>
          <t>sue.domingues@casabugre.com.br</t>
        </is>
      </c>
      <c r="T152" s="21" t="n">
        <v>1367817.98</v>
      </c>
      <c r="U152" s="22" t="inlineStr">
        <is>
          <t>B</t>
        </is>
      </c>
      <c r="V152" s="23">
        <f>IFERROR(VLOOKUP(U152,Assumptions!$A$7:$D$11,2,FALSE),0)</f>
        <v/>
      </c>
      <c r="W152" s="24">
        <f>MAX(0.5,IFERROR(VLOOKUP(U152,Assumptions!$A$7:$D$11,3,FALSE),3)+IFERROR(VLOOKUP(U152,Assumptions!$A$7:$D$11,4,FALSE),8)/2-IF(AN152="",0,YEAR(TODAY())-AN152))</f>
        <v/>
      </c>
      <c r="X152" s="21">
        <f>T152*V152/(1+Assumptions!$B$3)^W152</f>
        <v/>
      </c>
      <c r="Y152" s="25">
        <f>IF(T152=0,"",ROUND(X152/T152*100,1))</f>
        <v/>
      </c>
      <c r="Z152" s="26">
        <f>X152*Assumptions!$B$4</f>
        <v/>
      </c>
      <c r="AA152" s="25">
        <f>IF(T152=0,"",ROUND(Z152/T152*100,1))</f>
        <v/>
      </c>
      <c r="AB152" s="26">
        <f>X152-Z152</f>
        <v/>
      </c>
      <c r="AC152" s="25">
        <f>IF(T152=0,"",ROUND((X152-Z152)/T152*100,1))</f>
        <v/>
      </c>
      <c r="AD152" s="27" t="inlineStr">
        <is>
          <t>ESTIMATED</t>
        </is>
      </c>
      <c r="AE152" s="28" t="inlineStr">
        <is>
          <t>https://lrflideres.com.br/wp-content/plugins/download-attachments/includes/download.php?id=6879</t>
        </is>
      </c>
      <c r="AF152" s="27" t="inlineStr">
        <is>
          <t>p1 r9</t>
        </is>
      </c>
      <c r="AG152" s="27" t="inlineStr">
        <is>
          <t>p1: R$ 1.367.817,98</t>
        </is>
      </c>
      <c r="AH152" s="27" t="inlineStr">
        <is>
          <t>AJ_LIST</t>
        </is>
      </c>
      <c r="AI152" s="27" t="inlineStr">
        <is>
          <t>2026-01-15</t>
        </is>
      </c>
      <c r="AJ152" s="27" t="inlineStr">
        <is>
          <t>OK</t>
        </is>
      </c>
      <c r="AK152" s="29" t="inlineStr">
        <is>
          <t>0804401-51.2025.8.14.0039</t>
        </is>
      </c>
      <c r="AL152" s="29" t="inlineStr">
        <is>
          <t>TJPA</t>
        </is>
      </c>
      <c r="AM152" s="29" t="inlineStr">
        <is>
          <t>ACTIVE</t>
        </is>
      </c>
      <c r="AN152" s="29" t="n">
        <v>2025</v>
      </c>
      <c r="AO152" s="29" t="inlineStr">
        <is>
          <t>live case, no plan document yet</t>
        </is>
      </c>
      <c r="AP152" s="29" t="inlineStr">
        <is>
          <t>ANAPOLIS</t>
        </is>
      </c>
      <c r="AQ152" s="29" t="inlineStr">
        <is>
          <t>GO</t>
        </is>
      </c>
      <c r="AR152" s="29" t="inlineStr">
        <is>
          <t>Comércio atacadista de sementes, flores, plantas e gramas</t>
        </is>
      </c>
      <c r="AS152" s="29" t="inlineStr">
        <is>
          <t>DEMAIS</t>
        </is>
      </c>
      <c r="AT152" s="29" t="inlineStr">
        <is>
          <t>MID-MARKET</t>
        </is>
      </c>
      <c r="AU152" s="29" t="inlineStr">
        <is>
          <t>20366728</t>
        </is>
      </c>
      <c r="AV152" s="29" t="n">
        <v>1</v>
      </c>
      <c r="AW152" s="29" t="inlineStr">
        <is>
          <t>ROWS:p1r9</t>
        </is>
      </c>
    </row>
    <row r="153">
      <c r="A153" s="15" t="inlineStr">
        <is>
          <t>DOW BRASIL SUDESTE INDUSTRIAL LTDA.</t>
        </is>
      </c>
      <c r="B153" s="16" t="n">
        <v>994732.16</v>
      </c>
      <c r="C153" s="17" t="inlineStr"/>
      <c r="D153" s="18" t="inlineStr">
        <is>
          <t>NEW</t>
        </is>
      </c>
      <c r="E153" s="19" t="inlineStr"/>
      <c r="F153" s="18" t="inlineStr"/>
      <c r="G153" s="19" t="inlineStr"/>
      <c r="H153" s="18" t="inlineStr"/>
      <c r="I153" s="20" t="inlineStr">
        <is>
          <t>BRUNA PELLEGRINO GENTILE</t>
        </is>
      </c>
      <c r="J153" s="20" t="inlineStr">
        <is>
          <t>Administrador</t>
        </is>
      </c>
      <c r="K153" s="20" t="inlineStr">
        <is>
          <t>(11) 5188-9184</t>
        </is>
      </c>
      <c r="L153" s="20" t="inlineStr"/>
      <c r="M153" s="20" t="inlineStr"/>
      <c r="N153" s="20" t="inlineStr"/>
      <c r="O153" s="20" t="inlineStr"/>
      <c r="P153" s="20" t="inlineStr">
        <is>
          <t>HURE JOSE DE ANDRADE JUNIOR</t>
        </is>
      </c>
      <c r="Q153" s="20" t="inlineStr">
        <is>
          <t>Administrador</t>
        </is>
      </c>
      <c r="R153" s="20" t="inlineStr">
        <is>
          <t>(11) 5188-9184</t>
        </is>
      </c>
      <c r="S153" s="20" t="inlineStr"/>
      <c r="T153" s="21" t="n">
        <v>994732.16</v>
      </c>
      <c r="U153" s="31" t="inlineStr">
        <is>
          <t>C</t>
        </is>
      </c>
      <c r="V153" s="23">
        <f>IFERROR(VLOOKUP(U153,Assumptions!$A$7:$D$11,2,FALSE),0)</f>
        <v/>
      </c>
      <c r="W153" s="24">
        <f>MAX(0.5,IFERROR(VLOOKUP(U153,Assumptions!$A$7:$D$11,3,FALSE),3)+IFERROR(VLOOKUP(U153,Assumptions!$A$7:$D$11,4,FALSE),8)/2-IF(AN153="",0,YEAR(TODAY())-AN153))</f>
        <v/>
      </c>
      <c r="X153" s="21">
        <f>T153*V153/(1+Assumptions!$B$3)^W153</f>
        <v/>
      </c>
      <c r="Y153" s="25">
        <f>IF(T153=0,"",ROUND(X153/T153*100,1))</f>
        <v/>
      </c>
      <c r="Z153" s="26">
        <f>X153*Assumptions!$B$4</f>
        <v/>
      </c>
      <c r="AA153" s="25">
        <f>IF(T153=0,"",ROUND(Z153/T153*100,1))</f>
        <v/>
      </c>
      <c r="AB153" s="26">
        <f>X153-Z153</f>
        <v/>
      </c>
      <c r="AC153" s="25">
        <f>IF(T153=0,"",ROUND((X153-Z153)/T153*100,1))</f>
        <v/>
      </c>
      <c r="AD153" s="27" t="inlineStr">
        <is>
          <t>UNKNOWN</t>
        </is>
      </c>
      <c r="AE153" s="28" t="inlineStr">
        <is>
          <t>https://administradorajudicialgs.com.br/wp-content/uploads/2024/12/relacao-de-credores-da-falida.pdf</t>
        </is>
      </c>
      <c r="AF153" s="27" t="inlineStr">
        <is>
          <t>p14 r12</t>
        </is>
      </c>
      <c r="AG153" s="27" t="inlineStr">
        <is>
          <t>p14: R$ 994.732,16</t>
        </is>
      </c>
      <c r="AH153" s="27" t="inlineStr">
        <is>
          <t>UNKNOWN</t>
        </is>
      </c>
      <c r="AI153" s="27" t="inlineStr">
        <is>
          <t>2025-03-25</t>
        </is>
      </c>
      <c r="AJ153" s="27" t="inlineStr">
        <is>
          <t>OK_NO_TOTALS</t>
        </is>
      </c>
      <c r="AK153" s="29" t="inlineStr">
        <is>
          <t>0005010-50.2013.8.24.0026</t>
        </is>
      </c>
      <c r="AL153" s="29" t="inlineStr">
        <is>
          <t>TJ</t>
        </is>
      </c>
      <c r="AM153" s="29" t="inlineStr"/>
      <c r="AN153" s="29" t="n">
        <v>2013</v>
      </c>
      <c r="AO153" s="29" t="inlineStr">
        <is>
          <t>13y since filing, no plan document</t>
        </is>
      </c>
      <c r="AP153" s="29" t="inlineStr">
        <is>
          <t>SAO PAULO</t>
        </is>
      </c>
      <c r="AQ153" s="29" t="inlineStr">
        <is>
          <t>SP</t>
        </is>
      </c>
      <c r="AR153" s="29" t="inlineStr">
        <is>
          <t>Fabricação de resinas termoplásticas</t>
        </is>
      </c>
      <c r="AS153" s="29" t="inlineStr">
        <is>
          <t>DEMAIS</t>
        </is>
      </c>
      <c r="AT153" s="29" t="inlineStr">
        <is>
          <t>LARGE CORP</t>
        </is>
      </c>
      <c r="AU153" s="29" t="inlineStr">
        <is>
          <t>53877627</t>
        </is>
      </c>
      <c r="AV153" s="29" t="n">
        <v>1</v>
      </c>
      <c r="AW153" s="29" t="inlineStr">
        <is>
          <t>ROWS:p14r12 UNRECONCILED_SOURCE</t>
        </is>
      </c>
    </row>
    <row r="154">
      <c r="A154" s="15" t="inlineStr">
        <is>
          <t>GE HEALTHCARE DO BRASIL COMERCIO E SERVICOS PARA EQUIPAMENTOS MEDICO-HOSPITALARES LTDA</t>
        </is>
      </c>
      <c r="B154" s="16" t="n">
        <v>693357.04</v>
      </c>
      <c r="C154" s="17" t="inlineStr">
        <is>
          <t>ASSOCIACAO DE CARIDADE SANTA CASA DE RIO GRANDE</t>
        </is>
      </c>
      <c r="D154" s="18" t="inlineStr">
        <is>
          <t>NEW</t>
        </is>
      </c>
      <c r="E154" s="19" t="inlineStr"/>
      <c r="F154" s="18" t="inlineStr"/>
      <c r="G154" s="19" t="inlineStr"/>
      <c r="H154" s="18" t="inlineStr"/>
      <c r="I154" s="20" t="inlineStr">
        <is>
          <t>ANTONIO SABRE NASSER FILHO</t>
        </is>
      </c>
      <c r="J154" s="20" t="inlineStr">
        <is>
          <t>Administrador</t>
        </is>
      </c>
      <c r="K154" s="20" t="inlineStr">
        <is>
          <t>(11) 3067-8181</t>
        </is>
      </c>
      <c r="L154" s="20" t="inlineStr">
        <is>
          <t>(11) 3067-8095</t>
        </is>
      </c>
      <c r="M154" s="20" t="inlineStr"/>
      <c r="N154" s="20" t="inlineStr"/>
      <c r="O154" s="20" t="inlineStr"/>
      <c r="P154" s="20" t="inlineStr">
        <is>
          <t>CAROLINE BURRIEL ZAMPOLLO</t>
        </is>
      </c>
      <c r="Q154" s="20" t="inlineStr">
        <is>
          <t>Administrador</t>
        </is>
      </c>
      <c r="R154" s="20" t="inlineStr">
        <is>
          <t>(11) 3067-8095</t>
        </is>
      </c>
      <c r="S154" s="20" t="inlineStr"/>
      <c r="T154" s="21" t="n">
        <v>693357.04</v>
      </c>
      <c r="U154" s="22" t="inlineStr">
        <is>
          <t>B</t>
        </is>
      </c>
      <c r="V154" s="23">
        <f>IFERROR(VLOOKUP(U154,Assumptions!$A$7:$D$11,2,FALSE),0)</f>
        <v/>
      </c>
      <c r="W154" s="24">
        <f>MAX(0.5,IFERROR(VLOOKUP(U154,Assumptions!$A$7:$D$11,3,FALSE),3)+IFERROR(VLOOKUP(U154,Assumptions!$A$7:$D$11,4,FALSE),8)/2-IF(AN154="",0,YEAR(TODAY())-AN154))</f>
        <v/>
      </c>
      <c r="X154" s="21">
        <f>T154*V154/(1+Assumptions!$B$3)^W154</f>
        <v/>
      </c>
      <c r="Y154" s="25">
        <f>IF(T154=0,"",ROUND(X154/T154*100,1))</f>
        <v/>
      </c>
      <c r="Z154" s="26">
        <f>X154*Assumptions!$B$4</f>
        <v/>
      </c>
      <c r="AA154" s="25">
        <f>IF(T154=0,"",ROUND(Z154/T154*100,1))</f>
        <v/>
      </c>
      <c r="AB154" s="26">
        <f>X154-Z154</f>
        <v/>
      </c>
      <c r="AC154" s="25">
        <f>IF(T154=0,"",ROUND((X154-Z154)/T154*100,1))</f>
        <v/>
      </c>
      <c r="AD154" s="27" t="inlineStr">
        <is>
          <t>ESTIMATED</t>
        </is>
      </c>
      <c r="AE154" s="28" t="inlineStr">
        <is>
          <t>https://scalzilliaj.com.br/sgc/download.php?file=files/processo_documento/processo_documento09120721032023_1_.pdf&amp;nome=15 - Edital do art. 7º, §2º e 53 da Lei 11.101/2005 (segunda lista de credores e recebimento do plano))</t>
        </is>
      </c>
      <c r="AF154" s="27" t="inlineStr">
        <is>
          <t>p27 r39</t>
        </is>
      </c>
      <c r="AG154" s="27" t="inlineStr">
        <is>
          <t>p27: R$ 693.357,04</t>
        </is>
      </c>
      <c r="AH154" s="27" t="inlineStr">
        <is>
          <t>AJ_LIST</t>
        </is>
      </c>
      <c r="AI154" s="27" t="inlineStr">
        <is>
          <t>2023-03-21</t>
        </is>
      </c>
      <c r="AJ154" s="27" t="inlineStr">
        <is>
          <t>OK_NO_TOTALS</t>
        </is>
      </c>
      <c r="AK154" s="29" t="inlineStr">
        <is>
          <t>5012306-16.2022.8.21.0023</t>
        </is>
      </c>
      <c r="AL154" s="29" t="inlineStr">
        <is>
          <t>TJRS</t>
        </is>
      </c>
      <c r="AM154" s="29" t="inlineStr">
        <is>
          <t>ACTIVE</t>
        </is>
      </c>
      <c r="AN154" s="29" t="n">
        <v>2022</v>
      </c>
      <c r="AO154" s="29" t="inlineStr">
        <is>
          <t>live case, no plan document yet</t>
        </is>
      </c>
      <c r="AP154" s="29" t="inlineStr">
        <is>
          <t>SAO PAULO</t>
        </is>
      </c>
      <c r="AQ154" s="29" t="inlineStr">
        <is>
          <t>SP</t>
        </is>
      </c>
      <c r="AR154" s="29" t="inlineStr">
        <is>
          <t>Comércio atacadista de máquinas, aparelhos e equipamentos para uso odonto-médico-hospitalar; partes e peças</t>
        </is>
      </c>
      <c r="AS154" s="29" t="inlineStr">
        <is>
          <t>DEMAIS</t>
        </is>
      </c>
      <c r="AT154" s="29" t="inlineStr">
        <is>
          <t>LARGE CORP</t>
        </is>
      </c>
      <c r="AU154" s="29" t="inlineStr">
        <is>
          <t>00029372</t>
        </is>
      </c>
      <c r="AV154" s="29" t="n">
        <v>1</v>
      </c>
      <c r="AW154" s="29" t="inlineStr">
        <is>
          <t>ROWS:p27r39 UNRECONCILED_SOURCE</t>
        </is>
      </c>
    </row>
    <row r="155">
      <c r="A155" s="15" t="inlineStr">
        <is>
          <t>RG COPPER INDUSTRIA E COMERCIO DE CONDUTORES ELETRICOS LTDA</t>
        </is>
      </c>
      <c r="B155" s="16" t="n">
        <v>864147.01</v>
      </c>
      <c r="C155" s="17" t="inlineStr">
        <is>
          <t>Conduscabos Brasil Indústria Comércio de</t>
        </is>
      </c>
      <c r="D155" s="18" t="inlineStr">
        <is>
          <t>NEW</t>
        </is>
      </c>
      <c r="E155" s="19" t="inlineStr"/>
      <c r="F155" s="18" t="inlineStr"/>
      <c r="G155" s="19" t="inlineStr"/>
      <c r="H155" s="18" t="inlineStr"/>
      <c r="I155" s="20" t="inlineStr">
        <is>
          <t>GERSON GOMES DA SILVA</t>
        </is>
      </c>
      <c r="J155" s="20" t="inlineStr">
        <is>
          <t>Sócio-Administrador</t>
        </is>
      </c>
      <c r="K155" s="20" t="inlineStr">
        <is>
          <t>(11) 2507-5535</t>
        </is>
      </c>
      <c r="L155" s="20" t="inlineStr"/>
      <c r="M155" s="20" t="inlineStr"/>
      <c r="N155" s="20" t="inlineStr"/>
      <c r="O155" s="20" t="inlineStr"/>
      <c r="P155" s="20" t="inlineStr">
        <is>
          <t>RODRIGO RIBEIRO DOS SANTOS</t>
        </is>
      </c>
      <c r="Q155" s="20" t="inlineStr">
        <is>
          <t>Sócio-Administrador</t>
        </is>
      </c>
      <c r="R155" s="20" t="inlineStr">
        <is>
          <t>(11) 2507-5535</t>
        </is>
      </c>
      <c r="S155" s="20" t="inlineStr"/>
      <c r="T155" s="21" t="n">
        <v>864147.01</v>
      </c>
      <c r="U155" s="22" t="inlineStr">
        <is>
          <t>B</t>
        </is>
      </c>
      <c r="V155" s="23">
        <f>IFERROR(VLOOKUP(U155,Assumptions!$A$7:$D$11,2,FALSE),0)</f>
        <v/>
      </c>
      <c r="W155" s="24">
        <f>MAX(0.5,IFERROR(VLOOKUP(U155,Assumptions!$A$7:$D$11,3,FALSE),3)+IFERROR(VLOOKUP(U155,Assumptions!$A$7:$D$11,4,FALSE),8)/2-IF(AN155="",0,YEAR(TODAY())-AN155))</f>
        <v/>
      </c>
      <c r="X155" s="21">
        <f>T155*V155/(1+Assumptions!$B$3)^W155</f>
        <v/>
      </c>
      <c r="Y155" s="25">
        <f>IF(T155=0,"",ROUND(X155/T155*100,1))</f>
        <v/>
      </c>
      <c r="Z155" s="26">
        <f>X155*Assumptions!$B$4</f>
        <v/>
      </c>
      <c r="AA155" s="25">
        <f>IF(T155=0,"",ROUND(Z155/T155*100,1))</f>
        <v/>
      </c>
      <c r="AB155" s="26">
        <f>X155-Z155</f>
        <v/>
      </c>
      <c r="AC155" s="25">
        <f>IF(T155=0,"",ROUND((X155-Z155)/T155*100,1))</f>
        <v/>
      </c>
      <c r="AD155" s="27" t="inlineStr">
        <is>
          <t>ESTIMATED</t>
        </is>
      </c>
      <c r="AE155" s="28" t="inlineStr">
        <is>
          <t>https://assistjud.com.br/wp-content/uploads/elementor/forms/65098c80a5824.pdf</t>
        </is>
      </c>
      <c r="AF155" s="27" t="inlineStr">
        <is>
          <t>p9 r14</t>
        </is>
      </c>
      <c r="AG155" s="27" t="inlineStr">
        <is>
          <t>p9: R$ 864.147,01</t>
        </is>
      </c>
      <c r="AH155" s="27" t="inlineStr">
        <is>
          <t>AJ_LIST</t>
        </is>
      </c>
      <c r="AI155" s="27" t="inlineStr">
        <is>
          <t>2023-09-18</t>
        </is>
      </c>
      <c r="AJ155" s="27" t="inlineStr">
        <is>
          <t>OK_NO_TOTALS</t>
        </is>
      </c>
      <c r="AK155" s="29" t="inlineStr">
        <is>
          <t>8005129-09.2023.8.05.0039</t>
        </is>
      </c>
      <c r="AL155" s="29" t="inlineStr">
        <is>
          <t>TJBA</t>
        </is>
      </c>
      <c r="AM155" s="29" t="inlineStr">
        <is>
          <t>ACTIVE</t>
        </is>
      </c>
      <c r="AN155" s="29" t="n">
        <v>2023</v>
      </c>
      <c r="AO155" s="29" t="inlineStr">
        <is>
          <t>live case, no plan document yet</t>
        </is>
      </c>
      <c r="AP155" s="29" t="inlineStr">
        <is>
          <t>JARDINOPOLIS</t>
        </is>
      </c>
      <c r="AQ155" s="29" t="inlineStr">
        <is>
          <t>SP</t>
        </is>
      </c>
      <c r="AR155" s="29" t="inlineStr">
        <is>
          <t>Fabricação de fios, cabos e condutores elétricos isolados</t>
        </is>
      </c>
      <c r="AS155" s="29" t="inlineStr">
        <is>
          <t>DEMAIS</t>
        </is>
      </c>
      <c r="AT155" s="29" t="inlineStr">
        <is>
          <t>MID-MARKET</t>
        </is>
      </c>
      <c r="AU155" s="29" t="inlineStr">
        <is>
          <t>21044682</t>
        </is>
      </c>
      <c r="AV155" s="29" t="n">
        <v>1</v>
      </c>
      <c r="AW155" s="29" t="inlineStr">
        <is>
          <t>ROWS:p9r14 UNRECONCILED_SOURCE</t>
        </is>
      </c>
    </row>
    <row r="156">
      <c r="A156" s="15" t="inlineStr">
        <is>
          <t>COOPERATIVA UNIMED CENTRAL DE COOPERATIVAS UNIMED DO RIO GRANDE DO SUL LTDA</t>
        </is>
      </c>
      <c r="B156" s="16" t="n">
        <v>686964.09</v>
      </c>
      <c r="C156" s="17" t="inlineStr">
        <is>
          <t>ASSOCIACAO DE CARIDADE SANTA CASA DE RIO GRANDE</t>
        </is>
      </c>
      <c r="D156" s="18" t="inlineStr">
        <is>
          <t>NEW</t>
        </is>
      </c>
      <c r="E156" s="19" t="inlineStr"/>
      <c r="F156" s="18" t="inlineStr"/>
      <c r="G156" s="19" t="inlineStr"/>
      <c r="H156" s="18" t="inlineStr"/>
      <c r="I156" s="20" t="inlineStr">
        <is>
          <t>HENDLEY RESCHKE</t>
        </is>
      </c>
      <c r="J156" s="20" t="inlineStr">
        <is>
          <t>Administrador</t>
        </is>
      </c>
      <c r="K156" s="20" t="inlineStr">
        <is>
          <t>(51) 3462-6400</t>
        </is>
      </c>
      <c r="L156" s="20" t="inlineStr">
        <is>
          <t>(51) 3462-6428</t>
        </is>
      </c>
      <c r="M156" s="20" t="inlineStr"/>
      <c r="N156" s="20" t="inlineStr"/>
      <c r="O156" s="20" t="inlineStr"/>
      <c r="P156" s="20" t="inlineStr">
        <is>
          <t>JORGE GUILHERME ROBINSON</t>
        </is>
      </c>
      <c r="Q156" s="20" t="inlineStr">
        <is>
          <t>Presidente</t>
        </is>
      </c>
      <c r="R156" s="20" t="inlineStr">
        <is>
          <t>(51) 3462-6428</t>
        </is>
      </c>
      <c r="S156" s="20" t="inlineStr"/>
      <c r="T156" s="21" t="n">
        <v>686964.09</v>
      </c>
      <c r="U156" s="22" t="inlineStr">
        <is>
          <t>B</t>
        </is>
      </c>
      <c r="V156" s="23">
        <f>IFERROR(VLOOKUP(U156,Assumptions!$A$7:$D$11,2,FALSE),0)</f>
        <v/>
      </c>
      <c r="W156" s="24">
        <f>MAX(0.5,IFERROR(VLOOKUP(U156,Assumptions!$A$7:$D$11,3,FALSE),3)+IFERROR(VLOOKUP(U156,Assumptions!$A$7:$D$11,4,FALSE),8)/2-IF(AN156="",0,YEAR(TODAY())-AN156))</f>
        <v/>
      </c>
      <c r="X156" s="21">
        <f>T156*V156/(1+Assumptions!$B$3)^W156</f>
        <v/>
      </c>
      <c r="Y156" s="25">
        <f>IF(T156=0,"",ROUND(X156/T156*100,1))</f>
        <v/>
      </c>
      <c r="Z156" s="26">
        <f>X156*Assumptions!$B$4</f>
        <v/>
      </c>
      <c r="AA156" s="25">
        <f>IF(T156=0,"",ROUND(Z156/T156*100,1))</f>
        <v/>
      </c>
      <c r="AB156" s="26">
        <f>X156-Z156</f>
        <v/>
      </c>
      <c r="AC156" s="25">
        <f>IF(T156=0,"",ROUND((X156-Z156)/T156*100,1))</f>
        <v/>
      </c>
      <c r="AD156" s="27" t="inlineStr">
        <is>
          <t>ESTIMATED</t>
        </is>
      </c>
      <c r="AE156" s="28" t="inlineStr">
        <is>
          <t>https://scalzilliaj.com.br/sgc/download.php?file=files/processo_documento/processo_documento09120721032023_1_.pdf&amp;nome=15 - Edital do art. 7º, §2º e 53 da Lei 11.101/2005 (segunda lista de credores e recebimento do plano))</t>
        </is>
      </c>
      <c r="AF156" s="27" t="inlineStr">
        <is>
          <t>p26 r48</t>
        </is>
      </c>
      <c r="AG156" s="27" t="inlineStr">
        <is>
          <t>p26: R$ 686.964,09</t>
        </is>
      </c>
      <c r="AH156" s="27" t="inlineStr">
        <is>
          <t>AJ_LIST</t>
        </is>
      </c>
      <c r="AI156" s="27" t="inlineStr">
        <is>
          <t>2023-03-21</t>
        </is>
      </c>
      <c r="AJ156" s="27" t="inlineStr">
        <is>
          <t>OK_NO_TOTALS</t>
        </is>
      </c>
      <c r="AK156" s="29" t="inlineStr">
        <is>
          <t>5012306-16.2022.8.21.0023</t>
        </is>
      </c>
      <c r="AL156" s="29" t="inlineStr">
        <is>
          <t>TJRS</t>
        </is>
      </c>
      <c r="AM156" s="29" t="inlineStr">
        <is>
          <t>ACTIVE</t>
        </is>
      </c>
      <c r="AN156" s="29" t="n">
        <v>2022</v>
      </c>
      <c r="AO156" s="29" t="inlineStr">
        <is>
          <t>live case, no plan document yet</t>
        </is>
      </c>
      <c r="AP156" s="29" t="inlineStr">
        <is>
          <t>CANOAS</t>
        </is>
      </c>
      <c r="AQ156" s="29" t="inlineStr">
        <is>
          <t>RS</t>
        </is>
      </c>
      <c r="AR156" s="29" t="inlineStr">
        <is>
          <t>Comércio atacadista de instrumentos e materiais para uso médico, cirúrgico, hospitalar e de laboratórios</t>
        </is>
      </c>
      <c r="AS156" s="29" t="inlineStr">
        <is>
          <t>DEMAIS</t>
        </is>
      </c>
      <c r="AT156" s="29" t="inlineStr">
        <is>
          <t>MID-MARKET</t>
        </is>
      </c>
      <c r="AU156" s="29" t="inlineStr">
        <is>
          <t>02494715</t>
        </is>
      </c>
      <c r="AV156" s="29" t="n">
        <v>1</v>
      </c>
      <c r="AW156" s="29" t="inlineStr">
        <is>
          <t>ROWS:p26r48 UNRECONCILED_SOURCE</t>
        </is>
      </c>
    </row>
    <row r="157">
      <c r="A157" s="15" t="inlineStr">
        <is>
          <t>COMPANHIA NITRO QUIMICA BRASILEIRA</t>
        </is>
      </c>
      <c r="B157" s="16" t="n">
        <v>1666504.92</v>
      </c>
      <c r="C157" s="17" t="inlineStr"/>
      <c r="D157" s="18" t="inlineStr">
        <is>
          <t>NEW</t>
        </is>
      </c>
      <c r="E157" s="19" t="inlineStr"/>
      <c r="F157" s="18" t="inlineStr"/>
      <c r="G157" s="19" t="inlineStr"/>
      <c r="H157" s="18" t="inlineStr"/>
      <c r="I157" s="20" t="inlineStr">
        <is>
          <t>FRANCISCO JOSE CARRARA FAVA</t>
        </is>
      </c>
      <c r="J157" s="20" t="inlineStr">
        <is>
          <t>Diretor</t>
        </is>
      </c>
      <c r="K157" s="20" t="inlineStr">
        <is>
          <t>(11) 2246-3214</t>
        </is>
      </c>
      <c r="L157" s="20" t="inlineStr">
        <is>
          <t>(11) 2246-3329</t>
        </is>
      </c>
      <c r="M157" s="20" t="inlineStr"/>
      <c r="N157" s="20" t="inlineStr"/>
      <c r="O157" s="20" t="inlineStr"/>
      <c r="P157" s="20" t="inlineStr">
        <is>
          <t>MARCOS ROMANOSKI</t>
        </is>
      </c>
      <c r="Q157" s="20" t="inlineStr">
        <is>
          <t>Diretor</t>
        </is>
      </c>
      <c r="R157" s="20" t="inlineStr">
        <is>
          <t>(11) 2246-3329</t>
        </is>
      </c>
      <c r="S157" s="20" t="inlineStr"/>
      <c r="T157" s="21" t="n">
        <v>1666504.92</v>
      </c>
      <c r="U157" s="22" t="inlineStr">
        <is>
          <t>B</t>
        </is>
      </c>
      <c r="V157" s="23">
        <f>IFERROR(VLOOKUP(U157,Assumptions!$A$7:$D$11,2,FALSE),0)</f>
        <v/>
      </c>
      <c r="W157" s="24">
        <f>MAX(0.5,IFERROR(VLOOKUP(U157,Assumptions!$A$7:$D$11,3,FALSE),3)+IFERROR(VLOOKUP(U157,Assumptions!$A$7:$D$11,4,FALSE),8)/2-IF(AN157="",0,YEAR(TODAY())-AN157))</f>
        <v/>
      </c>
      <c r="X157" s="21">
        <f>T157*V157/(1+Assumptions!$B$3)^W157</f>
        <v/>
      </c>
      <c r="Y157" s="25">
        <f>IF(T157=0,"",ROUND(X157/T157*100,1))</f>
        <v/>
      </c>
      <c r="Z157" s="26">
        <f>X157*Assumptions!$B$4</f>
        <v/>
      </c>
      <c r="AA157" s="25">
        <f>IF(T157=0,"",ROUND(Z157/T157*100,1))</f>
        <v/>
      </c>
      <c r="AB157" s="26">
        <f>X157-Z157</f>
        <v/>
      </c>
      <c r="AC157" s="25">
        <f>IF(T157=0,"",ROUND((X157-Z157)/T157*100,1))</f>
        <v/>
      </c>
      <c r="AD157" s="27" t="inlineStr">
        <is>
          <t>ESTIMATED</t>
        </is>
      </c>
      <c r="AE157" s="28" t="inlineStr">
        <is>
          <t>https://scalzilliaj.com.br/sgc/download.php?file=files/processo_documento/processo_documento11421222052026_1_.pdf&amp;nome=08. Lista de credores do edital do art. 52, §1º da LREF</t>
        </is>
      </c>
      <c r="AF157" s="27" t="inlineStr">
        <is>
          <t>p4 r1</t>
        </is>
      </c>
      <c r="AG157" s="27" t="inlineStr">
        <is>
          <t>p4: R$ 1.666.504,92</t>
        </is>
      </c>
      <c r="AH157" s="27" t="inlineStr">
        <is>
          <t>UNKNOWN</t>
        </is>
      </c>
      <c r="AI157" s="27" t="inlineStr"/>
      <c r="AJ157" s="27" t="inlineStr">
        <is>
          <t>OK_NO_TOTALS</t>
        </is>
      </c>
      <c r="AK157" s="29" t="inlineStr">
        <is>
          <t>5011369-81.2026.8.09.0093</t>
        </is>
      </c>
      <c r="AL157" s="29" t="inlineStr">
        <is>
          <t>TJGO</t>
        </is>
      </c>
      <c r="AM157" s="29" t="inlineStr">
        <is>
          <t>ACTIVE</t>
        </is>
      </c>
      <c r="AN157" s="29" t="n">
        <v>2026</v>
      </c>
      <c r="AO157" s="29" t="inlineStr">
        <is>
          <t>live case, no plan document yet</t>
        </is>
      </c>
      <c r="AP157" s="29" t="inlineStr">
        <is>
          <t>SAO PAULO</t>
        </is>
      </c>
      <c r="AQ157" s="29" t="inlineStr">
        <is>
          <t>SP</t>
        </is>
      </c>
      <c r="AR157" s="29" t="inlineStr">
        <is>
          <t>Fabricação de outros produtos químicos inorgânicos não especificados anteriormente</t>
        </is>
      </c>
      <c r="AS157" s="29" t="inlineStr">
        <is>
          <t>DEMAIS</t>
        </is>
      </c>
      <c r="AT157" s="29" t="inlineStr">
        <is>
          <t>LARGE CORP</t>
        </is>
      </c>
      <c r="AU157" s="29" t="inlineStr">
        <is>
          <t>61150348</t>
        </is>
      </c>
      <c r="AV157" s="29" t="n">
        <v>1</v>
      </c>
      <c r="AW157" s="29" t="inlineStr">
        <is>
          <t>ROWS:p4r1 UNRECONCILED_SOURCE</t>
        </is>
      </c>
    </row>
    <row r="158">
      <c r="A158" s="15" t="inlineStr">
        <is>
          <t>FAN STORE ENTRETENIMENTO S.A</t>
        </is>
      </c>
      <c r="B158" s="16" t="n">
        <v>677400.38</v>
      </c>
      <c r="C158" s="17" t="inlineStr">
        <is>
          <t>R W CONSTRUCOES LTDA</t>
        </is>
      </c>
      <c r="D158" s="18" t="inlineStr">
        <is>
          <t>NEW</t>
        </is>
      </c>
      <c r="E158" s="19" t="inlineStr"/>
      <c r="F158" s="18" t="inlineStr"/>
      <c r="G158" s="19" t="inlineStr"/>
      <c r="H158" s="18" t="inlineStr"/>
      <c r="I158" s="20" t="inlineStr">
        <is>
          <t>BRUNO DE MARCHI FILHO</t>
        </is>
      </c>
      <c r="J158" s="20" t="inlineStr">
        <is>
          <t>Diretor</t>
        </is>
      </c>
      <c r="K158" s="20" t="inlineStr">
        <is>
          <t>(14) 3604-2024</t>
        </is>
      </c>
      <c r="L158" s="20" t="inlineStr"/>
      <c r="M158" s="20" t="inlineStr"/>
      <c r="N158" s="20" t="inlineStr"/>
      <c r="O158" s="20" t="inlineStr"/>
      <c r="P158" s="20" t="inlineStr"/>
      <c r="Q158" s="20" t="inlineStr"/>
      <c r="R158" s="20" t="inlineStr"/>
      <c r="S158" s="20" t="inlineStr"/>
      <c r="T158" s="21" t="n">
        <v>677400.38</v>
      </c>
      <c r="U158" s="22" t="inlineStr">
        <is>
          <t>B</t>
        </is>
      </c>
      <c r="V158" s="23">
        <f>IFERROR(VLOOKUP(U158,Assumptions!$A$7:$D$11,2,FALSE),0)</f>
        <v/>
      </c>
      <c r="W158" s="24">
        <f>MAX(0.5,IFERROR(VLOOKUP(U158,Assumptions!$A$7:$D$11,3,FALSE),3)+IFERROR(VLOOKUP(U158,Assumptions!$A$7:$D$11,4,FALSE),8)/2-IF(AN158="",0,YEAR(TODAY())-AN158))</f>
        <v/>
      </c>
      <c r="X158" s="21">
        <f>T158*V158/(1+Assumptions!$B$3)^W158</f>
        <v/>
      </c>
      <c r="Y158" s="25">
        <f>IF(T158=0,"",ROUND(X158/T158*100,1))</f>
        <v/>
      </c>
      <c r="Z158" s="26">
        <f>X158*Assumptions!$B$4</f>
        <v/>
      </c>
      <c r="AA158" s="25">
        <f>IF(T158=0,"",ROUND(Z158/T158*100,1))</f>
        <v/>
      </c>
      <c r="AB158" s="26">
        <f>X158-Z158</f>
        <v/>
      </c>
      <c r="AC158" s="25">
        <f>IF(T158=0,"",ROUND((X158-Z158)/T158*100,1))</f>
        <v/>
      </c>
      <c r="AD158" s="27" t="inlineStr">
        <is>
          <t>ESTIMATED</t>
        </is>
      </c>
      <c r="AE158" s="28" t="inlineStr">
        <is>
          <t>https://lrflideres.com.br/wp-content/plugins/download-attachments/includes/download.php?id=4023</t>
        </is>
      </c>
      <c r="AF158" s="27" t="inlineStr">
        <is>
          <t>p4 r71; p7 r95; p9 r70</t>
        </is>
      </c>
      <c r="AG158" s="27" t="inlineStr">
        <is>
          <t>p4: R$ 25.111,29; p7: R$ 553.175,46; p9: R$ 99.113,63</t>
        </is>
      </c>
      <c r="AH158" s="27" t="inlineStr">
        <is>
          <t>DEBTOR_LIST</t>
        </is>
      </c>
      <c r="AI158" s="27" t="inlineStr"/>
      <c r="AJ158" s="27" t="inlineStr">
        <is>
          <t>QUARANTINED</t>
        </is>
      </c>
      <c r="AK158" s="29" t="inlineStr">
        <is>
          <t>0002484-82.2022.8.17.2001</t>
        </is>
      </c>
      <c r="AL158" s="29" t="inlineStr">
        <is>
          <t>TJPE</t>
        </is>
      </c>
      <c r="AM158" s="29" t="inlineStr">
        <is>
          <t>ACTIVE</t>
        </is>
      </c>
      <c r="AN158" s="29" t="n">
        <v>2022</v>
      </c>
      <c r="AO158" s="29" t="inlineStr">
        <is>
          <t>live case, no plan document yet</t>
        </is>
      </c>
      <c r="AP158" s="29" t="inlineStr">
        <is>
          <t>BARRA BONITA</t>
        </is>
      </c>
      <c r="AQ158" s="29" t="inlineStr">
        <is>
          <t>SP</t>
        </is>
      </c>
      <c r="AR158" s="29" t="inlineStr">
        <is>
          <t>Estamparia e texturização em fios, tecidos, artefatos têxteis e peças do vestuário</t>
        </is>
      </c>
      <c r="AS158" s="29" t="inlineStr">
        <is>
          <t>DEMAIS</t>
        </is>
      </c>
      <c r="AT158" s="29" t="inlineStr">
        <is>
          <t>MID-MARKET</t>
        </is>
      </c>
      <c r="AU158" s="29" t="inlineStr">
        <is>
          <t>01424397</t>
        </is>
      </c>
      <c r="AV158" s="29" t="n">
        <v>3</v>
      </c>
      <c r="AW158" s="29" t="inlineStr">
        <is>
          <t>PARTIAL_DOC_CLASS_III_RECONCILED ROWS:p4r71,p7r95,p9r70</t>
        </is>
      </c>
    </row>
    <row r="159">
      <c r="A159" s="15" t="inlineStr">
        <is>
          <t>FARMABASE SAUDE ANIMAL LTDA</t>
        </is>
      </c>
      <c r="B159" s="16" t="n">
        <v>1057231.29</v>
      </c>
      <c r="C159" s="17" t="inlineStr"/>
      <c r="D159" s="18" t="inlineStr">
        <is>
          <t>NEW</t>
        </is>
      </c>
      <c r="E159" s="19" t="inlineStr"/>
      <c r="F159" s="18" t="inlineStr"/>
      <c r="G159" s="19" t="inlineStr"/>
      <c r="H159" s="18" t="inlineStr"/>
      <c r="I159" s="20" t="inlineStr">
        <is>
          <t>Leticia Haicki</t>
        </is>
      </c>
      <c r="J159" s="20" t="inlineStr">
        <is>
          <t>Coordenadora Jurídica LatAm</t>
        </is>
      </c>
      <c r="K159" s="20" t="inlineStr">
        <is>
          <t>(19) 3837-9900</t>
        </is>
      </c>
      <c r="L159" s="20" t="inlineStr">
        <is>
          <t>(19) 3837-9999</t>
        </is>
      </c>
      <c r="M159" s="20" t="inlineStr"/>
      <c r="N159" s="20" t="inlineStr">
        <is>
          <t>leticia.haicki@farmabase.com</t>
        </is>
      </c>
      <c r="O159" s="20" t="inlineStr">
        <is>
          <t>renan.farina@farmabase.com</t>
        </is>
      </c>
      <c r="P159" s="20" t="inlineStr">
        <is>
          <t>Renan Farina</t>
        </is>
      </c>
      <c r="Q159" s="20" t="inlineStr">
        <is>
          <t>Commercial Coordinator</t>
        </is>
      </c>
      <c r="R159" s="20" t="inlineStr"/>
      <c r="S159" s="20" t="inlineStr">
        <is>
          <t>renan.farina@farmabase.com</t>
        </is>
      </c>
      <c r="T159" s="21" t="n">
        <v>1057231.29</v>
      </c>
      <c r="U159" s="22" t="inlineStr">
        <is>
          <t>B</t>
        </is>
      </c>
      <c r="V159" s="23">
        <f>IFERROR(VLOOKUP(U159,Assumptions!$A$7:$D$11,2,FALSE),0)</f>
        <v/>
      </c>
      <c r="W159" s="24">
        <f>MAX(0.5,IFERROR(VLOOKUP(U159,Assumptions!$A$7:$D$11,3,FALSE),3)+IFERROR(VLOOKUP(U159,Assumptions!$A$7:$D$11,4,FALSE),8)/2-IF(AN159="",0,YEAR(TODAY())-AN159))</f>
        <v/>
      </c>
      <c r="X159" s="21">
        <f>T159*V159/(1+Assumptions!$B$3)^W159</f>
        <v/>
      </c>
      <c r="Y159" s="25">
        <f>IF(T159=0,"",ROUND(X159/T159*100,1))</f>
        <v/>
      </c>
      <c r="Z159" s="26">
        <f>X159*Assumptions!$B$4</f>
        <v/>
      </c>
      <c r="AA159" s="25">
        <f>IF(T159=0,"",ROUND(Z159/T159*100,1))</f>
        <v/>
      </c>
      <c r="AB159" s="26">
        <f>X159-Z159</f>
        <v/>
      </c>
      <c r="AC159" s="25">
        <f>IF(T159=0,"",ROUND((X159-Z159)/T159*100,1))</f>
        <v/>
      </c>
      <c r="AD159" s="27" t="inlineStr">
        <is>
          <t>ESTIMATED</t>
        </is>
      </c>
      <c r="AE159" s="28" t="inlineStr">
        <is>
          <t>https://rlg-aj.com.br/wp-content/uploads/2024/11/07.-Relação-de-credores.pdf</t>
        </is>
      </c>
      <c r="AF159" s="27" t="inlineStr">
        <is>
          <t>p1 r34</t>
        </is>
      </c>
      <c r="AG159" s="27" t="inlineStr">
        <is>
          <t>p1: R$ 1.057.231,29</t>
        </is>
      </c>
      <c r="AH159" s="27" t="inlineStr">
        <is>
          <t>UNKNOWN</t>
        </is>
      </c>
      <c r="AI159" s="27" t="inlineStr"/>
      <c r="AJ159" s="27" t="inlineStr">
        <is>
          <t>OK_NO_TOTALS</t>
        </is>
      </c>
      <c r="AK159" s="29" t="inlineStr">
        <is>
          <t>5009149-92.2024.8.24.0019</t>
        </is>
      </c>
      <c r="AL159" s="29" t="inlineStr">
        <is>
          <t>TJSC</t>
        </is>
      </c>
      <c r="AM159" s="29" t="inlineStr">
        <is>
          <t>ACTIVE</t>
        </is>
      </c>
      <c r="AN159" s="29" t="n">
        <v>2024</v>
      </c>
      <c r="AO159" s="29" t="inlineStr">
        <is>
          <t>live case, no plan document yet</t>
        </is>
      </c>
      <c r="AP159" s="29" t="inlineStr">
        <is>
          <t>JAGUARIUNA</t>
        </is>
      </c>
      <c r="AQ159" s="29" t="inlineStr">
        <is>
          <t>SP</t>
        </is>
      </c>
      <c r="AR159" s="29" t="inlineStr">
        <is>
          <t>Fabricação de medicamentos para uso veterinário</t>
        </is>
      </c>
      <c r="AS159" s="29" t="inlineStr">
        <is>
          <t>DEMAIS</t>
        </is>
      </c>
      <c r="AT159" s="29" t="inlineStr">
        <is>
          <t>MID-MARKET</t>
        </is>
      </c>
      <c r="AU159" s="29" t="inlineStr">
        <is>
          <t>73174377</t>
        </is>
      </c>
      <c r="AV159" s="29" t="n">
        <v>1</v>
      </c>
      <c r="AW159" s="29" t="inlineStr">
        <is>
          <t>ROWS:p1r34 UNRECONCILED_SOURCE</t>
        </is>
      </c>
    </row>
    <row r="160">
      <c r="A160" s="15" t="inlineStr">
        <is>
          <t>IPIRANGA PRODUTOS DE PETROLEO S.A.</t>
        </is>
      </c>
      <c r="B160" s="16" t="n">
        <v>1352094</v>
      </c>
      <c r="C160" s="17" t="inlineStr">
        <is>
          <t>EMBRAC EMPRESA</t>
        </is>
      </c>
      <c r="D160" s="18" t="inlineStr">
        <is>
          <t>NEW</t>
        </is>
      </c>
      <c r="E160" s="19" t="inlineStr"/>
      <c r="F160" s="18" t="inlineStr"/>
      <c r="G160" s="19" t="inlineStr"/>
      <c r="H160" s="18" t="inlineStr"/>
      <c r="I160" s="20" t="inlineStr">
        <is>
          <t>CARLOS FREDERICO RESENDE</t>
        </is>
      </c>
      <c r="J160" s="20" t="inlineStr">
        <is>
          <t>Administrador</t>
        </is>
      </c>
      <c r="K160" s="20" t="inlineStr">
        <is>
          <t>(21) 2574-5858</t>
        </is>
      </c>
      <c r="L160" s="20" t="inlineStr"/>
      <c r="M160" s="20" t="inlineStr"/>
      <c r="N160" s="20" t="inlineStr"/>
      <c r="O160" s="20" t="inlineStr"/>
      <c r="P160" s="20" t="inlineStr">
        <is>
          <t>CRISTIANE SILVA LEITE</t>
        </is>
      </c>
      <c r="Q160" s="20" t="inlineStr">
        <is>
          <t>Diretor</t>
        </is>
      </c>
      <c r="R160" s="20" t="inlineStr">
        <is>
          <t>(21) 2574-5858</t>
        </is>
      </c>
      <c r="S160" s="20" t="inlineStr"/>
      <c r="T160" s="21" t="n">
        <v>1352094</v>
      </c>
      <c r="U160" s="31" t="inlineStr">
        <is>
          <t>C</t>
        </is>
      </c>
      <c r="V160" s="23">
        <f>IFERROR(VLOOKUP(U160,Assumptions!$A$7:$D$11,2,FALSE),0)</f>
        <v/>
      </c>
      <c r="W160" s="24">
        <f>MAX(0.5,IFERROR(VLOOKUP(U160,Assumptions!$A$7:$D$11,3,FALSE),3)+IFERROR(VLOOKUP(U160,Assumptions!$A$7:$D$11,4,FALSE),8)/2-IF(AN160="",0,YEAR(TODAY())-AN160))</f>
        <v/>
      </c>
      <c r="X160" s="21">
        <f>T160*V160/(1+Assumptions!$B$3)^W160</f>
        <v/>
      </c>
      <c r="Y160" s="25">
        <f>IF(T160=0,"",ROUND(X160/T160*100,1))</f>
        <v/>
      </c>
      <c r="Z160" s="26">
        <f>X160*Assumptions!$B$4</f>
        <v/>
      </c>
      <c r="AA160" s="25">
        <f>IF(T160=0,"",ROUND(Z160/T160*100,1))</f>
        <v/>
      </c>
      <c r="AB160" s="26">
        <f>X160-Z160</f>
        <v/>
      </c>
      <c r="AC160" s="25">
        <f>IF(T160=0,"",ROUND((X160-Z160)/T160*100,1))</f>
        <v/>
      </c>
      <c r="AD160" s="27" t="inlineStr">
        <is>
          <t>ESTIMATED</t>
        </is>
      </c>
      <c r="AE160" s="28" t="inlineStr">
        <is>
          <t>https://violet-wolf-754008.hostingersite.com/wp-content/uploads/recuperacoes-judiciais/Ebramec/2o-Edital-de-Credores.pdf</t>
        </is>
      </c>
      <c r="AF160" s="27" t="inlineStr">
        <is>
          <t>p2 r50; p2 r51; p6 r50; p6 r51</t>
        </is>
      </c>
      <c r="AG160" s="27" t="inlineStr">
        <is>
          <t>p2: R$ 808.506,00; p2: R$ 543.588,00; p6: R$ 808.506,00; p6: R$ 543.588,00</t>
        </is>
      </c>
      <c r="AH160" s="27" t="inlineStr">
        <is>
          <t>QGC</t>
        </is>
      </c>
      <c r="AI160" s="27" t="inlineStr">
        <is>
          <t>2021-03-12</t>
        </is>
      </c>
      <c r="AJ160" s="27" t="inlineStr">
        <is>
          <t>OK_NO_TOTALS</t>
        </is>
      </c>
      <c r="AK160" s="29" t="inlineStr">
        <is>
          <t>1004204-09.2020.8.26.0604</t>
        </is>
      </c>
      <c r="AL160" s="29" t="inlineStr">
        <is>
          <t>TJSP</t>
        </is>
      </c>
      <c r="AM160" s="29" t="inlineStr">
        <is>
          <t>ACTIVE</t>
        </is>
      </c>
      <c r="AN160" s="29" t="n">
        <v>2020</v>
      </c>
      <c r="AO160" s="29" t="inlineStr">
        <is>
          <t>6y since filing, no plan document</t>
        </is>
      </c>
      <c r="AP160" s="29" t="inlineStr">
        <is>
          <t>RIO DE JANEIRO</t>
        </is>
      </c>
      <c r="AQ160" s="29" t="inlineStr">
        <is>
          <t>RJ</t>
        </is>
      </c>
      <c r="AR160" s="29" t="inlineStr">
        <is>
          <t>Comércio atacadista de álcool carburante, biodiesel, gasolina e demais derivados de petróleo, exceto lubrificantes, não realizado por transportador re</t>
        </is>
      </c>
      <c r="AS160" s="29" t="inlineStr">
        <is>
          <t>DEMAIS</t>
        </is>
      </c>
      <c r="AT160" s="29" t="inlineStr">
        <is>
          <t>LARGE CORP</t>
        </is>
      </c>
      <c r="AU160" s="29" t="inlineStr">
        <is>
          <t>33337122</t>
        </is>
      </c>
      <c r="AV160" s="29" t="n">
        <v>2</v>
      </c>
      <c r="AW160" s="29" t="inlineStr">
        <is>
          <t>ROWS:p2r50,p2r51 UNRECONCILED_SOURCE</t>
        </is>
      </c>
    </row>
    <row r="161">
      <c r="A161" s="15" t="inlineStr">
        <is>
          <t>GOIAS RENDERING S/A</t>
        </is>
      </c>
      <c r="B161" s="16" t="n">
        <v>1227904</v>
      </c>
      <c r="C161" s="17" t="inlineStr">
        <is>
          <t>COMERCIO RACOES BEM BOM LTDA</t>
        </is>
      </c>
      <c r="D161" s="18" t="inlineStr">
        <is>
          <t>NEW</t>
        </is>
      </c>
      <c r="E161" s="19" t="inlineStr"/>
      <c r="F161" s="18" t="inlineStr"/>
      <c r="G161" s="19" t="inlineStr"/>
      <c r="H161" s="18" t="inlineStr"/>
      <c r="I161" s="20" t="inlineStr">
        <is>
          <t>JOSADACK ASSIS</t>
        </is>
      </c>
      <c r="J161" s="20" t="inlineStr">
        <is>
          <t>Presidente</t>
        </is>
      </c>
      <c r="K161" s="20" t="inlineStr">
        <is>
          <t>(62) 3110-8309</t>
        </is>
      </c>
      <c r="L161" s="20" t="inlineStr"/>
      <c r="M161" s="20" t="inlineStr"/>
      <c r="N161" s="20" t="inlineStr"/>
      <c r="O161" s="20" t="inlineStr"/>
      <c r="P161" s="20" t="inlineStr">
        <is>
          <t>FLAVIO DE ABREU BRITO</t>
        </is>
      </c>
      <c r="Q161" s="20" t="inlineStr">
        <is>
          <t>Diretor</t>
        </is>
      </c>
      <c r="R161" s="20" t="inlineStr">
        <is>
          <t>(62) 3110-8309</t>
        </is>
      </c>
      <c r="S161" s="20" t="inlineStr"/>
      <c r="T161" s="21" t="n">
        <v>1227904</v>
      </c>
      <c r="U161" s="32" t="inlineStr">
        <is>
          <t>A</t>
        </is>
      </c>
      <c r="V161" s="23">
        <f>IFERROR(VLOOKUP(U161,Assumptions!$A$7:$D$11,2,FALSE),0)</f>
        <v/>
      </c>
      <c r="W161" s="24">
        <f>MAX(0.5,IFERROR(VLOOKUP(U161,Assumptions!$A$7:$D$11,3,FALSE),3)+IFERROR(VLOOKUP(U161,Assumptions!$A$7:$D$11,4,FALSE),8)/2-IF(AN161="",0,YEAR(TODAY())-AN161))</f>
        <v/>
      </c>
      <c r="X161" s="21">
        <f>T161*V161/(1+Assumptions!$B$3)^W161</f>
        <v/>
      </c>
      <c r="Y161" s="25">
        <f>IF(T161=0,"",ROUND(X161/T161*100,1))</f>
        <v/>
      </c>
      <c r="Z161" s="26">
        <f>X161*Assumptions!$B$4</f>
        <v/>
      </c>
      <c r="AA161" s="25">
        <f>IF(T161=0,"",ROUND(Z161/T161*100,1))</f>
        <v/>
      </c>
      <c r="AB161" s="26">
        <f>X161-Z161</f>
        <v/>
      </c>
      <c r="AC161" s="25">
        <f>IF(T161=0,"",ROUND((X161-Z161)/T161*100,1))</f>
        <v/>
      </c>
      <c r="AD161" s="27" t="inlineStr">
        <is>
          <t>CONFIRMED</t>
        </is>
      </c>
      <c r="AE161" s="28" t="inlineStr">
        <is>
          <t>https://stenius.com.br/wp-content/uploads/2026/06/EDITAL-GRUPO-3E.pdf</t>
        </is>
      </c>
      <c r="AF161" s="27" t="inlineStr">
        <is>
          <t>p14 r13</t>
        </is>
      </c>
      <c r="AG161" s="27" t="inlineStr">
        <is>
          <t>p14: R$ 1.227.904,00</t>
        </is>
      </c>
      <c r="AH161" s="27" t="inlineStr">
        <is>
          <t>DEBTOR_LIST</t>
        </is>
      </c>
      <c r="AI161" s="27" t="inlineStr">
        <is>
          <t>2026-06-22</t>
        </is>
      </c>
      <c r="AJ161" s="27" t="inlineStr">
        <is>
          <t>OK_NO_TOTALS</t>
        </is>
      </c>
      <c r="AK161" s="29" t="inlineStr">
        <is>
          <t>5341375-33.2026.8.09.0049</t>
        </is>
      </c>
      <c r="AL161" s="29" t="inlineStr">
        <is>
          <t>TJGO</t>
        </is>
      </c>
      <c r="AM161" s="29" t="inlineStr">
        <is>
          <t>ACTIVE</t>
        </is>
      </c>
      <c r="AN161" s="29" t="n">
        <v>2026</v>
      </c>
      <c r="AO161" s="29" t="inlineStr">
        <is>
          <t>plan/homologation document found</t>
        </is>
      </c>
      <c r="AP161" s="29" t="inlineStr">
        <is>
          <t>TRINDADE</t>
        </is>
      </c>
      <c r="AQ161" s="29" t="inlineStr">
        <is>
          <t>GO</t>
        </is>
      </c>
      <c r="AR161" s="29" t="inlineStr">
        <is>
          <t>Preparação de subprodutos do abate</t>
        </is>
      </c>
      <c r="AS161" s="29" t="inlineStr">
        <is>
          <t>DEMAIS</t>
        </is>
      </c>
      <c r="AT161" s="29" t="inlineStr">
        <is>
          <t>LARGE CORP</t>
        </is>
      </c>
      <c r="AU161" s="29" t="inlineStr">
        <is>
          <t>19357388</t>
        </is>
      </c>
      <c r="AV161" s="29" t="n">
        <v>1</v>
      </c>
      <c r="AW161" s="29" t="inlineStr">
        <is>
          <t>ROWS:p14r13 UNRECONCILED_SOURCE</t>
        </is>
      </c>
    </row>
    <row r="162">
      <c r="A162" s="15" t="inlineStr">
        <is>
          <t>RAFITEC SOLUCOES EM PLASTICOS LTDA</t>
        </is>
      </c>
      <c r="B162" s="16" t="n">
        <v>824696.62</v>
      </c>
      <c r="C162" s="17" t="inlineStr"/>
      <c r="D162" s="18" t="inlineStr">
        <is>
          <t>NEW</t>
        </is>
      </c>
      <c r="E162" s="19" t="inlineStr"/>
      <c r="F162" s="18" t="inlineStr"/>
      <c r="G162" s="19" t="inlineStr"/>
      <c r="H162" s="18" t="inlineStr"/>
      <c r="I162" s="20" t="inlineStr">
        <is>
          <t>Carlos Eduardo</t>
        </is>
      </c>
      <c r="J162" s="20" t="inlineStr">
        <is>
          <t>Regional Sales Manager | Key Accounts &amp; Market Development</t>
        </is>
      </c>
      <c r="K162" s="20" t="inlineStr">
        <is>
          <t>(49) 3353-8383</t>
        </is>
      </c>
      <c r="L162" s="20" t="inlineStr"/>
      <c r="M162" s="20" t="inlineStr"/>
      <c r="N162" s="20" t="inlineStr">
        <is>
          <t>carlos.eduardo@rafitec.com.br</t>
        </is>
      </c>
      <c r="O162" s="20" t="inlineStr"/>
      <c r="P162" s="20" t="inlineStr">
        <is>
          <t>LUIZA VACCARO DE SAIBRO</t>
        </is>
      </c>
      <c r="Q162" s="20" t="inlineStr">
        <is>
          <t>Administrador</t>
        </is>
      </c>
      <c r="R162" s="20" t="inlineStr">
        <is>
          <t>(49) 3353-8383</t>
        </is>
      </c>
      <c r="S162" s="20" t="inlineStr"/>
      <c r="T162" s="21" t="n">
        <v>824696.62</v>
      </c>
      <c r="U162" s="22" t="inlineStr">
        <is>
          <t>B</t>
        </is>
      </c>
      <c r="V162" s="23">
        <f>IFERROR(VLOOKUP(U162,Assumptions!$A$7:$D$11,2,FALSE),0)</f>
        <v/>
      </c>
      <c r="W162" s="24">
        <f>MAX(0.5,IFERROR(VLOOKUP(U162,Assumptions!$A$7:$D$11,3,FALSE),3)+IFERROR(VLOOKUP(U162,Assumptions!$A$7:$D$11,4,FALSE),8)/2-IF(AN162="",0,YEAR(TODAY())-AN162))</f>
        <v/>
      </c>
      <c r="X162" s="21">
        <f>T162*V162/(1+Assumptions!$B$3)^W162</f>
        <v/>
      </c>
      <c r="Y162" s="25">
        <f>IF(T162=0,"",ROUND(X162/T162*100,1))</f>
        <v/>
      </c>
      <c r="Z162" s="26">
        <f>X162*Assumptions!$B$4</f>
        <v/>
      </c>
      <c r="AA162" s="25">
        <f>IF(T162=0,"",ROUND(Z162/T162*100,1))</f>
        <v/>
      </c>
      <c r="AB162" s="26">
        <f>X162-Z162</f>
        <v/>
      </c>
      <c r="AC162" s="25">
        <f>IF(T162=0,"",ROUND((X162-Z162)/T162*100,1))</f>
        <v/>
      </c>
      <c r="AD162" s="27" t="inlineStr">
        <is>
          <t>ESTIMATED</t>
        </is>
      </c>
      <c r="AE162" s="28" t="inlineStr">
        <is>
          <t>https://cataliseaj.com.br/sgc/download.php?file=files/processo_documento/processo_documento15092204102024_1_.pdf&amp;nome=02. RELAÇÃO DE CREDORES</t>
        </is>
      </c>
      <c r="AF162" s="27" t="inlineStr">
        <is>
          <t>p3 r8</t>
        </is>
      </c>
      <c r="AG162" s="27" t="inlineStr">
        <is>
          <t>p3: R$ 824.696,62</t>
        </is>
      </c>
      <c r="AH162" s="27" t="inlineStr">
        <is>
          <t>DEBTOR_LIST</t>
        </is>
      </c>
      <c r="AI162" s="27" t="inlineStr"/>
      <c r="AJ162" s="27" t="inlineStr">
        <is>
          <t>OK_NO_TOTALS</t>
        </is>
      </c>
      <c r="AK162" s="29" t="inlineStr">
        <is>
          <t>5011460-87.2023.8.24.0020</t>
        </is>
      </c>
      <c r="AL162" s="29" t="inlineStr">
        <is>
          <t>TJSC</t>
        </is>
      </c>
      <c r="AM162" s="29" t="inlineStr">
        <is>
          <t>ACTIVE</t>
        </is>
      </c>
      <c r="AN162" s="29" t="n">
        <v>2023</v>
      </c>
      <c r="AO162" s="29" t="inlineStr">
        <is>
          <t>live case, no plan document yet</t>
        </is>
      </c>
      <c r="AP162" s="29" t="inlineStr">
        <is>
          <t>XAXIM</t>
        </is>
      </c>
      <c r="AQ162" s="29" t="inlineStr">
        <is>
          <t>SC</t>
        </is>
      </c>
      <c r="AR162" s="29" t="inlineStr">
        <is>
          <t>Fiação de fibras artificiais e sintéticas</t>
        </is>
      </c>
      <c r="AS162" s="29" t="inlineStr">
        <is>
          <t>DEMAIS</t>
        </is>
      </c>
      <c r="AT162" s="29" t="inlineStr">
        <is>
          <t>MID-MARKET</t>
        </is>
      </c>
      <c r="AU162" s="29" t="inlineStr">
        <is>
          <t>00763251</t>
        </is>
      </c>
      <c r="AV162" s="29" t="n">
        <v>1</v>
      </c>
      <c r="AW162" s="29" t="inlineStr">
        <is>
          <t>ROWS:p3r8 UNRECONCILED_SOURCE</t>
        </is>
      </c>
    </row>
    <row r="163">
      <c r="A163" s="15" t="inlineStr">
        <is>
          <t>AGROCERES PIC SUINOS LTDA</t>
        </is>
      </c>
      <c r="B163" s="16" t="n">
        <v>1029654.77</v>
      </c>
      <c r="C163" s="17" t="inlineStr"/>
      <c r="D163" s="18" t="inlineStr">
        <is>
          <t>NEW</t>
        </is>
      </c>
      <c r="E163" s="19" t="inlineStr"/>
      <c r="F163" s="18" t="inlineStr"/>
      <c r="G163" s="19" t="inlineStr"/>
      <c r="H163" s="18" t="inlineStr"/>
      <c r="I163" s="20" t="inlineStr">
        <is>
          <t>ALEXANDRE FURTADO DA ROSA</t>
        </is>
      </c>
      <c r="J163" s="20" t="inlineStr">
        <is>
          <t>Administrador</t>
        </is>
      </c>
      <c r="K163" s="20" t="inlineStr">
        <is>
          <t>(19) 3526-8500</t>
        </is>
      </c>
      <c r="L163" s="20" t="inlineStr"/>
      <c r="M163" s="20" t="inlineStr"/>
      <c r="N163" s="20" t="inlineStr"/>
      <c r="O163" s="20" t="inlineStr"/>
      <c r="P163" s="20" t="inlineStr">
        <is>
          <t>MARCELO ARAUJO RIBEIRAL</t>
        </is>
      </c>
      <c r="Q163" s="20" t="inlineStr">
        <is>
          <t>Administrador</t>
        </is>
      </c>
      <c r="R163" s="20" t="inlineStr">
        <is>
          <t>(19) 3526-8500</t>
        </is>
      </c>
      <c r="S163" s="20" t="inlineStr"/>
      <c r="T163" s="21" t="n">
        <v>1029654.77</v>
      </c>
      <c r="U163" s="22" t="inlineStr">
        <is>
          <t>B</t>
        </is>
      </c>
      <c r="V163" s="23">
        <f>IFERROR(VLOOKUP(U163,Assumptions!$A$7:$D$11,2,FALSE),0)</f>
        <v/>
      </c>
      <c r="W163" s="24">
        <f>MAX(0.5,IFERROR(VLOOKUP(U163,Assumptions!$A$7:$D$11,3,FALSE),3)+IFERROR(VLOOKUP(U163,Assumptions!$A$7:$D$11,4,FALSE),8)/2-IF(AN163="",0,YEAR(TODAY())-AN163))</f>
        <v/>
      </c>
      <c r="X163" s="21">
        <f>T163*V163/(1+Assumptions!$B$3)^W163</f>
        <v/>
      </c>
      <c r="Y163" s="25">
        <f>IF(T163=0,"",ROUND(X163/T163*100,1))</f>
        <v/>
      </c>
      <c r="Z163" s="26">
        <f>X163*Assumptions!$B$4</f>
        <v/>
      </c>
      <c r="AA163" s="25">
        <f>IF(T163=0,"",ROUND(Z163/T163*100,1))</f>
        <v/>
      </c>
      <c r="AB163" s="26">
        <f>X163-Z163</f>
        <v/>
      </c>
      <c r="AC163" s="25">
        <f>IF(T163=0,"",ROUND((X163-Z163)/T163*100,1))</f>
        <v/>
      </c>
      <c r="AD163" s="27" t="inlineStr">
        <is>
          <t>ESTIMATED</t>
        </is>
      </c>
      <c r="AE163" s="28" t="inlineStr">
        <is>
          <t>https://rlg-aj.com.br/wp-content/uploads/2024/11/07.-Relação-de-credores.pdf</t>
        </is>
      </c>
      <c r="AF163" s="27" t="inlineStr">
        <is>
          <t>p1 r24</t>
        </is>
      </c>
      <c r="AG163" s="27" t="inlineStr">
        <is>
          <t>p1: R$ 1.029.654,77</t>
        </is>
      </c>
      <c r="AH163" s="27" t="inlineStr">
        <is>
          <t>UNKNOWN</t>
        </is>
      </c>
      <c r="AI163" s="27" t="inlineStr"/>
      <c r="AJ163" s="27" t="inlineStr">
        <is>
          <t>OK_NO_TOTALS</t>
        </is>
      </c>
      <c r="AK163" s="29" t="inlineStr">
        <is>
          <t>5009149-92.2024.8.24.0019</t>
        </is>
      </c>
      <c r="AL163" s="29" t="inlineStr">
        <is>
          <t>TJSC</t>
        </is>
      </c>
      <c r="AM163" s="29" t="inlineStr">
        <is>
          <t>ACTIVE</t>
        </is>
      </c>
      <c r="AN163" s="29" t="n">
        <v>2024</v>
      </c>
      <c r="AO163" s="29" t="inlineStr">
        <is>
          <t>live case, no plan document yet</t>
        </is>
      </c>
      <c r="AP163" s="29" t="inlineStr">
        <is>
          <t>RIO CLARO</t>
        </is>
      </c>
      <c r="AQ163" s="29" t="inlineStr">
        <is>
          <t>SP</t>
        </is>
      </c>
      <c r="AR163" s="29" t="inlineStr">
        <is>
          <t>Criação de suínos</t>
        </is>
      </c>
      <c r="AS163" s="29" t="inlineStr">
        <is>
          <t>DEMAIS</t>
        </is>
      </c>
      <c r="AT163" s="29" t="inlineStr">
        <is>
          <t>MID-MARKET</t>
        </is>
      </c>
      <c r="AU163" s="29" t="inlineStr">
        <is>
          <t>28109395</t>
        </is>
      </c>
      <c r="AV163" s="29" t="n">
        <v>1</v>
      </c>
      <c r="AW163" s="29" t="inlineStr">
        <is>
          <t>ROWS:p1r24 UNRECONCILED_SOURCE</t>
        </is>
      </c>
    </row>
    <row r="164">
      <c r="A164" s="15" t="inlineStr">
        <is>
          <t>CTS - COMERCIO DE APARAS LTDA</t>
        </is>
      </c>
      <c r="B164" s="16" t="n">
        <v>820372.25</v>
      </c>
      <c r="C164" s="17" t="inlineStr">
        <is>
          <t>CRISTAL MASTER INDUSTRIA E COMERCIO LTDA</t>
        </is>
      </c>
      <c r="D164" s="18" t="inlineStr">
        <is>
          <t>NEW</t>
        </is>
      </c>
      <c r="E164" s="19" t="inlineStr"/>
      <c r="F164" s="18" t="inlineStr"/>
      <c r="G164" s="19" t="inlineStr"/>
      <c r="H164" s="18" t="inlineStr"/>
      <c r="I164" s="20" t="inlineStr">
        <is>
          <t>CELSO BASSO</t>
        </is>
      </c>
      <c r="J164" s="20" t="inlineStr">
        <is>
          <t>Sócio-Administrador</t>
        </is>
      </c>
      <c r="K164" s="20" t="inlineStr">
        <is>
          <t>(51) 3594-6983</t>
        </is>
      </c>
      <c r="L164" s="20" t="inlineStr"/>
      <c r="M164" s="20" t="inlineStr"/>
      <c r="N164" s="20" t="inlineStr"/>
      <c r="O164" s="20" t="inlineStr"/>
      <c r="P164" s="20" t="inlineStr">
        <is>
          <t>THOMAZ BASSO</t>
        </is>
      </c>
      <c r="Q164" s="20" t="inlineStr">
        <is>
          <t>Sócio-Administrador</t>
        </is>
      </c>
      <c r="R164" s="20" t="inlineStr">
        <is>
          <t>(51) 3594-6983</t>
        </is>
      </c>
      <c r="S164" s="20" t="inlineStr"/>
      <c r="T164" s="21" t="n">
        <v>820372.25</v>
      </c>
      <c r="U164" s="22" t="inlineStr">
        <is>
          <t>B</t>
        </is>
      </c>
      <c r="V164" s="23">
        <f>IFERROR(VLOOKUP(U164,Assumptions!$A$7:$D$11,2,FALSE),0)</f>
        <v/>
      </c>
      <c r="W164" s="24">
        <f>MAX(0.5,IFERROR(VLOOKUP(U164,Assumptions!$A$7:$D$11,3,FALSE),3)+IFERROR(VLOOKUP(U164,Assumptions!$A$7:$D$11,4,FALSE),8)/2-IF(AN164="",0,YEAR(TODAY())-AN164))</f>
        <v/>
      </c>
      <c r="X164" s="21">
        <f>T164*V164/(1+Assumptions!$B$3)^W164</f>
        <v/>
      </c>
      <c r="Y164" s="25">
        <f>IF(T164=0,"",ROUND(X164/T164*100,1))</f>
        <v/>
      </c>
      <c r="Z164" s="26">
        <f>X164*Assumptions!$B$4</f>
        <v/>
      </c>
      <c r="AA164" s="25">
        <f>IF(T164=0,"",ROUND(Z164/T164*100,1))</f>
        <v/>
      </c>
      <c r="AB164" s="26">
        <f>X164-Z164</f>
        <v/>
      </c>
      <c r="AC164" s="25">
        <f>IF(T164=0,"",ROUND((X164-Z164)/T164*100,1))</f>
        <v/>
      </c>
      <c r="AD164" s="27" t="inlineStr">
        <is>
          <t>ESTIMATED</t>
        </is>
      </c>
      <c r="AE164" s="28" t="inlineStr">
        <is>
          <t>https://ajruiz.com.br/sites/default/files/public/arquivos-processos/2026-08/qgc_azeplast_julho_2026.pdf</t>
        </is>
      </c>
      <c r="AF164" s="27" t="inlineStr">
        <is>
          <t>p1 r23; p1 r24</t>
        </is>
      </c>
      <c r="AG164" s="27" t="inlineStr">
        <is>
          <t>p1: R$ 735.532,60; p1: R$ 84.839,65</t>
        </is>
      </c>
      <c r="AH164" s="27" t="inlineStr">
        <is>
          <t>QGC</t>
        </is>
      </c>
      <c r="AI164" s="27" t="inlineStr"/>
      <c r="AJ164" s="27" t="inlineStr">
        <is>
          <t>QUARANTINED</t>
        </is>
      </c>
      <c r="AK164" s="29" t="inlineStr">
        <is>
          <t>5008793-34.2023.8.24.0019</t>
        </is>
      </c>
      <c r="AL164" s="29" t="inlineStr">
        <is>
          <t>TJSC</t>
        </is>
      </c>
      <c r="AM164" s="29" t="inlineStr">
        <is>
          <t>ACTIVE</t>
        </is>
      </c>
      <c r="AN164" s="29" t="n">
        <v>2023</v>
      </c>
      <c r="AO164" s="29" t="inlineStr">
        <is>
          <t>live case, no plan document yet</t>
        </is>
      </c>
      <c r="AP164" s="29" t="inlineStr">
        <is>
          <t>CANOAS</t>
        </is>
      </c>
      <c r="AQ164" s="29" t="inlineStr">
        <is>
          <t>RS</t>
        </is>
      </c>
      <c r="AR164" s="29" t="inlineStr">
        <is>
          <t>Recuperação de materiais não especificados anteriormente</t>
        </is>
      </c>
      <c r="AS164" s="29" t="inlineStr">
        <is>
          <t>DEMAIS</t>
        </is>
      </c>
      <c r="AT164" s="29" t="inlineStr">
        <is>
          <t>MID-MARKET</t>
        </is>
      </c>
      <c r="AU164" s="29" t="inlineStr">
        <is>
          <t>68755545</t>
        </is>
      </c>
      <c r="AV164" s="29" t="n">
        <v>2</v>
      </c>
      <c r="AW164" s="29" t="inlineStr">
        <is>
          <t>PARTIAL_DOC_CLASS_III_RECONCILED ROWS:p1r23,p1r24</t>
        </is>
      </c>
    </row>
    <row r="165">
      <c r="A165" s="15" t="inlineStr">
        <is>
          <t>TRUCKPAG MEIOS DE PAGAMENTO S/A</t>
        </is>
      </c>
      <c r="B165" s="16" t="n">
        <v>1021319.46</v>
      </c>
      <c r="C165" s="17" t="inlineStr">
        <is>
          <t>D'AGOSTINI &amp; DIDOMENICO LTDA EM RECUPERACAO JUDICIAL</t>
        </is>
      </c>
      <c r="D165" s="18" t="inlineStr">
        <is>
          <t>NEW</t>
        </is>
      </c>
      <c r="E165" s="19" t="inlineStr"/>
      <c r="F165" s="18" t="inlineStr"/>
      <c r="G165" s="19" t="inlineStr"/>
      <c r="H165" s="18" t="inlineStr"/>
      <c r="I165" s="20" t="inlineStr">
        <is>
          <t>Karina Dias</t>
        </is>
      </c>
      <c r="J165" s="20" t="inlineStr">
        <is>
          <t>Business Manager</t>
        </is>
      </c>
      <c r="K165" s="20" t="inlineStr">
        <is>
          <t>(45) 3229-8773</t>
        </is>
      </c>
      <c r="L165" s="20" t="inlineStr">
        <is>
          <t>(45) 3229-8741</t>
        </is>
      </c>
      <c r="M165" s="20" t="inlineStr"/>
      <c r="N165" s="20" t="inlineStr">
        <is>
          <t>karina.dias@truckpag.com.br</t>
        </is>
      </c>
      <c r="O165" s="20" t="inlineStr"/>
      <c r="P165" s="20" t="inlineStr">
        <is>
          <t>GIOVANI BATISTA BENDER</t>
        </is>
      </c>
      <c r="Q165" s="20" t="inlineStr">
        <is>
          <t>Diretor</t>
        </is>
      </c>
      <c r="R165" s="20" t="inlineStr">
        <is>
          <t>(45) 3229-8741</t>
        </is>
      </c>
      <c r="S165" s="20" t="inlineStr"/>
      <c r="T165" s="21" t="n">
        <v>1021319.46</v>
      </c>
      <c r="U165" s="22" t="inlineStr">
        <is>
          <t>B</t>
        </is>
      </c>
      <c r="V165" s="23">
        <f>IFERROR(VLOOKUP(U165,Assumptions!$A$7:$D$11,2,FALSE),0)</f>
        <v/>
      </c>
      <c r="W165" s="24">
        <f>MAX(0.5,IFERROR(VLOOKUP(U165,Assumptions!$A$7:$D$11,3,FALSE),3)+IFERROR(VLOOKUP(U165,Assumptions!$A$7:$D$11,4,FALSE),8)/2-IF(AN165="",0,YEAR(TODAY())-AN165))</f>
        <v/>
      </c>
      <c r="X165" s="21">
        <f>T165*V165/(1+Assumptions!$B$3)^W165</f>
        <v/>
      </c>
      <c r="Y165" s="25">
        <f>IF(T165=0,"",ROUND(X165/T165*100,1))</f>
        <v/>
      </c>
      <c r="Z165" s="26">
        <f>X165*Assumptions!$B$4</f>
        <v/>
      </c>
      <c r="AA165" s="25">
        <f>IF(T165=0,"",ROUND(Z165/T165*100,1))</f>
        <v/>
      </c>
      <c r="AB165" s="26">
        <f>X165-Z165</f>
        <v/>
      </c>
      <c r="AC165" s="25">
        <f>IF(T165=0,"",ROUND((X165-Z165)/T165*100,1))</f>
        <v/>
      </c>
      <c r="AD165" s="27" t="inlineStr">
        <is>
          <t>ESTIMATED</t>
        </is>
      </c>
      <c r="AE165" s="28" t="inlineStr">
        <is>
          <t>https://marquesadmjudicial.com.br/sgc/download.php?file=files/processo_documento/processo_documento20014127022025_1_.pdf&amp;nome=Relação Nominal de Credores</t>
        </is>
      </c>
      <c r="AF165" s="27" t="inlineStr">
        <is>
          <t>p6 r6</t>
        </is>
      </c>
      <c r="AG165" s="27" t="inlineStr">
        <is>
          <t>p6: R$ 1.021.319,46</t>
        </is>
      </c>
      <c r="AH165" s="27" t="inlineStr">
        <is>
          <t>AJ_LIST</t>
        </is>
      </c>
      <c r="AI165" s="27" t="inlineStr">
        <is>
          <t>2024-11-08</t>
        </is>
      </c>
      <c r="AJ165" s="27" t="inlineStr">
        <is>
          <t>QUARANTINED</t>
        </is>
      </c>
      <c r="AK165" s="29" t="inlineStr">
        <is>
          <t>0001943-40.2024.8.16.0115</t>
        </is>
      </c>
      <c r="AL165" s="29" t="inlineStr">
        <is>
          <t>TJPR</t>
        </is>
      </c>
      <c r="AM165" s="29" t="inlineStr">
        <is>
          <t>ACTIVE</t>
        </is>
      </c>
      <c r="AN165" s="29" t="n">
        <v>2024</v>
      </c>
      <c r="AO165" s="29" t="inlineStr">
        <is>
          <t>live case, no plan document yet</t>
        </is>
      </c>
      <c r="AP165" s="29" t="inlineStr">
        <is>
          <t>SANTANA DE PARNAIBA</t>
        </is>
      </c>
      <c r="AQ165" s="29" t="inlineStr">
        <is>
          <t>SP</t>
        </is>
      </c>
      <c r="AR165" s="29" t="inlineStr">
        <is>
          <t>Atividades de intermediação e agenciamento de serviços e negócios em geral, exceto imobiliários</t>
        </is>
      </c>
      <c r="AS165" s="29" t="inlineStr">
        <is>
          <t>DEMAIS</t>
        </is>
      </c>
      <c r="AT165" s="29" t="inlineStr">
        <is>
          <t>MID-MARKET</t>
        </is>
      </c>
      <c r="AU165" s="29" t="inlineStr">
        <is>
          <t>31443324</t>
        </is>
      </c>
      <c r="AV165" s="29" t="n">
        <v>1</v>
      </c>
      <c r="AW165" s="29" t="inlineStr">
        <is>
          <t>PARTIAL_DOC_CLASS_III_RECONCILED ROWS:p6r6</t>
        </is>
      </c>
    </row>
    <row r="166">
      <c r="A166" s="15" t="inlineStr">
        <is>
          <t>NIPRO MEDICAL CORPORATION PRODUTOS MEDICOS LTDA.</t>
        </is>
      </c>
      <c r="B166" s="16" t="n">
        <v>928406.79</v>
      </c>
      <c r="C166" s="17" t="inlineStr">
        <is>
          <t>CENTRO DE TRATAMENTO RENAL ZONA SUL LTDA - EM RECUPERACAO JUDICIAL</t>
        </is>
      </c>
      <c r="D166" s="18" t="inlineStr">
        <is>
          <t>NEW</t>
        </is>
      </c>
      <c r="E166" s="19" t="inlineStr"/>
      <c r="F166" s="18" t="inlineStr"/>
      <c r="G166" s="19" t="inlineStr"/>
      <c r="H166" s="18" t="inlineStr"/>
      <c r="I166" s="20" t="inlineStr">
        <is>
          <t>MARTIN ORTIZ DE ZEVALLOS MUNOZ</t>
        </is>
      </c>
      <c r="J166" s="20" t="inlineStr">
        <is>
          <t>Administrador</t>
        </is>
      </c>
      <c r="K166" s="20" t="inlineStr">
        <is>
          <t>(11) 3643-0555</t>
        </is>
      </c>
      <c r="L166" s="20" t="inlineStr"/>
      <c r="M166" s="20" t="inlineStr"/>
      <c r="N166" s="20" t="inlineStr"/>
      <c r="O166" s="20" t="inlineStr"/>
      <c r="P166" s="20" t="inlineStr"/>
      <c r="Q166" s="20" t="inlineStr"/>
      <c r="R166" s="20" t="inlineStr"/>
      <c r="S166" s="20" t="inlineStr"/>
      <c r="T166" s="21" t="n">
        <v>928406.79</v>
      </c>
      <c r="U166" s="31" t="inlineStr">
        <is>
          <t>C</t>
        </is>
      </c>
      <c r="V166" s="23">
        <f>IFERROR(VLOOKUP(U166,Assumptions!$A$7:$D$11,2,FALSE),0)</f>
        <v/>
      </c>
      <c r="W166" s="24">
        <f>MAX(0.5,IFERROR(VLOOKUP(U166,Assumptions!$A$7:$D$11,3,FALSE),3)+IFERROR(VLOOKUP(U166,Assumptions!$A$7:$D$11,4,FALSE),8)/2-IF(AN166="",0,YEAR(TODAY())-AN166))</f>
        <v/>
      </c>
      <c r="X166" s="21">
        <f>T166*V166/(1+Assumptions!$B$3)^W166</f>
        <v/>
      </c>
      <c r="Y166" s="25">
        <f>IF(T166=0,"",ROUND(X166/T166*100,1))</f>
        <v/>
      </c>
      <c r="Z166" s="26">
        <f>X166*Assumptions!$B$4</f>
        <v/>
      </c>
      <c r="AA166" s="25">
        <f>IF(T166=0,"",ROUND(Z166/T166*100,1))</f>
        <v/>
      </c>
      <c r="AB166" s="26">
        <f>X166-Z166</f>
        <v/>
      </c>
      <c r="AC166" s="25">
        <f>IF(T166=0,"",ROUND((X166-Z166)/T166*100,1))</f>
        <v/>
      </c>
      <c r="AD166" s="27" t="inlineStr">
        <is>
          <t>UNKNOWN</t>
        </is>
      </c>
      <c r="AE166" s="28" t="inlineStr">
        <is>
          <t>https://recuperacaojudicial.squarespace.com/s/4-RJCTREditalda2ListadeCredoresnovembro2019.pdf</t>
        </is>
      </c>
      <c r="AF166" s="27" t="inlineStr">
        <is>
          <t>p3 r36</t>
        </is>
      </c>
      <c r="AG166" s="27" t="inlineStr">
        <is>
          <t>p3: R$ 928.406,79</t>
        </is>
      </c>
      <c r="AH166" s="27" t="inlineStr">
        <is>
          <t>AJ_LIST</t>
        </is>
      </c>
      <c r="AI166" s="27" t="inlineStr">
        <is>
          <t>2019-11-25</t>
        </is>
      </c>
      <c r="AJ166" s="27" t="inlineStr">
        <is>
          <t>OK</t>
        </is>
      </c>
      <c r="AK166" s="29" t="inlineStr">
        <is>
          <t>0015488-29.2018.8.17.2810</t>
        </is>
      </c>
      <c r="AL166" s="29" t="inlineStr">
        <is>
          <t>TJ</t>
        </is>
      </c>
      <c r="AM166" s="29" t="inlineStr"/>
      <c r="AN166" s="29" t="n">
        <v>2018</v>
      </c>
      <c r="AO166" s="29" t="inlineStr">
        <is>
          <t>8y since filing, no plan document</t>
        </is>
      </c>
      <c r="AP166" s="29" t="inlineStr">
        <is>
          <t>SAO PAULO</t>
        </is>
      </c>
      <c r="AQ166" s="29" t="inlineStr">
        <is>
          <t>SP</t>
        </is>
      </c>
      <c r="AR166" s="29" t="inlineStr">
        <is>
          <t>Comércio atacadista de instrumentos e materiais para uso médico, cirúrgico, hospitalar e de laboratórios</t>
        </is>
      </c>
      <c r="AS166" s="29" t="inlineStr">
        <is>
          <t>DEMAIS</t>
        </is>
      </c>
      <c r="AT166" s="29" t="inlineStr">
        <is>
          <t>LARGE CORP</t>
        </is>
      </c>
      <c r="AU166" s="29" t="inlineStr">
        <is>
          <t>13333090</t>
        </is>
      </c>
      <c r="AV166" s="29" t="n">
        <v>1</v>
      </c>
      <c r="AW166" s="29" t="inlineStr">
        <is>
          <t>ROWS:p3r36</t>
        </is>
      </c>
    </row>
    <row r="167">
      <c r="A167" s="15" t="inlineStr">
        <is>
          <t>MAGNUM DISTRIBUIDORA DE PNEUS S/A</t>
        </is>
      </c>
      <c r="B167" s="16" t="n">
        <v>644893.08</v>
      </c>
      <c r="C167" s="17" t="inlineStr">
        <is>
          <t>SECULAR COMÉRCIO CONSTRUÇÃO E REPRESENTAÇÃO LTDA - ME, EM</t>
        </is>
      </c>
      <c r="D167" s="18" t="inlineStr">
        <is>
          <t>NEW</t>
        </is>
      </c>
      <c r="E167" s="19" t="inlineStr"/>
      <c r="F167" s="18" t="inlineStr"/>
      <c r="G167" s="19" t="inlineStr"/>
      <c r="H167" s="18" t="inlineStr"/>
      <c r="I167" s="20" t="inlineStr">
        <is>
          <t>Rafaela Almeida</t>
        </is>
      </c>
      <c r="J167" s="20" t="inlineStr">
        <is>
          <t>Coordenadora de Câmbio e Tesouraria</t>
        </is>
      </c>
      <c r="K167" s="20" t="inlineStr">
        <is>
          <t>(81) 3797-6245</t>
        </is>
      </c>
      <c r="L167" s="20" t="inlineStr">
        <is>
          <t>(81) 3797-6246</t>
        </is>
      </c>
      <c r="M167" s="20" t="inlineStr"/>
      <c r="N167" s="20" t="inlineStr"/>
      <c r="O167" s="20" t="inlineStr">
        <is>
          <t>gfurtado@magnumtires.com.br</t>
        </is>
      </c>
      <c r="P167" s="20" t="inlineStr">
        <is>
          <t>Gilsilene Furtado</t>
        </is>
      </c>
      <c r="Q167" s="20" t="inlineStr">
        <is>
          <t>Analista Financeiro Contas a Receber</t>
        </is>
      </c>
      <c r="R167" s="20" t="inlineStr"/>
      <c r="S167" s="20" t="inlineStr">
        <is>
          <t>gfurtado@magnumtires.com.br</t>
        </is>
      </c>
      <c r="T167" s="21" t="n">
        <v>644893.08</v>
      </c>
      <c r="U167" s="22" t="inlineStr">
        <is>
          <t>B</t>
        </is>
      </c>
      <c r="V167" s="23">
        <f>IFERROR(VLOOKUP(U167,Assumptions!$A$7:$D$11,2,FALSE),0)</f>
        <v/>
      </c>
      <c r="W167" s="24">
        <f>MAX(0.5,IFERROR(VLOOKUP(U167,Assumptions!$A$7:$D$11,3,FALSE),3)+IFERROR(VLOOKUP(U167,Assumptions!$A$7:$D$11,4,FALSE),8)/2-IF(AN167="",0,YEAR(TODAY())-AN167))</f>
        <v/>
      </c>
      <c r="X167" s="21">
        <f>T167*V167/(1+Assumptions!$B$3)^W167</f>
        <v/>
      </c>
      <c r="Y167" s="25">
        <f>IF(T167=0,"",ROUND(X167/T167*100,1))</f>
        <v/>
      </c>
      <c r="Z167" s="26">
        <f>X167*Assumptions!$B$4</f>
        <v/>
      </c>
      <c r="AA167" s="25">
        <f>IF(T167=0,"",ROUND(Z167/T167*100,1))</f>
        <v/>
      </c>
      <c r="AB167" s="26">
        <f>X167-Z167</f>
        <v/>
      </c>
      <c r="AC167" s="25">
        <f>IF(T167=0,"",ROUND((X167-Z167)/T167*100,1))</f>
        <v/>
      </c>
      <c r="AD167" s="27" t="inlineStr">
        <is>
          <t>ESTIMATED</t>
        </is>
      </c>
      <c r="AE167" s="28" t="inlineStr">
        <is>
          <t>https://lrflideres.com.br/wp-content/uploads/2022/08/4.-EDITAL-2a-LISTA-DE-CREDORES.pdf</t>
        </is>
      </c>
      <c r="AF167" s="27" t="inlineStr">
        <is>
          <t>p1 r21</t>
        </is>
      </c>
      <c r="AG167" s="27" t="inlineStr">
        <is>
          <t>p1: R$ 644.893,08</t>
        </is>
      </c>
      <c r="AH167" s="27" t="inlineStr">
        <is>
          <t>AJ_LIST</t>
        </is>
      </c>
      <c r="AI167" s="27" t="inlineStr">
        <is>
          <t>2023-12-04</t>
        </is>
      </c>
      <c r="AJ167" s="27" t="inlineStr">
        <is>
          <t>OK</t>
        </is>
      </c>
      <c r="AK167" s="29" t="inlineStr">
        <is>
          <t>0804204-35.2022.8.15.0731</t>
        </is>
      </c>
      <c r="AL167" s="29" t="inlineStr">
        <is>
          <t>TJPB</t>
        </is>
      </c>
      <c r="AM167" s="29" t="inlineStr">
        <is>
          <t>ACTIVE</t>
        </is>
      </c>
      <c r="AN167" s="29" t="n">
        <v>2022</v>
      </c>
      <c r="AO167" s="29" t="inlineStr">
        <is>
          <t>live case, no plan document yet</t>
        </is>
      </c>
      <c r="AP167" s="29" t="inlineStr">
        <is>
          <t>JABOATAO DOS GUARARAPES</t>
        </is>
      </c>
      <c r="AQ167" s="29" t="inlineStr">
        <is>
          <t>PE</t>
        </is>
      </c>
      <c r="AR167" s="29" t="inlineStr">
        <is>
          <t>Comércio por atacado de pneumáticos e câmaras-de-ar</t>
        </is>
      </c>
      <c r="AS167" s="29" t="inlineStr">
        <is>
          <t>DEMAIS</t>
        </is>
      </c>
      <c r="AT167" s="29" t="inlineStr">
        <is>
          <t>LARGE CORP</t>
        </is>
      </c>
      <c r="AU167" s="29" t="inlineStr">
        <is>
          <t>19403406</t>
        </is>
      </c>
      <c r="AV167" s="29" t="n">
        <v>1</v>
      </c>
      <c r="AW167" s="29" t="inlineStr">
        <is>
          <t>ROWS:p1r21</t>
        </is>
      </c>
    </row>
    <row r="168">
      <c r="A168" s="15" t="inlineStr">
        <is>
          <t>INDUSTRIA E COMERCIO DE PRODUTOS AGRICOLAS NEWFERT LTDA</t>
        </is>
      </c>
      <c r="B168" s="16" t="n">
        <v>1002340</v>
      </c>
      <c r="C168" s="17" t="inlineStr">
        <is>
          <t>AGROFORTE AGROPECUARIA LTDA EM RECUPERACAO JUDICIAL</t>
        </is>
      </c>
      <c r="D168" s="18" t="inlineStr">
        <is>
          <t>NEW</t>
        </is>
      </c>
      <c r="E168" s="19" t="inlineStr"/>
      <c r="F168" s="18" t="inlineStr"/>
      <c r="G168" s="19" t="inlineStr"/>
      <c r="H168" s="18" t="inlineStr"/>
      <c r="I168" s="20" t="inlineStr">
        <is>
          <t>LUIS HIDEKI TAKAHARA</t>
        </is>
      </c>
      <c r="J168" s="20" t="inlineStr">
        <is>
          <t>Sócio-Administrador</t>
        </is>
      </c>
      <c r="K168" s="20" t="inlineStr">
        <is>
          <t>(45) 4102-0950</t>
        </is>
      </c>
      <c r="L168" s="20" t="inlineStr"/>
      <c r="M168" s="20" t="inlineStr"/>
      <c r="N168" s="20" t="inlineStr"/>
      <c r="O168" s="20" t="inlineStr"/>
      <c r="P168" s="20" t="inlineStr"/>
      <c r="Q168" s="20" t="inlineStr"/>
      <c r="R168" s="20" t="inlineStr"/>
      <c r="S168" s="20" t="inlineStr"/>
      <c r="T168" s="21" t="n">
        <v>1002340</v>
      </c>
      <c r="U168" s="22" t="inlineStr">
        <is>
          <t>B</t>
        </is>
      </c>
      <c r="V168" s="23">
        <f>IFERROR(VLOOKUP(U168,Assumptions!$A$7:$D$11,2,FALSE),0)</f>
        <v/>
      </c>
      <c r="W168" s="24">
        <f>MAX(0.5,IFERROR(VLOOKUP(U168,Assumptions!$A$7:$D$11,3,FALSE),3)+IFERROR(VLOOKUP(U168,Assumptions!$A$7:$D$11,4,FALSE),8)/2-IF(AN168="",0,YEAR(TODAY())-AN168))</f>
        <v/>
      </c>
      <c r="X168" s="21">
        <f>T168*V168/(1+Assumptions!$B$3)^W168</f>
        <v/>
      </c>
      <c r="Y168" s="25">
        <f>IF(T168=0,"",ROUND(X168/T168*100,1))</f>
        <v/>
      </c>
      <c r="Z168" s="26">
        <f>X168*Assumptions!$B$4</f>
        <v/>
      </c>
      <c r="AA168" s="25">
        <f>IF(T168=0,"",ROUND(Z168/T168*100,1))</f>
        <v/>
      </c>
      <c r="AB168" s="26">
        <f>X168-Z168</f>
        <v/>
      </c>
      <c r="AC168" s="25">
        <f>IF(T168=0,"",ROUND((X168-Z168)/T168*100,1))</f>
        <v/>
      </c>
      <c r="AD168" s="27" t="inlineStr">
        <is>
          <t>ESTIMATED</t>
        </is>
      </c>
      <c r="AE168" s="28" t="inlineStr">
        <is>
          <t>https://marquesadmjudicial.com.br/sgc/download.php?file=files/processo_documento/processo_documento11370527032026_1_.pdf&amp;nome=Quadro Geral de Credores (QGC) -AJ Anterior</t>
        </is>
      </c>
      <c r="AF168" s="27" t="inlineStr">
        <is>
          <t>p2 r5</t>
        </is>
      </c>
      <c r="AG168" s="27" t="inlineStr">
        <is>
          <t>p2: R$ 1.002.340,00</t>
        </is>
      </c>
      <c r="AH168" s="27" t="inlineStr">
        <is>
          <t>QGC</t>
        </is>
      </c>
      <c r="AI168" s="27" t="inlineStr">
        <is>
          <t>2025-09-22</t>
        </is>
      </c>
      <c r="AJ168" s="27" t="inlineStr">
        <is>
          <t>QUARANTINED</t>
        </is>
      </c>
      <c r="AK168" s="29" t="inlineStr">
        <is>
          <t>0031120-52.2024.8.16.0017</t>
        </is>
      </c>
      <c r="AL168" s="29" t="inlineStr">
        <is>
          <t>TJPR</t>
        </is>
      </c>
      <c r="AM168" s="29" t="inlineStr">
        <is>
          <t>ACTIVE</t>
        </is>
      </c>
      <c r="AN168" s="29" t="n">
        <v>2024</v>
      </c>
      <c r="AO168" s="29" t="inlineStr">
        <is>
          <t>live case, no plan document yet</t>
        </is>
      </c>
      <c r="AP168" s="29" t="inlineStr">
        <is>
          <t>PIRAJUBA</t>
        </is>
      </c>
      <c r="AQ168" s="29" t="inlineStr">
        <is>
          <t>MG</t>
        </is>
      </c>
      <c r="AR168" s="29" t="inlineStr">
        <is>
          <t>Fabricação de adubos e fertilizantes, exceto organo-minerais</t>
        </is>
      </c>
      <c r="AS168" s="29" t="inlineStr">
        <is>
          <t>EMPRESA DE PEQUENO PORTE</t>
        </is>
      </c>
      <c r="AT168" s="29" t="inlineStr">
        <is>
          <t>SMALL</t>
        </is>
      </c>
      <c r="AU168" s="29" t="inlineStr">
        <is>
          <t>32847622</t>
        </is>
      </c>
      <c r="AV168" s="29" t="n">
        <v>1</v>
      </c>
      <c r="AW168" s="29" t="inlineStr">
        <is>
          <t>PARTIAL_DOC_CLASS_III_RECONCILED ROWS:p2r5</t>
        </is>
      </c>
    </row>
    <row r="169">
      <c r="A169" s="15" t="inlineStr">
        <is>
          <t>MEDQUIMICA INDUSTRIA FARMACEUTICA LTDA.</t>
        </is>
      </c>
      <c r="B169" s="16" t="n">
        <v>801264.79</v>
      </c>
      <c r="C169" s="17" t="inlineStr">
        <is>
          <t>VEV COMERCIO DE MEDICAMENTOS LTDA EM RECUPERACAO JUDICIAL</t>
        </is>
      </c>
      <c r="D169" s="18" t="inlineStr">
        <is>
          <t>NEW</t>
        </is>
      </c>
      <c r="E169" s="19" t="inlineStr"/>
      <c r="F169" s="18" t="inlineStr"/>
      <c r="G169" s="19" t="inlineStr"/>
      <c r="H169" s="18" t="inlineStr"/>
      <c r="I169" s="20" t="inlineStr">
        <is>
          <t>Paulo Pestana</t>
        </is>
      </c>
      <c r="J169" s="20" t="inlineStr">
        <is>
          <t>CFO &amp; Head of IT, Sourcing, Legal &amp; Compliance</t>
        </is>
      </c>
      <c r="K169" s="20" t="inlineStr">
        <is>
          <t>(32) 2101-4000</t>
        </is>
      </c>
      <c r="L169" s="20" t="inlineStr"/>
      <c r="M169" s="20" t="inlineStr"/>
      <c r="N169" s="20" t="inlineStr">
        <is>
          <t>paulopestana@lupin.com</t>
        </is>
      </c>
      <c r="O169" s="20" t="inlineStr"/>
      <c r="P169" s="20" t="inlineStr">
        <is>
          <t>Rafael Anadissor</t>
        </is>
      </c>
      <c r="Q169" s="20" t="inlineStr">
        <is>
          <t>Controller</t>
        </is>
      </c>
      <c r="R169" s="20" t="inlineStr"/>
      <c r="S169" s="20" t="inlineStr"/>
      <c r="T169" s="21" t="n">
        <v>801264.79</v>
      </c>
      <c r="U169" s="22" t="inlineStr">
        <is>
          <t>B</t>
        </is>
      </c>
      <c r="V169" s="23">
        <f>IFERROR(VLOOKUP(U169,Assumptions!$A$7:$D$11,2,FALSE),0)</f>
        <v/>
      </c>
      <c r="W169" s="24">
        <f>MAX(0.5,IFERROR(VLOOKUP(U169,Assumptions!$A$7:$D$11,3,FALSE),3)+IFERROR(VLOOKUP(U169,Assumptions!$A$7:$D$11,4,FALSE),8)/2-IF(AN169="",0,YEAR(TODAY())-AN169))</f>
        <v/>
      </c>
      <c r="X169" s="21">
        <f>T169*V169/(1+Assumptions!$B$3)^W169</f>
        <v/>
      </c>
      <c r="Y169" s="25">
        <f>IF(T169=0,"",ROUND(X169/T169*100,1))</f>
        <v/>
      </c>
      <c r="Z169" s="26">
        <f>X169*Assumptions!$B$4</f>
        <v/>
      </c>
      <c r="AA169" s="25">
        <f>IF(T169=0,"",ROUND(Z169/T169*100,1))</f>
        <v/>
      </c>
      <c r="AB169" s="26">
        <f>X169-Z169</f>
        <v/>
      </c>
      <c r="AC169" s="25">
        <f>IF(T169=0,"",ROUND((X169-Z169)/T169*100,1))</f>
        <v/>
      </c>
      <c r="AD169" s="27" t="inlineStr">
        <is>
          <t>ESTIMATED</t>
        </is>
      </c>
      <c r="AE169" s="28" t="inlineStr">
        <is>
          <t>https://marquesadmjudicial.com.br/sgc/download.php?file=files/processo_documento/processo_documento15293208032024_1_.pdf&amp;nome=Relação Nominal de Credores da AJ-Sintética</t>
        </is>
      </c>
      <c r="AF169" s="27" t="inlineStr">
        <is>
          <t>p29 r2</t>
        </is>
      </c>
      <c r="AG169" s="27" t="inlineStr">
        <is>
          <t>p29: R$ 801.264,79</t>
        </is>
      </c>
      <c r="AH169" s="27" t="inlineStr">
        <is>
          <t>AJ_LIST</t>
        </is>
      </c>
      <c r="AI169" s="27" t="inlineStr">
        <is>
          <t>2023-03-02</t>
        </is>
      </c>
      <c r="AJ169" s="27" t="inlineStr">
        <is>
          <t>QUARANTINED</t>
        </is>
      </c>
      <c r="AK169" s="29" t="inlineStr">
        <is>
          <t>0005010-98.2023.8.16.0001</t>
        </is>
      </c>
      <c r="AL169" s="29" t="inlineStr">
        <is>
          <t>TJPR</t>
        </is>
      </c>
      <c r="AM169" s="29" t="inlineStr">
        <is>
          <t>ACTIVE</t>
        </is>
      </c>
      <c r="AN169" s="29" t="n">
        <v>2023</v>
      </c>
      <c r="AO169" s="29" t="inlineStr">
        <is>
          <t>live case, no plan document yet</t>
        </is>
      </c>
      <c r="AP169" s="29" t="inlineStr">
        <is>
          <t>JUIZ DE FORA</t>
        </is>
      </c>
      <c r="AQ169" s="29" t="inlineStr">
        <is>
          <t>MG</t>
        </is>
      </c>
      <c r="AR169" s="29" t="inlineStr">
        <is>
          <t>Fabricação de medicamentos alopáticos para uso humano</t>
        </is>
      </c>
      <c r="AS169" s="29" t="inlineStr">
        <is>
          <t>DEMAIS</t>
        </is>
      </c>
      <c r="AT169" s="29" t="inlineStr">
        <is>
          <t>LARGE CORP</t>
        </is>
      </c>
      <c r="AU169" s="29" t="inlineStr">
        <is>
          <t>17875154</t>
        </is>
      </c>
      <c r="AV169" s="29" t="n">
        <v>1</v>
      </c>
      <c r="AW169" s="29" t="inlineStr">
        <is>
          <t>PARTIAL_DOC_CLASS_III_RECONCILED ROWS:p29r2</t>
        </is>
      </c>
    </row>
    <row r="170">
      <c r="A170" s="15" t="inlineStr">
        <is>
          <t>PAX BRAZIL AGROINDUSTRIA LTDA</t>
        </is>
      </c>
      <c r="B170" s="16" t="n">
        <v>788640</v>
      </c>
      <c r="C170" s="17" t="inlineStr">
        <is>
          <t>ADVOCACIA WANDERLEI DE PAULA BARRETO</t>
        </is>
      </c>
      <c r="D170" s="18" t="inlineStr">
        <is>
          <t>NEW</t>
        </is>
      </c>
      <c r="E170" s="19" t="inlineStr"/>
      <c r="F170" s="18" t="inlineStr"/>
      <c r="G170" s="19" t="inlineStr"/>
      <c r="H170" s="18" t="inlineStr"/>
      <c r="I170" s="20" t="inlineStr">
        <is>
          <t>PETRUS ASSEF NUNES</t>
        </is>
      </c>
      <c r="J170" s="20" t="inlineStr">
        <is>
          <t>Sócio-Administrador</t>
        </is>
      </c>
      <c r="K170" s="20" t="inlineStr">
        <is>
          <t>(11) 3628-7656</t>
        </is>
      </c>
      <c r="L170" s="20" t="inlineStr"/>
      <c r="M170" s="20" t="inlineStr"/>
      <c r="N170" s="20" t="inlineStr"/>
      <c r="O170" s="20" t="inlineStr"/>
      <c r="P170" s="20" t="inlineStr"/>
      <c r="Q170" s="20" t="inlineStr"/>
      <c r="R170" s="20" t="inlineStr"/>
      <c r="S170" s="20" t="inlineStr"/>
      <c r="T170" s="21" t="n">
        <v>788640</v>
      </c>
      <c r="U170" s="22" t="inlineStr">
        <is>
          <t>B</t>
        </is>
      </c>
      <c r="V170" s="23">
        <f>IFERROR(VLOOKUP(U170,Assumptions!$A$7:$D$11,2,FALSE),0)</f>
        <v/>
      </c>
      <c r="W170" s="24">
        <f>MAX(0.5,IFERROR(VLOOKUP(U170,Assumptions!$A$7:$D$11,3,FALSE),3)+IFERROR(VLOOKUP(U170,Assumptions!$A$7:$D$11,4,FALSE),8)/2-IF(AN170="",0,YEAR(TODAY())-AN170))</f>
        <v/>
      </c>
      <c r="X170" s="21">
        <f>T170*V170/(1+Assumptions!$B$3)^W170</f>
        <v/>
      </c>
      <c r="Y170" s="25">
        <f>IF(T170=0,"",ROUND(X170/T170*100,1))</f>
        <v/>
      </c>
      <c r="Z170" s="26">
        <f>X170*Assumptions!$B$4</f>
        <v/>
      </c>
      <c r="AA170" s="25">
        <f>IF(T170=0,"",ROUND(Z170/T170*100,1))</f>
        <v/>
      </c>
      <c r="AB170" s="26">
        <f>X170-Z170</f>
        <v/>
      </c>
      <c r="AC170" s="25">
        <f>IF(T170=0,"",ROUND((X170-Z170)/T170*100,1))</f>
        <v/>
      </c>
      <c r="AD170" s="27" t="inlineStr">
        <is>
          <t>ESTIMATED</t>
        </is>
      </c>
      <c r="AE170" s="28" t="inlineStr">
        <is>
          <t>https://marquesadmjudicial.com.br/sgc/download.php?file=files/processo_documento/processo_documento17040729052024_1_.pdf&amp;nome=Relação Nominal de Credores AJ-Sintética</t>
        </is>
      </c>
      <c r="AF170" s="27" t="inlineStr">
        <is>
          <t>p12 r13</t>
        </is>
      </c>
      <c r="AG170" s="27" t="inlineStr">
        <is>
          <t>p12: R$ 788.640,00</t>
        </is>
      </c>
      <c r="AH170" s="27" t="inlineStr">
        <is>
          <t>AJ_LIST</t>
        </is>
      </c>
      <c r="AI170" s="27" t="inlineStr">
        <is>
          <t>2024-05-27</t>
        </is>
      </c>
      <c r="AJ170" s="27" t="inlineStr">
        <is>
          <t>QUARANTINED</t>
        </is>
      </c>
      <c r="AK170" s="29" t="inlineStr">
        <is>
          <t>0003971-03.2023.8.16.0119</t>
        </is>
      </c>
      <c r="AL170" s="29" t="inlineStr">
        <is>
          <t>TJPR</t>
        </is>
      </c>
      <c r="AM170" s="29" t="inlineStr">
        <is>
          <t>ACTIVE</t>
        </is>
      </c>
      <c r="AN170" s="29" t="n">
        <v>2023</v>
      </c>
      <c r="AO170" s="29" t="inlineStr">
        <is>
          <t>live case, no plan document yet</t>
        </is>
      </c>
      <c r="AP170" s="29" t="inlineStr">
        <is>
          <t>SAO PAULO</t>
        </is>
      </c>
      <c r="AQ170" s="29" t="inlineStr">
        <is>
          <t>SP</t>
        </is>
      </c>
      <c r="AR170" s="29" t="inlineStr">
        <is>
          <t>Comércio atacadista de produtos alimentícios em geral</t>
        </is>
      </c>
      <c r="AS170" s="29" t="inlineStr">
        <is>
          <t>DEMAIS</t>
        </is>
      </c>
      <c r="AT170" s="29" t="inlineStr">
        <is>
          <t>MID-MARKET</t>
        </is>
      </c>
      <c r="AU170" s="29" t="inlineStr">
        <is>
          <t>13620193</t>
        </is>
      </c>
      <c r="AV170" s="29" t="n">
        <v>1</v>
      </c>
      <c r="AW170" s="29" t="inlineStr">
        <is>
          <t>PARTIAL_DOC_CLASS_III_RECONCILED ROWS:p12r13</t>
        </is>
      </c>
    </row>
    <row r="171">
      <c r="A171" s="15" t="inlineStr">
        <is>
          <t>COOPERATIVA AGROINDUSTRIAL TRADICAO</t>
        </is>
      </c>
      <c r="B171" s="16" t="n">
        <v>979566</v>
      </c>
      <c r="C171" s="17" t="inlineStr"/>
      <c r="D171" s="18" t="inlineStr">
        <is>
          <t>NEW</t>
        </is>
      </c>
      <c r="E171" s="19" t="inlineStr"/>
      <c r="F171" s="18" t="inlineStr"/>
      <c r="G171" s="19" t="inlineStr"/>
      <c r="H171" s="18" t="inlineStr"/>
      <c r="I171" s="20" t="inlineStr">
        <is>
          <t>FERNANDO ALAN TONUS</t>
        </is>
      </c>
      <c r="J171" s="20" t="inlineStr">
        <is>
          <t>Presidente</t>
        </is>
      </c>
      <c r="K171" s="20" t="inlineStr">
        <is>
          <t>(46) 3220-2000</t>
        </is>
      </c>
      <c r="L171" s="20" t="inlineStr"/>
      <c r="M171" s="20" t="inlineStr"/>
      <c r="N171" s="20" t="inlineStr"/>
      <c r="O171" s="20" t="inlineStr"/>
      <c r="P171" s="20" t="inlineStr">
        <is>
          <t>ADEMIR BEDIN</t>
        </is>
      </c>
      <c r="Q171" s="20" t="inlineStr">
        <is>
          <t>Diretor</t>
        </is>
      </c>
      <c r="R171" s="20" t="inlineStr">
        <is>
          <t>(46) 3220-2000</t>
        </is>
      </c>
      <c r="S171" s="20" t="inlineStr"/>
      <c r="T171" s="21" t="n">
        <v>979566</v>
      </c>
      <c r="U171" s="22" t="inlineStr">
        <is>
          <t>B</t>
        </is>
      </c>
      <c r="V171" s="23">
        <f>IFERROR(VLOOKUP(U171,Assumptions!$A$7:$D$11,2,FALSE),0)</f>
        <v/>
      </c>
      <c r="W171" s="24">
        <f>MAX(0.5,IFERROR(VLOOKUP(U171,Assumptions!$A$7:$D$11,3,FALSE),3)+IFERROR(VLOOKUP(U171,Assumptions!$A$7:$D$11,4,FALSE),8)/2-IF(AN171="",0,YEAR(TODAY())-AN171))</f>
        <v/>
      </c>
      <c r="X171" s="21">
        <f>T171*V171/(1+Assumptions!$B$3)^W171</f>
        <v/>
      </c>
      <c r="Y171" s="25">
        <f>IF(T171=0,"",ROUND(X171/T171*100,1))</f>
        <v/>
      </c>
      <c r="Z171" s="26">
        <f>X171*Assumptions!$B$4</f>
        <v/>
      </c>
      <c r="AA171" s="25">
        <f>IF(T171=0,"",ROUND(Z171/T171*100,1))</f>
        <v/>
      </c>
      <c r="AB171" s="26">
        <f>X171-Z171</f>
        <v/>
      </c>
      <c r="AC171" s="25">
        <f>IF(T171=0,"",ROUND((X171-Z171)/T171*100,1))</f>
        <v/>
      </c>
      <c r="AD171" s="27" t="inlineStr">
        <is>
          <t>ESTIMATED</t>
        </is>
      </c>
      <c r="AE171" s="28" t="inlineStr">
        <is>
          <t>https://rlg-aj.com.br/wp-content/uploads/2024/11/07.-Relação-de-credores.pdf</t>
        </is>
      </c>
      <c r="AF171" s="27" t="inlineStr">
        <is>
          <t>p1 r28</t>
        </is>
      </c>
      <c r="AG171" s="27" t="inlineStr">
        <is>
          <t>p1: R$ 979.566,00</t>
        </is>
      </c>
      <c r="AH171" s="27" t="inlineStr">
        <is>
          <t>UNKNOWN</t>
        </is>
      </c>
      <c r="AI171" s="27" t="inlineStr"/>
      <c r="AJ171" s="27" t="inlineStr">
        <is>
          <t>OK_NO_TOTALS</t>
        </is>
      </c>
      <c r="AK171" s="29" t="inlineStr">
        <is>
          <t>5009149-92.2024.8.24.0019</t>
        </is>
      </c>
      <c r="AL171" s="29" t="inlineStr">
        <is>
          <t>TJSC</t>
        </is>
      </c>
      <c r="AM171" s="29" t="inlineStr">
        <is>
          <t>ACTIVE</t>
        </is>
      </c>
      <c r="AN171" s="29" t="n">
        <v>2024</v>
      </c>
      <c r="AO171" s="29" t="inlineStr">
        <is>
          <t>live case, no plan document yet</t>
        </is>
      </c>
      <c r="AP171" s="29" t="inlineStr">
        <is>
          <t>PATO BRANCO</t>
        </is>
      </c>
      <c r="AQ171" s="29" t="inlineStr">
        <is>
          <t>PR</t>
        </is>
      </c>
      <c r="AR171" s="29" t="inlineStr">
        <is>
          <t>Comércio atacadista de defensivos agrícolas, adubos, fertilizantes e corretivos do solo</t>
        </is>
      </c>
      <c r="AS171" s="29" t="inlineStr">
        <is>
          <t>DEMAIS</t>
        </is>
      </c>
      <c r="AT171" s="29" t="inlineStr">
        <is>
          <t>MID-MARKET</t>
        </is>
      </c>
      <c r="AU171" s="29" t="inlineStr">
        <is>
          <t>05528196</t>
        </is>
      </c>
      <c r="AV171" s="29" t="n">
        <v>1</v>
      </c>
      <c r="AW171" s="29" t="inlineStr">
        <is>
          <t>ROWS:p1r28 UNRECONCILED_SOURCE</t>
        </is>
      </c>
    </row>
    <row r="172">
      <c r="A172" s="15" t="inlineStr">
        <is>
          <t>PORTAL DO AEROPORTO LOGISTICA LTDA</t>
        </is>
      </c>
      <c r="B172" s="16" t="n">
        <v>780881.58</v>
      </c>
      <c r="C172" s="17" t="inlineStr">
        <is>
          <t>VEV COMERCIO DE MEDICAMENTOS LTDA EM RECUPERACAO JUDICIAL</t>
        </is>
      </c>
      <c r="D172" s="18" t="inlineStr">
        <is>
          <t>NEW</t>
        </is>
      </c>
      <c r="E172" s="19" t="inlineStr"/>
      <c r="F172" s="18" t="inlineStr"/>
      <c r="G172" s="19" t="inlineStr"/>
      <c r="H172" s="18" t="inlineStr"/>
      <c r="I172" s="20" t="inlineStr">
        <is>
          <t>CARLOS ROBERTO MARASSI</t>
        </is>
      </c>
      <c r="J172" s="20" t="inlineStr">
        <is>
          <t>Administrador</t>
        </is>
      </c>
      <c r="K172" s="20" t="inlineStr">
        <is>
          <t>(41) 3134-4003</t>
        </is>
      </c>
      <c r="L172" s="20" t="inlineStr"/>
      <c r="M172" s="20" t="inlineStr"/>
      <c r="N172" s="20" t="inlineStr"/>
      <c r="O172" s="20" t="inlineStr"/>
      <c r="P172" s="20" t="inlineStr"/>
      <c r="Q172" s="20" t="inlineStr"/>
      <c r="R172" s="20" t="inlineStr"/>
      <c r="S172" s="20" t="inlineStr"/>
      <c r="T172" s="21" t="n">
        <v>780881.58</v>
      </c>
      <c r="U172" s="22" t="inlineStr">
        <is>
          <t>B</t>
        </is>
      </c>
      <c r="V172" s="23">
        <f>IFERROR(VLOOKUP(U172,Assumptions!$A$7:$D$11,2,FALSE),0)</f>
        <v/>
      </c>
      <c r="W172" s="24">
        <f>MAX(0.5,IFERROR(VLOOKUP(U172,Assumptions!$A$7:$D$11,3,FALSE),3)+IFERROR(VLOOKUP(U172,Assumptions!$A$7:$D$11,4,FALSE),8)/2-IF(AN172="",0,YEAR(TODAY())-AN172))</f>
        <v/>
      </c>
      <c r="X172" s="21">
        <f>T172*V172/(1+Assumptions!$B$3)^W172</f>
        <v/>
      </c>
      <c r="Y172" s="25">
        <f>IF(T172=0,"",ROUND(X172/T172*100,1))</f>
        <v/>
      </c>
      <c r="Z172" s="26">
        <f>X172*Assumptions!$B$4</f>
        <v/>
      </c>
      <c r="AA172" s="25">
        <f>IF(T172=0,"",ROUND(Z172/T172*100,1))</f>
        <v/>
      </c>
      <c r="AB172" s="26">
        <f>X172-Z172</f>
        <v/>
      </c>
      <c r="AC172" s="25">
        <f>IF(T172=0,"",ROUND((X172-Z172)/T172*100,1))</f>
        <v/>
      </c>
      <c r="AD172" s="27" t="inlineStr">
        <is>
          <t>ESTIMATED</t>
        </is>
      </c>
      <c r="AE172" s="28" t="inlineStr">
        <is>
          <t>https://marquesadmjudicial.com.br/sgc/download.php?file=files/processo_documento/processo_documento15293208032024_1_.pdf&amp;nome=Relação Nominal de Credores da AJ-Sintética</t>
        </is>
      </c>
      <c r="AF172" s="27" t="inlineStr">
        <is>
          <t>p30 r8</t>
        </is>
      </c>
      <c r="AG172" s="27" t="inlineStr">
        <is>
          <t>p30: R$ 780.881,58</t>
        </is>
      </c>
      <c r="AH172" s="27" t="inlineStr">
        <is>
          <t>AJ_LIST</t>
        </is>
      </c>
      <c r="AI172" s="27" t="inlineStr">
        <is>
          <t>2023-03-02</t>
        </is>
      </c>
      <c r="AJ172" s="27" t="inlineStr">
        <is>
          <t>QUARANTINED</t>
        </is>
      </c>
      <c r="AK172" s="29" t="inlineStr">
        <is>
          <t>0005010-98.2023.8.16.0001</t>
        </is>
      </c>
      <c r="AL172" s="29" t="inlineStr">
        <is>
          <t>TJPR</t>
        </is>
      </c>
      <c r="AM172" s="29" t="inlineStr">
        <is>
          <t>ACTIVE</t>
        </is>
      </c>
      <c r="AN172" s="29" t="n">
        <v>2023</v>
      </c>
      <c r="AO172" s="29" t="inlineStr">
        <is>
          <t>live case, no plan document yet</t>
        </is>
      </c>
      <c r="AP172" s="29" t="inlineStr">
        <is>
          <t>SAO JOSE DOS PINHAIS</t>
        </is>
      </c>
      <c r="AQ172" s="29" t="inlineStr">
        <is>
          <t>PR</t>
        </is>
      </c>
      <c r="AR172" s="29" t="inlineStr">
        <is>
          <t>Aluguel de imóveis próprios</t>
        </is>
      </c>
      <c r="AS172" s="29" t="inlineStr">
        <is>
          <t>DEMAIS</t>
        </is>
      </c>
      <c r="AT172" s="29" t="inlineStr">
        <is>
          <t>MID-MARKET</t>
        </is>
      </c>
      <c r="AU172" s="29" t="inlineStr">
        <is>
          <t>13477127</t>
        </is>
      </c>
      <c r="AV172" s="29" t="n">
        <v>1</v>
      </c>
      <c r="AW172" s="29" t="inlineStr">
        <is>
          <t>PARTIAL_DOC_CLASS_III_RECONCILED ROWS:p30r8</t>
        </is>
      </c>
    </row>
    <row r="173">
      <c r="A173" s="15" t="inlineStr">
        <is>
          <t>RAIZEN S.A.</t>
        </is>
      </c>
      <c r="B173" s="16" t="n">
        <v>2280760.72</v>
      </c>
      <c r="C173" s="17" t="inlineStr"/>
      <c r="D173" s="18" t="inlineStr">
        <is>
          <t>NEW</t>
        </is>
      </c>
      <c r="E173" s="19" t="inlineStr"/>
      <c r="F173" s="18" t="inlineStr"/>
      <c r="G173" s="19" t="inlineStr"/>
      <c r="H173" s="18" t="inlineStr"/>
      <c r="I173" s="20" t="inlineStr">
        <is>
          <t>Fabio Franceschi</t>
        </is>
      </c>
      <c r="J173" s="20" t="inlineStr">
        <is>
          <t>Coordenador de Contas a Receber</t>
        </is>
      </c>
      <c r="K173" s="20" t="inlineStr">
        <is>
          <t>(19) 3423-8000</t>
        </is>
      </c>
      <c r="L173" s="20" t="inlineStr"/>
      <c r="M173" s="20" t="inlineStr"/>
      <c r="N173" s="20" t="inlineStr">
        <is>
          <t>fabio.franceschi@raizen.com</t>
        </is>
      </c>
      <c r="O173" s="20" t="inlineStr">
        <is>
          <t>carla.barbosa@raizen.com</t>
        </is>
      </c>
      <c r="P173" s="20" t="inlineStr">
        <is>
          <t>Carla Barbosa</t>
        </is>
      </c>
      <c r="Q173" s="20" t="inlineStr">
        <is>
          <t>Gestão de Contas a Receber</t>
        </is>
      </c>
      <c r="R173" s="20" t="inlineStr"/>
      <c r="S173" s="20" t="inlineStr">
        <is>
          <t>carla.barbosa@raizen.com</t>
        </is>
      </c>
      <c r="T173" s="21" t="n">
        <v>2280760.72</v>
      </c>
      <c r="U173" s="30" t="inlineStr">
        <is>
          <t>?</t>
        </is>
      </c>
      <c r="V173" s="23">
        <f>IFERROR(VLOOKUP(U173,Assumptions!$A$7:$D$11,2,FALSE),0)</f>
        <v/>
      </c>
      <c r="W173" s="24">
        <f>MAX(0.5,IFERROR(VLOOKUP(U173,Assumptions!$A$7:$D$11,3,FALSE),3)+IFERROR(VLOOKUP(U173,Assumptions!$A$7:$D$11,4,FALSE),8)/2-IF(AN173="",0,YEAR(TODAY())-AN173))</f>
        <v/>
      </c>
      <c r="X173" s="21">
        <f>T173*V173/(1+Assumptions!$B$3)^W173</f>
        <v/>
      </c>
      <c r="Y173" s="25">
        <f>IF(T173=0,"",ROUND(X173/T173*100,1))</f>
        <v/>
      </c>
      <c r="Z173" s="26">
        <f>X173*Assumptions!$B$4</f>
        <v/>
      </c>
      <c r="AA173" s="25">
        <f>IF(T173=0,"",ROUND(Z173/T173*100,1))</f>
        <v/>
      </c>
      <c r="AB173" s="26">
        <f>X173-Z173</f>
        <v/>
      </c>
      <c r="AC173" s="25">
        <f>IF(T173=0,"",ROUND((X173-Z173)/T173*100,1))</f>
        <v/>
      </c>
      <c r="AD173" s="27" t="inlineStr">
        <is>
          <t>UNKNOWN</t>
        </is>
      </c>
      <c r="AE173" s="28" t="inlineStr">
        <is>
          <t>https://ajruiz.com.br/sites/default/files/public/arquivos-processos/2023-11/4_relacao_de_credores_analitica_art._51_iii_da_lre.pdf</t>
        </is>
      </c>
      <c r="AF173" s="27" t="inlineStr">
        <is>
          <t>p3 r49</t>
        </is>
      </c>
      <c r="AG173" s="27" t="inlineStr">
        <is>
          <t>p3: R$ 2.280.760,72</t>
        </is>
      </c>
      <c r="AH173" s="27" t="inlineStr">
        <is>
          <t>UNKNOWN</t>
        </is>
      </c>
      <c r="AI173" s="27" t="inlineStr"/>
      <c r="AJ173" s="27" t="inlineStr">
        <is>
          <t>OK</t>
        </is>
      </c>
      <c r="AK173" s="29" t="inlineStr">
        <is>
          <t>(not printed)</t>
        </is>
      </c>
      <c r="AL173" s="29" t="inlineStr"/>
      <c r="AM173" s="29" t="inlineStr"/>
      <c r="AN173" s="29" t="inlineStr"/>
      <c r="AO173" s="29" t="inlineStr">
        <is>
          <t>RJ case number not identified on the document</t>
        </is>
      </c>
      <c r="AP173" s="29" t="inlineStr">
        <is>
          <t>RIO DE JANEIRO</t>
        </is>
      </c>
      <c r="AQ173" s="29" t="inlineStr">
        <is>
          <t>RJ</t>
        </is>
      </c>
      <c r="AR173" s="29" t="inlineStr">
        <is>
          <t>Comércio atacadista de álcool carburante, biodiesel, gasolina e demais derivados de petróleo, exceto lubrificantes, não realizado por transportador re</t>
        </is>
      </c>
      <c r="AS173" s="29" t="inlineStr">
        <is>
          <t>DEMAIS</t>
        </is>
      </c>
      <c r="AT173" s="29" t="inlineStr">
        <is>
          <t>LARGE CORP</t>
        </is>
      </c>
      <c r="AU173" s="29" t="inlineStr">
        <is>
          <t>33453598</t>
        </is>
      </c>
      <c r="AV173" s="29" t="n">
        <v>1</v>
      </c>
      <c r="AW173" s="29" t="inlineStr">
        <is>
          <t>ROWS:p3r49 CASE_NUMBER_CORRECTED</t>
        </is>
      </c>
    </row>
    <row r="174">
      <c r="A174" s="15" t="inlineStr">
        <is>
          <t>CONFECCOES ALTA MODA LTDA</t>
        </is>
      </c>
      <c r="B174" s="16" t="n">
        <v>619038.5600000001</v>
      </c>
      <c r="C174" s="17" t="inlineStr">
        <is>
          <t>R W CONSTRUCOES LTDA</t>
        </is>
      </c>
      <c r="D174" s="18" t="inlineStr">
        <is>
          <t>NEW</t>
        </is>
      </c>
      <c r="E174" s="19" t="inlineStr"/>
      <c r="F174" s="18" t="inlineStr"/>
      <c r="G174" s="19" t="inlineStr"/>
      <c r="H174" s="18" t="inlineStr"/>
      <c r="I174" s="20" t="inlineStr">
        <is>
          <t>Viviane Daufembach</t>
        </is>
      </c>
      <c r="J174" s="20" t="inlineStr">
        <is>
          <t>Key Account Manager</t>
        </is>
      </c>
      <c r="K174" s="20" t="inlineStr">
        <is>
          <t>(11) 2698-0111</t>
        </is>
      </c>
      <c r="L174" s="20" t="inlineStr"/>
      <c r="M174" s="20" t="inlineStr"/>
      <c r="N174" s="20" t="inlineStr"/>
      <c r="O174" s="20" t="inlineStr">
        <is>
          <t>rh@biotipo.com.br</t>
        </is>
      </c>
      <c r="P174" s="20" t="inlineStr">
        <is>
          <t>Paula Garcia</t>
        </is>
      </c>
      <c r="Q174" s="20" t="inlineStr">
        <is>
          <t>HR Supervisor</t>
        </is>
      </c>
      <c r="R174" s="20" t="inlineStr"/>
      <c r="S174" s="20" t="inlineStr">
        <is>
          <t>rh@biotipo.com.br</t>
        </is>
      </c>
      <c r="T174" s="21" t="n">
        <v>619038.5600000001</v>
      </c>
      <c r="U174" s="22" t="inlineStr">
        <is>
          <t>B</t>
        </is>
      </c>
      <c r="V174" s="23">
        <f>IFERROR(VLOOKUP(U174,Assumptions!$A$7:$D$11,2,FALSE),0)</f>
        <v/>
      </c>
      <c r="W174" s="24">
        <f>MAX(0.5,IFERROR(VLOOKUP(U174,Assumptions!$A$7:$D$11,3,FALSE),3)+IFERROR(VLOOKUP(U174,Assumptions!$A$7:$D$11,4,FALSE),8)/2-IF(AN174="",0,YEAR(TODAY())-AN174))</f>
        <v/>
      </c>
      <c r="X174" s="21">
        <f>T174*V174/(1+Assumptions!$B$3)^W174</f>
        <v/>
      </c>
      <c r="Y174" s="25">
        <f>IF(T174=0,"",ROUND(X174/T174*100,1))</f>
        <v/>
      </c>
      <c r="Z174" s="26">
        <f>X174*Assumptions!$B$4</f>
        <v/>
      </c>
      <c r="AA174" s="25">
        <f>IF(T174=0,"",ROUND(Z174/T174*100,1))</f>
        <v/>
      </c>
      <c r="AB174" s="26">
        <f>X174-Z174</f>
        <v/>
      </c>
      <c r="AC174" s="25">
        <f>IF(T174=0,"",ROUND((X174-Z174)/T174*100,1))</f>
        <v/>
      </c>
      <c r="AD174" s="27" t="inlineStr">
        <is>
          <t>ESTIMATED</t>
        </is>
      </c>
      <c r="AE174" s="28" t="inlineStr">
        <is>
          <t>https://lrflideres.com.br/wp-content/plugins/download-attachments/includes/download.php?id=4023</t>
        </is>
      </c>
      <c r="AF174" s="27" t="inlineStr">
        <is>
          <t>p7 r86; p9 r64</t>
        </is>
      </c>
      <c r="AG174" s="27" t="inlineStr">
        <is>
          <t>p7: R$ 522.841,76; p9: R$ 96.196,80</t>
        </is>
      </c>
      <c r="AH174" s="27" t="inlineStr">
        <is>
          <t>DEBTOR_LIST</t>
        </is>
      </c>
      <c r="AI174" s="27" t="inlineStr"/>
      <c r="AJ174" s="27" t="inlineStr">
        <is>
          <t>QUARANTINED</t>
        </is>
      </c>
      <c r="AK174" s="29" t="inlineStr">
        <is>
          <t>0002484-82.2022.8.17.2001</t>
        </is>
      </c>
      <c r="AL174" s="29" t="inlineStr">
        <is>
          <t>TJPE</t>
        </is>
      </c>
      <c r="AM174" s="29" t="inlineStr">
        <is>
          <t>ACTIVE</t>
        </is>
      </c>
      <c r="AN174" s="29" t="n">
        <v>2022</v>
      </c>
      <c r="AO174" s="29" t="inlineStr">
        <is>
          <t>live case, no plan document yet</t>
        </is>
      </c>
      <c r="AP174" s="29" t="inlineStr">
        <is>
          <t>SAO PAULO</t>
        </is>
      </c>
      <c r="AQ174" s="29" t="inlineStr">
        <is>
          <t>SP</t>
        </is>
      </c>
      <c r="AR174" s="29" t="inlineStr">
        <is>
          <t>Confecção de peças de vestuário, exceto roupas íntimas e as confeccionadas sob medida</t>
        </is>
      </c>
      <c r="AS174" s="29" t="inlineStr">
        <is>
          <t>DEMAIS</t>
        </is>
      </c>
      <c r="AT174" s="29" t="inlineStr">
        <is>
          <t>MID-MARKET</t>
        </is>
      </c>
      <c r="AU174" s="29" t="inlineStr">
        <is>
          <t>04273385</t>
        </is>
      </c>
      <c r="AV174" s="29" t="n">
        <v>2</v>
      </c>
      <c r="AW174" s="29" t="inlineStr">
        <is>
          <t>PARTIAL_DOC_CLASS_III_RECONCILED ROWS:p7r86,p9r64</t>
        </is>
      </c>
    </row>
    <row r="175">
      <c r="A175" s="15" t="inlineStr">
        <is>
          <t>TOTALCLEAN - COMERCIO DE PRODUTOS DE HIGIENE E LIMPEZA LTDA</t>
        </is>
      </c>
      <c r="B175" s="16" t="n">
        <v>617079.91</v>
      </c>
      <c r="C175" s="17" t="inlineStr">
        <is>
          <t>ASSOCIACAO DE CARIDADE SANTA CASA DE RIO GRANDE</t>
        </is>
      </c>
      <c r="D175" s="18" t="inlineStr">
        <is>
          <t>NEW</t>
        </is>
      </c>
      <c r="E175" s="19" t="inlineStr"/>
      <c r="F175" s="18" t="inlineStr"/>
      <c r="G175" s="19" t="inlineStr"/>
      <c r="H175" s="18" t="inlineStr"/>
      <c r="I175" s="20" t="inlineStr">
        <is>
          <t>JOSE NEI PARODES</t>
        </is>
      </c>
      <c r="J175" s="20" t="inlineStr">
        <is>
          <t>Sócio-Administrador</t>
        </is>
      </c>
      <c r="K175" s="20" t="inlineStr">
        <is>
          <t>(53) 8402-0212</t>
        </is>
      </c>
      <c r="L175" s="20" t="inlineStr"/>
      <c r="M175" s="20" t="inlineStr"/>
      <c r="N175" s="20" t="inlineStr"/>
      <c r="O175" s="20" t="inlineStr"/>
      <c r="P175" s="20" t="inlineStr"/>
      <c r="Q175" s="20" t="inlineStr"/>
      <c r="R175" s="20" t="inlineStr"/>
      <c r="S175" s="20" t="inlineStr"/>
      <c r="T175" s="21" t="n">
        <v>617079.91</v>
      </c>
      <c r="U175" s="22" t="inlineStr">
        <is>
          <t>B</t>
        </is>
      </c>
      <c r="V175" s="23">
        <f>IFERROR(VLOOKUP(U175,Assumptions!$A$7:$D$11,2,FALSE),0)</f>
        <v/>
      </c>
      <c r="W175" s="24">
        <f>MAX(0.5,IFERROR(VLOOKUP(U175,Assumptions!$A$7:$D$11,3,FALSE),3)+IFERROR(VLOOKUP(U175,Assumptions!$A$7:$D$11,4,FALSE),8)/2-IF(AN175="",0,YEAR(TODAY())-AN175))</f>
        <v/>
      </c>
      <c r="X175" s="21">
        <f>T175*V175/(1+Assumptions!$B$3)^W175</f>
        <v/>
      </c>
      <c r="Y175" s="25">
        <f>IF(T175=0,"",ROUND(X175/T175*100,1))</f>
        <v/>
      </c>
      <c r="Z175" s="26">
        <f>X175*Assumptions!$B$4</f>
        <v/>
      </c>
      <c r="AA175" s="25">
        <f>IF(T175=0,"",ROUND(Z175/T175*100,1))</f>
        <v/>
      </c>
      <c r="AB175" s="26">
        <f>X175-Z175</f>
        <v/>
      </c>
      <c r="AC175" s="25">
        <f>IF(T175=0,"",ROUND((X175-Z175)/T175*100,1))</f>
        <v/>
      </c>
      <c r="AD175" s="27" t="inlineStr">
        <is>
          <t>ESTIMATED</t>
        </is>
      </c>
      <c r="AE175" s="28" t="inlineStr">
        <is>
          <t>https://scalzilliaj.com.br/sgc/download.php?file=files/processo_documento/processo_documento09120721032023_1_.pdf&amp;nome=15 - Edital do art. 7º, §2º e 53 da Lei 11.101/2005 (segunda lista de credores e recebimento do plano))</t>
        </is>
      </c>
      <c r="AF175" s="27" t="inlineStr">
        <is>
          <t>p30 r21</t>
        </is>
      </c>
      <c r="AG175" s="27" t="inlineStr">
        <is>
          <t>p30: R$ 617.079,91</t>
        </is>
      </c>
      <c r="AH175" s="27" t="inlineStr">
        <is>
          <t>AJ_LIST</t>
        </is>
      </c>
      <c r="AI175" s="27" t="inlineStr">
        <is>
          <t>2023-03-21</t>
        </is>
      </c>
      <c r="AJ175" s="27" t="inlineStr">
        <is>
          <t>OK_NO_TOTALS</t>
        </is>
      </c>
      <c r="AK175" s="29" t="inlineStr">
        <is>
          <t>5012306-16.2022.8.21.0023</t>
        </is>
      </c>
      <c r="AL175" s="29" t="inlineStr">
        <is>
          <t>TJRS</t>
        </is>
      </c>
      <c r="AM175" s="29" t="inlineStr">
        <is>
          <t>ACTIVE</t>
        </is>
      </c>
      <c r="AN175" s="29" t="n">
        <v>2022</v>
      </c>
      <c r="AO175" s="29" t="inlineStr">
        <is>
          <t>live case, no plan document yet</t>
        </is>
      </c>
      <c r="AP175" s="29" t="inlineStr">
        <is>
          <t>PELOTAS</t>
        </is>
      </c>
      <c r="AQ175" s="29" t="inlineStr">
        <is>
          <t>RS</t>
        </is>
      </c>
      <c r="AR175" s="29" t="inlineStr">
        <is>
          <t>Comércio atacadista de produtos de higiene, limpeza e conservação domiciliar</t>
        </is>
      </c>
      <c r="AS175" s="29" t="inlineStr">
        <is>
          <t>MICRO EMPRESA</t>
        </is>
      </c>
      <c r="AT175" s="29" t="inlineStr">
        <is>
          <t>SMALL</t>
        </is>
      </c>
      <c r="AU175" s="29" t="inlineStr">
        <is>
          <t>07911181</t>
        </is>
      </c>
      <c r="AV175" s="29" t="n">
        <v>1</v>
      </c>
      <c r="AW175" s="29" t="inlineStr">
        <is>
          <t>ROWS:p30r21 UNRECONCILED_SOURCE</t>
        </is>
      </c>
    </row>
    <row r="176">
      <c r="A176" s="15" t="inlineStr">
        <is>
          <t>RBG PRODUTOS THERAPEUTICOS S/A</t>
        </is>
      </c>
      <c r="B176" s="16" t="n">
        <v>616054.5</v>
      </c>
      <c r="C176" s="17" t="inlineStr">
        <is>
          <t>ASSOCIACAO DE CARIDADE SANTA CASA DE RIO GRANDE</t>
        </is>
      </c>
      <c r="D176" s="18" t="inlineStr">
        <is>
          <t>NEW</t>
        </is>
      </c>
      <c r="E176" s="19" t="inlineStr"/>
      <c r="F176" s="18" t="inlineStr"/>
      <c r="G176" s="19" t="inlineStr"/>
      <c r="H176" s="18" t="inlineStr"/>
      <c r="I176" s="20" t="inlineStr">
        <is>
          <t>Tatiana Ghisleri</t>
        </is>
      </c>
      <c r="J176" s="20" t="inlineStr">
        <is>
          <t>Manager</t>
        </is>
      </c>
      <c r="K176" s="20" t="inlineStr">
        <is>
          <t>(51) 3382-3350</t>
        </is>
      </c>
      <c r="L176" s="20" t="inlineStr"/>
      <c r="M176" s="20" t="inlineStr"/>
      <c r="N176" s="20" t="inlineStr">
        <is>
          <t>tatiana@rbgmedical.com.br</t>
        </is>
      </c>
      <c r="O176" s="20" t="inlineStr">
        <is>
          <t>maura@rbgmedical.com.br</t>
        </is>
      </c>
      <c r="P176" s="20" t="inlineStr">
        <is>
          <t>Maura Louzada</t>
        </is>
      </c>
      <c r="Q176" s="20" t="inlineStr">
        <is>
          <t>Advogada Compliance e DPO</t>
        </is>
      </c>
      <c r="R176" s="20" t="inlineStr"/>
      <c r="S176" s="20" t="inlineStr">
        <is>
          <t>maura@rbgmedical.com.br</t>
        </is>
      </c>
      <c r="T176" s="21" t="n">
        <v>616054.5</v>
      </c>
      <c r="U176" s="22" t="inlineStr">
        <is>
          <t>B</t>
        </is>
      </c>
      <c r="V176" s="23">
        <f>IFERROR(VLOOKUP(U176,Assumptions!$A$7:$D$11,2,FALSE),0)</f>
        <v/>
      </c>
      <c r="W176" s="24">
        <f>MAX(0.5,IFERROR(VLOOKUP(U176,Assumptions!$A$7:$D$11,3,FALSE),3)+IFERROR(VLOOKUP(U176,Assumptions!$A$7:$D$11,4,FALSE),8)/2-IF(AN176="",0,YEAR(TODAY())-AN176))</f>
        <v/>
      </c>
      <c r="X176" s="21">
        <f>T176*V176/(1+Assumptions!$B$3)^W176</f>
        <v/>
      </c>
      <c r="Y176" s="25">
        <f>IF(T176=0,"",ROUND(X176/T176*100,1))</f>
        <v/>
      </c>
      <c r="Z176" s="26">
        <f>X176*Assumptions!$B$4</f>
        <v/>
      </c>
      <c r="AA176" s="25">
        <f>IF(T176=0,"",ROUND(Z176/T176*100,1))</f>
        <v/>
      </c>
      <c r="AB176" s="26">
        <f>X176-Z176</f>
        <v/>
      </c>
      <c r="AC176" s="25">
        <f>IF(T176=0,"",ROUND((X176-Z176)/T176*100,1))</f>
        <v/>
      </c>
      <c r="AD176" s="27" t="inlineStr">
        <is>
          <t>ESTIMATED</t>
        </is>
      </c>
      <c r="AE176" s="28" t="inlineStr">
        <is>
          <t>https://scalzilliaj.com.br/sgc/download.php?file=files/processo_documento/processo_documento09120721032023_1_.pdf&amp;nome=15 - Edital do art. 7º, §2º e 53 da Lei 11.101/2005 (segunda lista de credores e recebimento do plano))</t>
        </is>
      </c>
      <c r="AF176" s="27" t="inlineStr">
        <is>
          <t>p29 r30</t>
        </is>
      </c>
      <c r="AG176" s="27" t="inlineStr">
        <is>
          <t>p29: R$ 616.054,50</t>
        </is>
      </c>
      <c r="AH176" s="27" t="inlineStr">
        <is>
          <t>AJ_LIST</t>
        </is>
      </c>
      <c r="AI176" s="27" t="inlineStr">
        <is>
          <t>2023-03-21</t>
        </is>
      </c>
      <c r="AJ176" s="27" t="inlineStr">
        <is>
          <t>OK_NO_TOTALS</t>
        </is>
      </c>
      <c r="AK176" s="29" t="inlineStr">
        <is>
          <t>5012306-16.2022.8.21.0023</t>
        </is>
      </c>
      <c r="AL176" s="29" t="inlineStr">
        <is>
          <t>TJRS</t>
        </is>
      </c>
      <c r="AM176" s="29" t="inlineStr">
        <is>
          <t>ACTIVE</t>
        </is>
      </c>
      <c r="AN176" s="29" t="n">
        <v>2022</v>
      </c>
      <c r="AO176" s="29" t="inlineStr">
        <is>
          <t>live case, no plan document yet</t>
        </is>
      </c>
      <c r="AP176" s="29" t="inlineStr">
        <is>
          <t>PORTO ALEGRE</t>
        </is>
      </c>
      <c r="AQ176" s="29" t="inlineStr">
        <is>
          <t>RS</t>
        </is>
      </c>
      <c r="AR176" s="29" t="inlineStr">
        <is>
          <t>Comércio atacadista de instrumentos e materiais para uso médico, cirúrgico, hospitalar e de laboratórios</t>
        </is>
      </c>
      <c r="AS176" s="29" t="inlineStr">
        <is>
          <t>DEMAIS</t>
        </is>
      </c>
      <c r="AT176" s="29" t="inlineStr">
        <is>
          <t>MID-MARKET</t>
        </is>
      </c>
      <c r="AU176" s="29" t="inlineStr">
        <is>
          <t>03882840</t>
        </is>
      </c>
      <c r="AV176" s="29" t="n">
        <v>1</v>
      </c>
      <c r="AW176" s="29" t="inlineStr">
        <is>
          <t>ROWS:p29r30 UNRECONCILED_SOURCE</t>
        </is>
      </c>
    </row>
    <row r="177">
      <c r="A177" s="15" t="inlineStr">
        <is>
          <t>SOTIN SOLUCOES TECNICAS, INDUSTRIA E COMERCIO LTDA</t>
        </is>
      </c>
      <c r="B177" s="16" t="n">
        <v>611207.1</v>
      </c>
      <c r="C177" s="17" t="inlineStr">
        <is>
          <t>SECULAR COMÉRCIO CONSTRUÇÃO E REPRESENTAÇÃO LTDA - ME, EM</t>
        </is>
      </c>
      <c r="D177" s="18" t="inlineStr">
        <is>
          <t>NEW</t>
        </is>
      </c>
      <c r="E177" s="19" t="inlineStr"/>
      <c r="F177" s="18" t="inlineStr"/>
      <c r="G177" s="19" t="inlineStr"/>
      <c r="H177" s="18" t="inlineStr"/>
      <c r="I177" s="20" t="inlineStr">
        <is>
          <t>Kleber Cavallari</t>
        </is>
      </c>
      <c r="J177" s="20" t="inlineStr">
        <is>
          <t>Commercial Manager</t>
        </is>
      </c>
      <c r="K177" s="20" t="inlineStr">
        <is>
          <t>(11) 4496-8888</t>
        </is>
      </c>
      <c r="L177" s="20" t="inlineStr"/>
      <c r="M177" s="20" t="inlineStr"/>
      <c r="N177" s="20" t="inlineStr">
        <is>
          <t>kleber.cavallari@sotin.com.br</t>
        </is>
      </c>
      <c r="O177" s="20" t="inlineStr"/>
      <c r="P177" s="20" t="inlineStr"/>
      <c r="Q177" s="20" t="inlineStr"/>
      <c r="R177" s="20" t="inlineStr"/>
      <c r="S177" s="20" t="inlineStr"/>
      <c r="T177" s="21" t="n">
        <v>611207.1</v>
      </c>
      <c r="U177" s="22" t="inlineStr">
        <is>
          <t>B</t>
        </is>
      </c>
      <c r="V177" s="23">
        <f>IFERROR(VLOOKUP(U177,Assumptions!$A$7:$D$11,2,FALSE),0)</f>
        <v/>
      </c>
      <c r="W177" s="24">
        <f>MAX(0.5,IFERROR(VLOOKUP(U177,Assumptions!$A$7:$D$11,3,FALSE),3)+IFERROR(VLOOKUP(U177,Assumptions!$A$7:$D$11,4,FALSE),8)/2-IF(AN177="",0,YEAR(TODAY())-AN177))</f>
        <v/>
      </c>
      <c r="X177" s="21">
        <f>T177*V177/(1+Assumptions!$B$3)^W177</f>
        <v/>
      </c>
      <c r="Y177" s="25">
        <f>IF(T177=0,"",ROUND(X177/T177*100,1))</f>
        <v/>
      </c>
      <c r="Z177" s="26">
        <f>X177*Assumptions!$B$4</f>
        <v/>
      </c>
      <c r="AA177" s="25">
        <f>IF(T177=0,"",ROUND(Z177/T177*100,1))</f>
        <v/>
      </c>
      <c r="AB177" s="26">
        <f>X177-Z177</f>
        <v/>
      </c>
      <c r="AC177" s="25">
        <f>IF(T177=0,"",ROUND((X177-Z177)/T177*100,1))</f>
        <v/>
      </c>
      <c r="AD177" s="27" t="inlineStr">
        <is>
          <t>ESTIMATED</t>
        </is>
      </c>
      <c r="AE177" s="28" t="inlineStr">
        <is>
          <t>https://lrflideres.com.br/wp-content/uploads/2022/08/4.-EDITAL-2a-LISTA-DE-CREDORES.pdf</t>
        </is>
      </c>
      <c r="AF177" s="27" t="inlineStr">
        <is>
          <t>p2 r9</t>
        </is>
      </c>
      <c r="AG177" s="27" t="inlineStr">
        <is>
          <t>p2: R$ 611.207,10</t>
        </is>
      </c>
      <c r="AH177" s="27" t="inlineStr">
        <is>
          <t>AJ_LIST</t>
        </is>
      </c>
      <c r="AI177" s="27" t="inlineStr">
        <is>
          <t>2023-12-04</t>
        </is>
      </c>
      <c r="AJ177" s="27" t="inlineStr">
        <is>
          <t>OK</t>
        </is>
      </c>
      <c r="AK177" s="29" t="inlineStr">
        <is>
          <t>0804204-35.2022.8.15.0731</t>
        </is>
      </c>
      <c r="AL177" s="29" t="inlineStr">
        <is>
          <t>TJPB</t>
        </is>
      </c>
      <c r="AM177" s="29" t="inlineStr">
        <is>
          <t>ACTIVE</t>
        </is>
      </c>
      <c r="AN177" s="29" t="n">
        <v>2022</v>
      </c>
      <c r="AO177" s="29" t="inlineStr">
        <is>
          <t>live case, no plan document yet</t>
        </is>
      </c>
      <c r="AP177" s="29" t="inlineStr">
        <is>
          <t>JUNDIAI</t>
        </is>
      </c>
      <c r="AQ177" s="29" t="inlineStr">
        <is>
          <t>SP</t>
        </is>
      </c>
      <c r="AR177" s="29" t="inlineStr">
        <is>
          <t>Fabricação de outros produtos de metal não especificados anteriormente</t>
        </is>
      </c>
      <c r="AS177" s="29" t="inlineStr">
        <is>
          <t>DEMAIS</t>
        </is>
      </c>
      <c r="AT177" s="29" t="inlineStr">
        <is>
          <t>MID-MARKET</t>
        </is>
      </c>
      <c r="AU177" s="29" t="inlineStr">
        <is>
          <t>38733545</t>
        </is>
      </c>
      <c r="AV177" s="29" t="n">
        <v>1</v>
      </c>
      <c r="AW177" s="29" t="inlineStr">
        <is>
          <t>ROWS:p2r9</t>
        </is>
      </c>
    </row>
    <row r="178">
      <c r="A178" s="15" t="inlineStr">
        <is>
          <t>RSG GESTAO DE ATIVOS LTDA</t>
        </is>
      </c>
      <c r="B178" s="16" t="n">
        <v>760513.79</v>
      </c>
      <c r="C178" s="17" t="inlineStr">
        <is>
          <t>GAMAC IMPORTACAO E EXPORTACAO LTDA</t>
        </is>
      </c>
      <c r="D178" s="18" t="inlineStr">
        <is>
          <t>NEW</t>
        </is>
      </c>
      <c r="E178" s="19" t="inlineStr"/>
      <c r="F178" s="18" t="inlineStr"/>
      <c r="G178" s="19" t="inlineStr"/>
      <c r="H178" s="18" t="inlineStr"/>
      <c r="I178" s="20" t="inlineStr">
        <is>
          <t>RODRIGO CANO PASSOS</t>
        </is>
      </c>
      <c r="J178" s="20" t="inlineStr">
        <is>
          <t>Administrador</t>
        </is>
      </c>
      <c r="K178" s="20" t="inlineStr">
        <is>
          <t>(47) 3248-6000</t>
        </is>
      </c>
      <c r="L178" s="20" t="inlineStr"/>
      <c r="M178" s="20" t="inlineStr"/>
      <c r="N178" s="20" t="inlineStr"/>
      <c r="O178" s="20" t="inlineStr"/>
      <c r="P178" s="20" t="inlineStr">
        <is>
          <t>WILLIAM RAMOS</t>
        </is>
      </c>
      <c r="Q178" s="20" t="inlineStr">
        <is>
          <t>Administrador</t>
        </is>
      </c>
      <c r="R178" s="20" t="inlineStr">
        <is>
          <t>(47) 3248-6000</t>
        </is>
      </c>
      <c r="S178" s="20" t="inlineStr"/>
      <c r="T178" s="21" t="n">
        <v>760513.79</v>
      </c>
      <c r="U178" s="22" t="inlineStr">
        <is>
          <t>B</t>
        </is>
      </c>
      <c r="V178" s="23">
        <f>IFERROR(VLOOKUP(U178,Assumptions!$A$7:$D$11,2,FALSE),0)</f>
        <v/>
      </c>
      <c r="W178" s="24">
        <f>MAX(0.5,IFERROR(VLOOKUP(U178,Assumptions!$A$7:$D$11,3,FALSE),3)+IFERROR(VLOOKUP(U178,Assumptions!$A$7:$D$11,4,FALSE),8)/2-IF(AN178="",0,YEAR(TODAY())-AN178))</f>
        <v/>
      </c>
      <c r="X178" s="21">
        <f>T178*V178/(1+Assumptions!$B$3)^W178</f>
        <v/>
      </c>
      <c r="Y178" s="25">
        <f>IF(T178=0,"",ROUND(X178/T178*100,1))</f>
        <v/>
      </c>
      <c r="Z178" s="26">
        <f>X178*Assumptions!$B$4</f>
        <v/>
      </c>
      <c r="AA178" s="25">
        <f>IF(T178=0,"",ROUND(Z178/T178*100,1))</f>
        <v/>
      </c>
      <c r="AB178" s="26">
        <f>X178-Z178</f>
        <v/>
      </c>
      <c r="AC178" s="25">
        <f>IF(T178=0,"",ROUND((X178-Z178)/T178*100,1))</f>
        <v/>
      </c>
      <c r="AD178" s="27" t="inlineStr">
        <is>
          <t>ESTIMATED</t>
        </is>
      </c>
      <c r="AE178" s="28" t="inlineStr">
        <is>
          <t>https://scalzilliaj.com.br/sgc/download.php?file=files/processo_documento/processo_documento10141405032024_1_.pdf&amp;nome=10 - Edital do art. 7º, §2º da Lei 11.101/2005 (segunda lista de credores)</t>
        </is>
      </c>
      <c r="AF178" s="27" t="inlineStr">
        <is>
          <t>p2 r15</t>
        </is>
      </c>
      <c r="AG178" s="27" t="inlineStr">
        <is>
          <t>p2: R$ 760.513,79</t>
        </is>
      </c>
      <c r="AH178" s="27" t="inlineStr">
        <is>
          <t>QGC</t>
        </is>
      </c>
      <c r="AI178" s="27" t="inlineStr">
        <is>
          <t>2024-03-05</t>
        </is>
      </c>
      <c r="AJ178" s="27" t="inlineStr">
        <is>
          <t>OK_NO_TOTALS</t>
        </is>
      </c>
      <c r="AK178" s="29" t="inlineStr">
        <is>
          <t>5012295-78.2023.8.24.0019</t>
        </is>
      </c>
      <c r="AL178" s="29" t="inlineStr">
        <is>
          <t>TJSC</t>
        </is>
      </c>
      <c r="AM178" s="29" t="inlineStr">
        <is>
          <t>ACTIVE</t>
        </is>
      </c>
      <c r="AN178" s="29" t="n">
        <v>2023</v>
      </c>
      <c r="AO178" s="29" t="inlineStr">
        <is>
          <t>live case, no plan document yet</t>
        </is>
      </c>
      <c r="AP178" s="29" t="inlineStr">
        <is>
          <t>ITAJAI</t>
        </is>
      </c>
      <c r="AQ178" s="29" t="inlineStr">
        <is>
          <t>SC</t>
        </is>
      </c>
      <c r="AR178" s="29" t="inlineStr">
        <is>
          <t>Gestão de ativos intangíveis não-financeiros</t>
        </is>
      </c>
      <c r="AS178" s="29" t="inlineStr">
        <is>
          <t>DEMAIS</t>
        </is>
      </c>
      <c r="AT178" s="29" t="inlineStr">
        <is>
          <t>MID-MARKET</t>
        </is>
      </c>
      <c r="AU178" s="29" t="inlineStr">
        <is>
          <t>30080657</t>
        </is>
      </c>
      <c r="AV178" s="29" t="n">
        <v>1</v>
      </c>
      <c r="AW178" s="29" t="inlineStr">
        <is>
          <t>ROWS:p2r15 UNRECONCILED_SOURCE</t>
        </is>
      </c>
    </row>
    <row r="179">
      <c r="A179" s="15" t="inlineStr">
        <is>
          <t>MIRANTE DISTRIBUIDORA E COMERCIO LTDA</t>
        </is>
      </c>
      <c r="B179" s="16" t="n">
        <v>949499.8</v>
      </c>
      <c r="C179" s="17" t="inlineStr">
        <is>
          <t>COOPERATIVA REGIONAL AGROPECUARIA VALE DO ITAJAI</t>
        </is>
      </c>
      <c r="D179" s="18" t="inlineStr">
        <is>
          <t>NEW</t>
        </is>
      </c>
      <c r="E179" s="19" t="inlineStr"/>
      <c r="F179" s="18" t="inlineStr"/>
      <c r="G179" s="19" t="inlineStr"/>
      <c r="H179" s="18" t="inlineStr"/>
      <c r="I179" s="20" t="inlineStr">
        <is>
          <t>Tiago Carneiro</t>
        </is>
      </c>
      <c r="J179" s="20" t="inlineStr">
        <is>
          <t>Commercial Director</t>
        </is>
      </c>
      <c r="K179" s="20" t="inlineStr">
        <is>
          <t>(45) 3224-2262</t>
        </is>
      </c>
      <c r="L179" s="20" t="inlineStr"/>
      <c r="M179" s="20" t="inlineStr"/>
      <c r="N179" s="20" t="inlineStr">
        <is>
          <t>tiago@mirantedistribuidora.com.br</t>
        </is>
      </c>
      <c r="O179" s="20" t="inlineStr">
        <is>
          <t>raphael@mirantedistribuidora.com.br</t>
        </is>
      </c>
      <c r="P179" s="20" t="inlineStr">
        <is>
          <t>Raphael Karvat</t>
        </is>
      </c>
      <c r="Q179" s="20" t="inlineStr">
        <is>
          <t>Commercial Manager</t>
        </is>
      </c>
      <c r="R179" s="20" t="inlineStr"/>
      <c r="S179" s="20" t="inlineStr">
        <is>
          <t>raphael@mirantedistribuidora.com.br</t>
        </is>
      </c>
      <c r="T179" s="21" t="n">
        <v>949499.8</v>
      </c>
      <c r="U179" s="22" t="inlineStr">
        <is>
          <t>B</t>
        </is>
      </c>
      <c r="V179" s="23">
        <f>IFERROR(VLOOKUP(U179,Assumptions!$A$7:$D$11,2,FALSE),0)</f>
        <v/>
      </c>
      <c r="W179" s="24">
        <f>MAX(0.5,IFERROR(VLOOKUP(U179,Assumptions!$A$7:$D$11,3,FALSE),3)+IFERROR(VLOOKUP(U179,Assumptions!$A$7:$D$11,4,FALSE),8)/2-IF(AN179="",0,YEAR(TODAY())-AN179))</f>
        <v/>
      </c>
      <c r="X179" s="21">
        <f>T179*V179/(1+Assumptions!$B$3)^W179</f>
        <v/>
      </c>
      <c r="Y179" s="25">
        <f>IF(T179=0,"",ROUND(X179/T179*100,1))</f>
        <v/>
      </c>
      <c r="Z179" s="26">
        <f>X179*Assumptions!$B$4</f>
        <v/>
      </c>
      <c r="AA179" s="25">
        <f>IF(T179=0,"",ROUND(Z179/T179*100,1))</f>
        <v/>
      </c>
      <c r="AB179" s="26">
        <f>X179-Z179</f>
        <v/>
      </c>
      <c r="AC179" s="25">
        <f>IF(T179=0,"",ROUND((X179-Z179)/T179*100,1))</f>
        <v/>
      </c>
      <c r="AD179" s="27" t="inlineStr">
        <is>
          <t>ESTIMATED</t>
        </is>
      </c>
      <c r="AE179" s="28" t="inlineStr">
        <is>
          <t>https://marquesadmjudicial.com.br/sgc/download.php?file=files/processo_documento/processo_documento10074612042024_1_.pdf&amp;nome=2º Edital-Relação de Credores AJ e PRJ</t>
        </is>
      </c>
      <c r="AF179" s="27" t="inlineStr">
        <is>
          <t>p1 r23</t>
        </is>
      </c>
      <c r="AG179" s="27" t="inlineStr">
        <is>
          <t>p1: R$ 949.499,80</t>
        </is>
      </c>
      <c r="AH179" s="27" t="inlineStr">
        <is>
          <t>AJ_LIST</t>
        </is>
      </c>
      <c r="AI179" s="27" t="inlineStr">
        <is>
          <t>2024-01-12</t>
        </is>
      </c>
      <c r="AJ179" s="27" t="inlineStr">
        <is>
          <t>OK_NO_TOTALS</t>
        </is>
      </c>
      <c r="AK179" s="29" t="inlineStr">
        <is>
          <t>0000357-17.2024.8.16.0131</t>
        </is>
      </c>
      <c r="AL179" s="29" t="inlineStr">
        <is>
          <t>TJPR</t>
        </is>
      </c>
      <c r="AM179" s="29" t="inlineStr">
        <is>
          <t>ACTIVE</t>
        </is>
      </c>
      <c r="AN179" s="29" t="n">
        <v>2024</v>
      </c>
      <c r="AO179" s="29" t="inlineStr">
        <is>
          <t>live case, no plan document yet</t>
        </is>
      </c>
      <c r="AP179" s="29" t="inlineStr">
        <is>
          <t>CASCAVEL</t>
        </is>
      </c>
      <c r="AQ179" s="29" t="inlineStr">
        <is>
          <t>PR</t>
        </is>
      </c>
      <c r="AR179" s="29" t="inlineStr">
        <is>
          <t>Comércio atacadista de produtos de higiene, limpeza e conservação domiciliar</t>
        </is>
      </c>
      <c r="AS179" s="29" t="inlineStr">
        <is>
          <t>DEMAIS</t>
        </is>
      </c>
      <c r="AT179" s="29" t="inlineStr">
        <is>
          <t>MID-MARKET</t>
        </is>
      </c>
      <c r="AU179" s="29" t="inlineStr">
        <is>
          <t>82683376</t>
        </is>
      </c>
      <c r="AV179" s="29" t="n">
        <v>1</v>
      </c>
      <c r="AW179" s="29" t="inlineStr">
        <is>
          <t>MULTI_ROOT ROWS:p1r23 UNRECONCILED_SOURCE</t>
        </is>
      </c>
    </row>
    <row r="180">
      <c r="A180" s="15" t="inlineStr">
        <is>
          <t>COMERCIAL CIRURGICA RIOCLARENSE LTDA</t>
        </is>
      </c>
      <c r="B180" s="16" t="n">
        <v>857146.9300000001</v>
      </c>
      <c r="C180" s="17" t="inlineStr">
        <is>
          <t>HOSPITAL SA</t>
        </is>
      </c>
      <c r="D180" s="18" t="inlineStr">
        <is>
          <t>NEW</t>
        </is>
      </c>
      <c r="E180" s="19" t="inlineStr"/>
      <c r="F180" s="18" t="inlineStr"/>
      <c r="G180" s="19" t="inlineStr"/>
      <c r="H180" s="18" t="inlineStr"/>
      <c r="I180" s="20" t="inlineStr">
        <is>
          <t>Flavia Barbosa</t>
        </is>
      </c>
      <c r="J180" s="20" t="inlineStr">
        <is>
          <t>Financial Director</t>
        </is>
      </c>
      <c r="K180" s="20" t="inlineStr"/>
      <c r="L180" s="20" t="inlineStr"/>
      <c r="M180" s="20" t="inlineStr"/>
      <c r="N180" s="20" t="inlineStr">
        <is>
          <t>flavia.barbosa@rioclarense.com.br</t>
        </is>
      </c>
      <c r="O180" s="20" t="inlineStr">
        <is>
          <t>paulo.prochnow@rioclarense.com.br</t>
        </is>
      </c>
      <c r="P180" s="20" t="inlineStr">
        <is>
          <t>Paulo Prochnow</t>
        </is>
      </c>
      <c r="Q180" s="20" t="inlineStr">
        <is>
          <t>Director</t>
        </is>
      </c>
      <c r="R180" s="20" t="inlineStr"/>
      <c r="S180" s="20" t="inlineStr">
        <is>
          <t>paulo.prochnow@rioclarense.com.br</t>
        </is>
      </c>
      <c r="T180" s="21" t="n">
        <v>857146.9300000001</v>
      </c>
      <c r="U180" s="31" t="inlineStr">
        <is>
          <t>C</t>
        </is>
      </c>
      <c r="V180" s="23">
        <f>IFERROR(VLOOKUP(U180,Assumptions!$A$7:$D$11,2,FALSE),0)</f>
        <v/>
      </c>
      <c r="W180" s="24">
        <f>MAX(0.5,IFERROR(VLOOKUP(U180,Assumptions!$A$7:$D$11,3,FALSE),3)+IFERROR(VLOOKUP(U180,Assumptions!$A$7:$D$11,4,FALSE),8)/2-IF(AN180="",0,YEAR(TODAY())-AN180))</f>
        <v/>
      </c>
      <c r="X180" s="21">
        <f>T180*V180/(1+Assumptions!$B$3)^W180</f>
        <v/>
      </c>
      <c r="Y180" s="25">
        <f>IF(T180=0,"",ROUND(X180/T180*100,1))</f>
        <v/>
      </c>
      <c r="Z180" s="26">
        <f>X180*Assumptions!$B$4</f>
        <v/>
      </c>
      <c r="AA180" s="25">
        <f>IF(T180=0,"",ROUND(Z180/T180*100,1))</f>
        <v/>
      </c>
      <c r="AB180" s="26">
        <f>X180-Z180</f>
        <v/>
      </c>
      <c r="AC180" s="25">
        <f>IF(T180=0,"",ROUND((X180-Z180)/T180*100,1))</f>
        <v/>
      </c>
      <c r="AD180" s="27" t="inlineStr">
        <is>
          <t>UNKNOWN</t>
        </is>
      </c>
      <c r="AE180" s="28" t="inlineStr">
        <is>
          <t>https://ricardobiancardi.com.br/wp-content/uploads/2024/12/Edital-1-relacao-de-credores-pub.-02.12.24-.pdf</t>
        </is>
      </c>
      <c r="AF180" s="27" t="inlineStr">
        <is>
          <t>p3 r23</t>
        </is>
      </c>
      <c r="AG180" s="27" t="inlineStr">
        <is>
          <t>p3: R$ 857.146,93</t>
        </is>
      </c>
      <c r="AH180" s="27" t="inlineStr">
        <is>
          <t>DEBTOR_LIST</t>
        </is>
      </c>
      <c r="AI180" s="27" t="inlineStr">
        <is>
          <t>2024-12-02</t>
        </is>
      </c>
      <c r="AJ180" s="27" t="inlineStr">
        <is>
          <t>OK_NO_TOTALS</t>
        </is>
      </c>
      <c r="AK180" s="29" t="inlineStr">
        <is>
          <t>0041309-42.2014.8.08.0024</t>
        </is>
      </c>
      <c r="AL180" s="29" t="inlineStr">
        <is>
          <t>TJ</t>
        </is>
      </c>
      <c r="AM180" s="29" t="inlineStr"/>
      <c r="AN180" s="29" t="n">
        <v>2014</v>
      </c>
      <c r="AO180" s="29" t="inlineStr">
        <is>
          <t>12y since filing, no plan document</t>
        </is>
      </c>
      <c r="AP180" s="29" t="inlineStr">
        <is>
          <t>RIO CLARO</t>
        </is>
      </c>
      <c r="AQ180" s="29" t="inlineStr">
        <is>
          <t>SP</t>
        </is>
      </c>
      <c r="AR180" s="29" t="inlineStr">
        <is>
          <t>Comércio atacadista de medicamentos e drogas de uso humano</t>
        </is>
      </c>
      <c r="AS180" s="29" t="inlineStr">
        <is>
          <t>DEMAIS</t>
        </is>
      </c>
      <c r="AT180" s="29" t="inlineStr">
        <is>
          <t>MID-MARKET</t>
        </is>
      </c>
      <c r="AU180" s="29" t="inlineStr">
        <is>
          <t>67729178</t>
        </is>
      </c>
      <c r="AV180" s="29" t="n">
        <v>1</v>
      </c>
      <c r="AW180" s="29" t="inlineStr">
        <is>
          <t>ROWS:p3r23 UNRECONCILED_SOURCE</t>
        </is>
      </c>
    </row>
    <row r="181">
      <c r="A181" s="15" t="inlineStr">
        <is>
          <t>EDP ESPIRITO SANTO DISTRIBUICAO DE ENERGIA S.A.</t>
        </is>
      </c>
      <c r="B181" s="16" t="n">
        <v>850547.08</v>
      </c>
      <c r="C181" s="17" t="inlineStr">
        <is>
          <t>HOSPITAL SA</t>
        </is>
      </c>
      <c r="D181" s="18" t="inlineStr">
        <is>
          <t>NEW</t>
        </is>
      </c>
      <c r="E181" s="19" t="inlineStr"/>
      <c r="F181" s="18" t="inlineStr"/>
      <c r="G181" s="19" t="inlineStr"/>
      <c r="H181" s="18" t="inlineStr"/>
      <c r="I181" s="20" t="inlineStr">
        <is>
          <t>DYOGENES ROSI</t>
        </is>
      </c>
      <c r="J181" s="20" t="inlineStr">
        <is>
          <t>Presidente</t>
        </is>
      </c>
      <c r="K181" s="20" t="inlineStr">
        <is>
          <t>(11) 2185-5199</t>
        </is>
      </c>
      <c r="L181" s="20" t="inlineStr">
        <is>
          <t>(11) 2185-5045</t>
        </is>
      </c>
      <c r="M181" s="20" t="inlineStr"/>
      <c r="N181" s="20" t="inlineStr"/>
      <c r="O181" s="20" t="inlineStr"/>
      <c r="P181" s="20" t="inlineStr">
        <is>
          <t>HUGO RENATO ANACLETO NUNES</t>
        </is>
      </c>
      <c r="Q181" s="20" t="inlineStr">
        <is>
          <t>Diretor</t>
        </is>
      </c>
      <c r="R181" s="20" t="inlineStr">
        <is>
          <t>(11) 2185-5045</t>
        </is>
      </c>
      <c r="S181" s="20" t="inlineStr"/>
      <c r="T181" s="21" t="n">
        <v>850547.08</v>
      </c>
      <c r="U181" s="31" t="inlineStr">
        <is>
          <t>C</t>
        </is>
      </c>
      <c r="V181" s="23">
        <f>IFERROR(VLOOKUP(U181,Assumptions!$A$7:$D$11,2,FALSE),0)</f>
        <v/>
      </c>
      <c r="W181" s="24">
        <f>MAX(0.5,IFERROR(VLOOKUP(U181,Assumptions!$A$7:$D$11,3,FALSE),3)+IFERROR(VLOOKUP(U181,Assumptions!$A$7:$D$11,4,FALSE),8)/2-IF(AN181="",0,YEAR(TODAY())-AN181))</f>
        <v/>
      </c>
      <c r="X181" s="21">
        <f>T181*V181/(1+Assumptions!$B$3)^W181</f>
        <v/>
      </c>
      <c r="Y181" s="25">
        <f>IF(T181=0,"",ROUND(X181/T181*100,1))</f>
        <v/>
      </c>
      <c r="Z181" s="26">
        <f>X181*Assumptions!$B$4</f>
        <v/>
      </c>
      <c r="AA181" s="25">
        <f>IF(T181=0,"",ROUND(Z181/T181*100,1))</f>
        <v/>
      </c>
      <c r="AB181" s="26">
        <f>X181-Z181</f>
        <v/>
      </c>
      <c r="AC181" s="25">
        <f>IF(T181=0,"",ROUND((X181-Z181)/T181*100,1))</f>
        <v/>
      </c>
      <c r="AD181" s="27" t="inlineStr">
        <is>
          <t>UNKNOWN</t>
        </is>
      </c>
      <c r="AE181" s="28" t="inlineStr">
        <is>
          <t>https://ricardobiancardi.com.br/wp-content/uploads/2024/12/Edital-1-relacao-de-credores-pub.-02.12.24-.pdf</t>
        </is>
      </c>
      <c r="AF181" s="27" t="inlineStr">
        <is>
          <t>p4 r11</t>
        </is>
      </c>
      <c r="AG181" s="27" t="inlineStr">
        <is>
          <t>p4: R$ 850.547,08</t>
        </is>
      </c>
      <c r="AH181" s="27" t="inlineStr">
        <is>
          <t>DEBTOR_LIST</t>
        </is>
      </c>
      <c r="AI181" s="27" t="inlineStr">
        <is>
          <t>2024-12-02</t>
        </is>
      </c>
      <c r="AJ181" s="27" t="inlineStr">
        <is>
          <t>OK_NO_TOTALS</t>
        </is>
      </c>
      <c r="AK181" s="29" t="inlineStr">
        <is>
          <t>0041309-42.2014.8.08.0024</t>
        </is>
      </c>
      <c r="AL181" s="29" t="inlineStr">
        <is>
          <t>TJ</t>
        </is>
      </c>
      <c r="AM181" s="29" t="inlineStr"/>
      <c r="AN181" s="29" t="n">
        <v>2014</v>
      </c>
      <c r="AO181" s="29" t="inlineStr">
        <is>
          <t>12y since filing, no plan document</t>
        </is>
      </c>
      <c r="AP181" s="29" t="inlineStr">
        <is>
          <t>VITORIA</t>
        </is>
      </c>
      <c r="AQ181" s="29" t="inlineStr">
        <is>
          <t>ES</t>
        </is>
      </c>
      <c r="AR181" s="29" t="inlineStr">
        <is>
          <t>Distribuição de energia elétrica</t>
        </is>
      </c>
      <c r="AS181" s="29" t="inlineStr">
        <is>
          <t>DEMAIS</t>
        </is>
      </c>
      <c r="AT181" s="29" t="inlineStr">
        <is>
          <t>LARGE CORP</t>
        </is>
      </c>
      <c r="AU181" s="29" t="inlineStr">
        <is>
          <t>28152650</t>
        </is>
      </c>
      <c r="AV181" s="29" t="n">
        <v>1</v>
      </c>
      <c r="AW181" s="29" t="inlineStr">
        <is>
          <t>ROWS:p4r11 UNRECONCILED_SOURCE</t>
        </is>
      </c>
    </row>
    <row r="182">
      <c r="A182" s="15" t="inlineStr">
        <is>
          <t>BEM BOM PESCADOS LTDA</t>
        </is>
      </c>
      <c r="B182" s="16" t="n">
        <v>1077136.54</v>
      </c>
      <c r="C182" s="17" t="inlineStr">
        <is>
          <t>COMERCIO RACOES BEM BOM LTDA</t>
        </is>
      </c>
      <c r="D182" s="18" t="inlineStr">
        <is>
          <t>NEW</t>
        </is>
      </c>
      <c r="E182" s="19" t="inlineStr"/>
      <c r="F182" s="18" t="inlineStr"/>
      <c r="G182" s="19" t="inlineStr"/>
      <c r="H182" s="18" t="inlineStr"/>
      <c r="I182" s="20" t="inlineStr">
        <is>
          <t>EDSON VIANDELLI LOPES</t>
        </is>
      </c>
      <c r="J182" s="20" t="inlineStr">
        <is>
          <t>Administrador</t>
        </is>
      </c>
      <c r="K182" s="20" t="inlineStr">
        <is>
          <t>(62) 8115-0283</t>
        </is>
      </c>
      <c r="L182" s="20" t="inlineStr">
        <is>
          <t>(62) 3389-9200</t>
        </is>
      </c>
      <c r="M182" s="20" t="inlineStr"/>
      <c r="N182" s="20" t="inlineStr"/>
      <c r="O182" s="20" t="inlineStr"/>
      <c r="P182" s="20" t="inlineStr">
        <is>
          <t>ELSON JOSE LOPES</t>
        </is>
      </c>
      <c r="Q182" s="20" t="inlineStr">
        <is>
          <t>Administrador</t>
        </is>
      </c>
      <c r="R182" s="20" t="inlineStr">
        <is>
          <t>(62) 3389-9200</t>
        </is>
      </c>
      <c r="S182" s="20" t="inlineStr"/>
      <c r="T182" s="21" t="n">
        <v>1077136.54</v>
      </c>
      <c r="U182" s="32" t="inlineStr">
        <is>
          <t>A</t>
        </is>
      </c>
      <c r="V182" s="23">
        <f>IFERROR(VLOOKUP(U182,Assumptions!$A$7:$D$11,2,FALSE),0)</f>
        <v/>
      </c>
      <c r="W182" s="24">
        <f>MAX(0.5,IFERROR(VLOOKUP(U182,Assumptions!$A$7:$D$11,3,FALSE),3)+IFERROR(VLOOKUP(U182,Assumptions!$A$7:$D$11,4,FALSE),8)/2-IF(AN182="",0,YEAR(TODAY())-AN182))</f>
        <v/>
      </c>
      <c r="X182" s="21">
        <f>T182*V182/(1+Assumptions!$B$3)^W182</f>
        <v/>
      </c>
      <c r="Y182" s="25">
        <f>IF(T182=0,"",ROUND(X182/T182*100,1))</f>
        <v/>
      </c>
      <c r="Z182" s="26">
        <f>X182*Assumptions!$B$4</f>
        <v/>
      </c>
      <c r="AA182" s="25">
        <f>IF(T182=0,"",ROUND(Z182/T182*100,1))</f>
        <v/>
      </c>
      <c r="AB182" s="26">
        <f>X182-Z182</f>
        <v/>
      </c>
      <c r="AC182" s="25">
        <f>IF(T182=0,"",ROUND((X182-Z182)/T182*100,1))</f>
        <v/>
      </c>
      <c r="AD182" s="27" t="inlineStr">
        <is>
          <t>CONFIRMED</t>
        </is>
      </c>
      <c r="AE182" s="28" t="inlineStr">
        <is>
          <t>https://stenius.com.br/wp-content/uploads/2026/06/EDITAL-GRUPO-3E.pdf</t>
        </is>
      </c>
      <c r="AF182" s="27" t="inlineStr">
        <is>
          <t>p10 r52; p10 r53; p10 r54; p10 r55</t>
        </is>
      </c>
      <c r="AG182" s="27" t="inlineStr">
        <is>
          <t>p10: R$ 227.290,00; p10: R$ 82.398,28; p10: R$ 601.694,30; p10: R$ 165.753,96</t>
        </is>
      </c>
      <c r="AH182" s="27" t="inlineStr">
        <is>
          <t>DEBTOR_LIST</t>
        </is>
      </c>
      <c r="AI182" s="27" t="inlineStr">
        <is>
          <t>2026-06-22</t>
        </is>
      </c>
      <c r="AJ182" s="27" t="inlineStr">
        <is>
          <t>OK_NO_TOTALS</t>
        </is>
      </c>
      <c r="AK182" s="29" t="inlineStr">
        <is>
          <t>5341375-33.2026.8.09.0049</t>
        </is>
      </c>
      <c r="AL182" s="29" t="inlineStr">
        <is>
          <t>TJGO</t>
        </is>
      </c>
      <c r="AM182" s="29" t="inlineStr">
        <is>
          <t>ACTIVE</t>
        </is>
      </c>
      <c r="AN182" s="29" t="n">
        <v>2026</v>
      </c>
      <c r="AO182" s="29" t="inlineStr">
        <is>
          <t>plan/homologation document found</t>
        </is>
      </c>
      <c r="AP182" s="29" t="inlineStr">
        <is>
          <t>GOIANESIA</t>
        </is>
      </c>
      <c r="AQ182" s="29" t="inlineStr">
        <is>
          <t>GO</t>
        </is>
      </c>
      <c r="AR182" s="29" t="inlineStr">
        <is>
          <t>Comércio atacadista de pescados e frutos do mar</t>
        </is>
      </c>
      <c r="AS182" s="29" t="inlineStr">
        <is>
          <t>DEMAIS</t>
        </is>
      </c>
      <c r="AT182" s="29" t="inlineStr">
        <is>
          <t>MID-MARKET</t>
        </is>
      </c>
      <c r="AU182" s="29" t="inlineStr">
        <is>
          <t>27703265</t>
        </is>
      </c>
      <c r="AV182" s="29" t="n">
        <v>4</v>
      </c>
      <c r="AW182" s="29" t="inlineStr">
        <is>
          <t>ROWS:p10r52,p10r53,p10r54,p10r55 UNRECONCILED_SOURCE</t>
        </is>
      </c>
    </row>
    <row r="183">
      <c r="A183" s="15" t="inlineStr">
        <is>
          <t>CIL - COMERCIO DE INFORMATICA LTDA</t>
        </is>
      </c>
      <c r="B183" s="16" t="n">
        <v>1166163.86</v>
      </c>
      <c r="C183" s="17" t="inlineStr">
        <is>
          <t>aludida empresa</t>
        </is>
      </c>
      <c r="D183" s="18" t="inlineStr">
        <is>
          <t>NEW</t>
        </is>
      </c>
      <c r="E183" s="19" t="inlineStr"/>
      <c r="F183" s="18" t="inlineStr"/>
      <c r="G183" s="19" t="inlineStr"/>
      <c r="H183" s="18" t="inlineStr"/>
      <c r="I183" s="20" t="inlineStr">
        <is>
          <t>Edgar Assis</t>
        </is>
      </c>
      <c r="J183" s="20" t="inlineStr">
        <is>
          <t>Gerente Administrativo / Financeiro</t>
        </is>
      </c>
      <c r="K183" s="20" t="inlineStr">
        <is>
          <t>(81) 2121-2000</t>
        </is>
      </c>
      <c r="L183" s="20" t="inlineStr">
        <is>
          <t>(81) 2121-2000</t>
        </is>
      </c>
      <c r="M183" s="20" t="inlineStr"/>
      <c r="N183" s="20" t="inlineStr">
        <is>
          <t>edgar.assis@nagem.com.br</t>
        </is>
      </c>
      <c r="O183" s="20" t="inlineStr">
        <is>
          <t>alexandre.barbosa@nagem.com.br</t>
        </is>
      </c>
      <c r="P183" s="20" t="inlineStr">
        <is>
          <t>Alexandre Barbosa</t>
        </is>
      </c>
      <c r="Q183" s="20" t="inlineStr">
        <is>
          <t>Coordenador de Crédito e Cobrança</t>
        </is>
      </c>
      <c r="R183" s="20" t="inlineStr"/>
      <c r="S183" s="20" t="inlineStr">
        <is>
          <t>alexandre.barbosa@nagem.com.br</t>
        </is>
      </c>
      <c r="T183" s="21" t="n">
        <v>1166163.86</v>
      </c>
      <c r="U183" s="31" t="inlineStr">
        <is>
          <t>C</t>
        </is>
      </c>
      <c r="V183" s="23">
        <f>IFERROR(VLOOKUP(U183,Assumptions!$A$7:$D$11,2,FALSE),0)</f>
        <v/>
      </c>
      <c r="W183" s="24">
        <f>MAX(0.5,IFERROR(VLOOKUP(U183,Assumptions!$A$7:$D$11,3,FALSE),3)+IFERROR(VLOOKUP(U183,Assumptions!$A$7:$D$11,4,FALSE),8)/2-IF(AN183="",0,YEAR(TODAY())-AN183))</f>
        <v/>
      </c>
      <c r="X183" s="21">
        <f>T183*V183/(1+Assumptions!$B$3)^W183</f>
        <v/>
      </c>
      <c r="Y183" s="25">
        <f>IF(T183=0,"",ROUND(X183/T183*100,1))</f>
        <v/>
      </c>
      <c r="Z183" s="26">
        <f>X183*Assumptions!$B$4</f>
        <v/>
      </c>
      <c r="AA183" s="25">
        <f>IF(T183=0,"",ROUND(Z183/T183*100,1))</f>
        <v/>
      </c>
      <c r="AB183" s="26">
        <f>X183-Z183</f>
        <v/>
      </c>
      <c r="AC183" s="25">
        <f>IF(T183=0,"",ROUND((X183-Z183)/T183*100,1))</f>
        <v/>
      </c>
      <c r="AD183" s="27" t="inlineStr">
        <is>
          <t>ESTIMATED</t>
        </is>
      </c>
      <c r="AE183" s="28" t="inlineStr">
        <is>
          <t>https://recuperacaojudicial.squarespace.com/s/RJ-Credimoveis-QGC-01082025.pdf</t>
        </is>
      </c>
      <c r="AF183" s="27" t="inlineStr">
        <is>
          <t>p15 r31</t>
        </is>
      </c>
      <c r="AG183" s="27" t="inlineStr">
        <is>
          <t>p15: R$ 1.166.163,86</t>
        </is>
      </c>
      <c r="AH183" s="27" t="inlineStr">
        <is>
          <t>QGC</t>
        </is>
      </c>
      <c r="AI183" s="27" t="inlineStr">
        <is>
          <t>2026-01-28</t>
        </is>
      </c>
      <c r="AJ183" s="27" t="inlineStr">
        <is>
          <t>OK</t>
        </is>
      </c>
      <c r="AK183" s="29" t="inlineStr">
        <is>
          <t>0007565-40.2020.8.17.2370</t>
        </is>
      </c>
      <c r="AL183" s="29" t="inlineStr">
        <is>
          <t>TJPE</t>
        </is>
      </c>
      <c r="AM183" s="29" t="inlineStr">
        <is>
          <t>ACTIVE</t>
        </is>
      </c>
      <c r="AN183" s="29" t="n">
        <v>2020</v>
      </c>
      <c r="AO183" s="29" t="inlineStr">
        <is>
          <t>6y since filing, no plan document</t>
        </is>
      </c>
      <c r="AP183" s="29" t="inlineStr">
        <is>
          <t>RECIFE</t>
        </is>
      </c>
      <c r="AQ183" s="29" t="inlineStr">
        <is>
          <t>PE</t>
        </is>
      </c>
      <c r="AR183" s="29" t="inlineStr">
        <is>
          <t>Comércio atacadista de suprimentos para informática</t>
        </is>
      </c>
      <c r="AS183" s="29" t="inlineStr">
        <is>
          <t>DEMAIS</t>
        </is>
      </c>
      <c r="AT183" s="29" t="inlineStr">
        <is>
          <t>LARGE CORP</t>
        </is>
      </c>
      <c r="AU183" s="29" t="inlineStr">
        <is>
          <t>24073694</t>
        </is>
      </c>
      <c r="AV183" s="29" t="n">
        <v>1</v>
      </c>
      <c r="AW183" s="29" t="inlineStr">
        <is>
          <t>ROWS:p15r31</t>
        </is>
      </c>
    </row>
    <row r="184">
      <c r="A184" s="15" t="inlineStr">
        <is>
          <t>NP BRASIL SERVICOS E PROJETOS LTDA</t>
        </is>
      </c>
      <c r="B184" s="16" t="n">
        <v>830950.0600000001</v>
      </c>
      <c r="C184" s="17" t="inlineStr"/>
      <c r="D184" s="18" t="inlineStr">
        <is>
          <t>NEW</t>
        </is>
      </c>
      <c r="E184" s="19" t="inlineStr"/>
      <c r="F184" s="18" t="inlineStr"/>
      <c r="G184" s="19" t="inlineStr"/>
      <c r="H184" s="18" t="inlineStr"/>
      <c r="I184" s="20" t="inlineStr">
        <is>
          <t>ANTONIO SERGIO HURTADO</t>
        </is>
      </c>
      <c r="J184" s="20" t="inlineStr">
        <is>
          <t>Sócio-Administrador</t>
        </is>
      </c>
      <c r="K184" s="20" t="inlineStr">
        <is>
          <t>(11) 4443-1000</t>
        </is>
      </c>
      <c r="L184" s="20" t="inlineStr"/>
      <c r="M184" s="20" t="inlineStr"/>
      <c r="N184" s="20" t="inlineStr"/>
      <c r="O184" s="20" t="inlineStr"/>
      <c r="P184" s="20" t="inlineStr"/>
      <c r="Q184" s="20" t="inlineStr"/>
      <c r="R184" s="20" t="inlineStr"/>
      <c r="S184" s="20" t="inlineStr"/>
      <c r="T184" s="21" t="n">
        <v>830950.0600000001</v>
      </c>
      <c r="U184" s="31" t="inlineStr">
        <is>
          <t>C</t>
        </is>
      </c>
      <c r="V184" s="23">
        <f>IFERROR(VLOOKUP(U184,Assumptions!$A$7:$D$11,2,FALSE),0)</f>
        <v/>
      </c>
      <c r="W184" s="24">
        <f>MAX(0.5,IFERROR(VLOOKUP(U184,Assumptions!$A$7:$D$11,3,FALSE),3)+IFERROR(VLOOKUP(U184,Assumptions!$A$7:$D$11,4,FALSE),8)/2-IF(AN184="",0,YEAR(TODAY())-AN184))</f>
        <v/>
      </c>
      <c r="X184" s="21">
        <f>T184*V184/(1+Assumptions!$B$3)^W184</f>
        <v/>
      </c>
      <c r="Y184" s="25">
        <f>IF(T184=0,"",ROUND(X184/T184*100,1))</f>
        <v/>
      </c>
      <c r="Z184" s="26">
        <f>X184*Assumptions!$B$4</f>
        <v/>
      </c>
      <c r="AA184" s="25">
        <f>IF(T184=0,"",ROUND(Z184/T184*100,1))</f>
        <v/>
      </c>
      <c r="AB184" s="26">
        <f>X184-Z184</f>
        <v/>
      </c>
      <c r="AC184" s="25">
        <f>IF(T184=0,"",ROUND((X184-Z184)/T184*100,1))</f>
        <v/>
      </c>
      <c r="AD184" s="27" t="inlineStr">
        <is>
          <t>UNKNOWN</t>
        </is>
      </c>
      <c r="AE184" s="28" t="inlineStr">
        <is>
          <t>https://administradorajudicialgs.com.br/wp-content/uploads/2024/12/relacao-de-credores-da-falida.pdf</t>
        </is>
      </c>
      <c r="AF184" s="27" t="inlineStr">
        <is>
          <t>p17 r14</t>
        </is>
      </c>
      <c r="AG184" s="27" t="inlineStr">
        <is>
          <t>p17: R$ 830.950,06</t>
        </is>
      </c>
      <c r="AH184" s="27" t="inlineStr">
        <is>
          <t>UNKNOWN</t>
        </is>
      </c>
      <c r="AI184" s="27" t="inlineStr">
        <is>
          <t>2025-03-25</t>
        </is>
      </c>
      <c r="AJ184" s="27" t="inlineStr">
        <is>
          <t>OK_NO_TOTALS</t>
        </is>
      </c>
      <c r="AK184" s="29" t="inlineStr">
        <is>
          <t>0005010-50.2013.8.24.0026</t>
        </is>
      </c>
      <c r="AL184" s="29" t="inlineStr">
        <is>
          <t>TJ</t>
        </is>
      </c>
      <c r="AM184" s="29" t="inlineStr"/>
      <c r="AN184" s="29" t="n">
        <v>2013</v>
      </c>
      <c r="AO184" s="29" t="inlineStr">
        <is>
          <t>13y since filing, no plan document</t>
        </is>
      </c>
      <c r="AP184" s="29" t="inlineStr">
        <is>
          <t>FRANCO DA ROCHA</t>
        </is>
      </c>
      <c r="AQ184" s="29" t="inlineStr">
        <is>
          <t>SP</t>
        </is>
      </c>
      <c r="AR184" s="29" t="inlineStr">
        <is>
          <t>Fabricação de embalagens de material plástico</t>
        </is>
      </c>
      <c r="AS184" s="29" t="inlineStr">
        <is>
          <t>DEMAIS</t>
        </is>
      </c>
      <c r="AT184" s="29" t="inlineStr">
        <is>
          <t>MID-MARKET</t>
        </is>
      </c>
      <c r="AU184" s="29" t="inlineStr">
        <is>
          <t>67959015</t>
        </is>
      </c>
      <c r="AV184" s="29" t="n">
        <v>1</v>
      </c>
      <c r="AW184" s="29" t="inlineStr">
        <is>
          <t>ROWS:p17r14 UNRECONCILED_SOURCE</t>
        </is>
      </c>
    </row>
    <row r="185">
      <c r="A185" s="15" t="inlineStr">
        <is>
          <t>BRANDILI TEXTIL LTDA</t>
        </is>
      </c>
      <c r="B185" s="16" t="n">
        <v>567952.01</v>
      </c>
      <c r="C185" s="17" t="inlineStr">
        <is>
          <t>R W CONSTRUCOES LTDA</t>
        </is>
      </c>
      <c r="D185" s="18" t="inlineStr">
        <is>
          <t>NEW</t>
        </is>
      </c>
      <c r="E185" s="19" t="inlineStr"/>
      <c r="F185" s="18" t="inlineStr"/>
      <c r="G185" s="19" t="inlineStr"/>
      <c r="H185" s="18" t="inlineStr"/>
      <c r="I185" s="20" t="inlineStr">
        <is>
          <t>Everson Marcon</t>
        </is>
      </c>
      <c r="J185" s="20" t="inlineStr">
        <is>
          <t>Chief Financial Officer</t>
        </is>
      </c>
      <c r="K185" s="20" t="inlineStr">
        <is>
          <t>(47) 3144-6000</t>
        </is>
      </c>
      <c r="L185" s="20" t="inlineStr">
        <is>
          <t>(47) 3353-2401</t>
        </is>
      </c>
      <c r="M185" s="20" t="inlineStr"/>
      <c r="N185" s="20" t="inlineStr">
        <is>
          <t>everson@brandili.com.br</t>
        </is>
      </c>
      <c r="O185" s="20" t="inlineStr">
        <is>
          <t>kelly.medina@brandili.com.br</t>
        </is>
      </c>
      <c r="P185" s="20" t="inlineStr">
        <is>
          <t>Kelly Medina</t>
        </is>
      </c>
      <c r="Q185" s="20" t="inlineStr">
        <is>
          <t>Analista de Crédito e Cobrança Sênior</t>
        </is>
      </c>
      <c r="R185" s="20" t="inlineStr"/>
      <c r="S185" s="20" t="inlineStr">
        <is>
          <t>kelly.medina@brandili.com.br</t>
        </is>
      </c>
      <c r="T185" s="21" t="n">
        <v>567952.01</v>
      </c>
      <c r="U185" s="22" t="inlineStr">
        <is>
          <t>B</t>
        </is>
      </c>
      <c r="V185" s="23">
        <f>IFERROR(VLOOKUP(U185,Assumptions!$A$7:$D$11,2,FALSE),0)</f>
        <v/>
      </c>
      <c r="W185" s="24">
        <f>MAX(0.5,IFERROR(VLOOKUP(U185,Assumptions!$A$7:$D$11,3,FALSE),3)+IFERROR(VLOOKUP(U185,Assumptions!$A$7:$D$11,4,FALSE),8)/2-IF(AN185="",0,YEAR(TODAY())-AN185))</f>
        <v/>
      </c>
      <c r="X185" s="21">
        <f>T185*V185/(1+Assumptions!$B$3)^W185</f>
        <v/>
      </c>
      <c r="Y185" s="25">
        <f>IF(T185=0,"",ROUND(X185/T185*100,1))</f>
        <v/>
      </c>
      <c r="Z185" s="26">
        <f>X185*Assumptions!$B$4</f>
        <v/>
      </c>
      <c r="AA185" s="25">
        <f>IF(T185=0,"",ROUND(Z185/T185*100,1))</f>
        <v/>
      </c>
      <c r="AB185" s="26">
        <f>X185-Z185</f>
        <v/>
      </c>
      <c r="AC185" s="25">
        <f>IF(T185=0,"",ROUND((X185-Z185)/T185*100,1))</f>
        <v/>
      </c>
      <c r="AD185" s="27" t="inlineStr">
        <is>
          <t>ESTIMATED</t>
        </is>
      </c>
      <c r="AE185" s="28" t="inlineStr">
        <is>
          <t>https://lrflideres.com.br/wp-content/plugins/download-attachments/includes/download.php?id=4023</t>
        </is>
      </c>
      <c r="AF185" s="27" t="inlineStr">
        <is>
          <t>p4 r58; p7 r81; p9 r60</t>
        </is>
      </c>
      <c r="AG185" s="27" t="inlineStr">
        <is>
          <t>p4: R$ 165.914,50; p7: R$ 324.485,33; p9: R$ 77.552,18</t>
        </is>
      </c>
      <c r="AH185" s="27" t="inlineStr">
        <is>
          <t>DEBTOR_LIST</t>
        </is>
      </c>
      <c r="AI185" s="27" t="inlineStr"/>
      <c r="AJ185" s="27" t="inlineStr">
        <is>
          <t>QUARANTINED</t>
        </is>
      </c>
      <c r="AK185" s="29" t="inlineStr">
        <is>
          <t>0002484-82.2022.8.17.2001</t>
        </is>
      </c>
      <c r="AL185" s="29" t="inlineStr">
        <is>
          <t>TJPE</t>
        </is>
      </c>
      <c r="AM185" s="29" t="inlineStr">
        <is>
          <t>ACTIVE</t>
        </is>
      </c>
      <c r="AN185" s="29" t="n">
        <v>2022</v>
      </c>
      <c r="AO185" s="29" t="inlineStr">
        <is>
          <t>live case, no plan document yet</t>
        </is>
      </c>
      <c r="AP185" s="29" t="inlineStr">
        <is>
          <t>APIUNA</t>
        </is>
      </c>
      <c r="AQ185" s="29" t="inlineStr">
        <is>
          <t>SC</t>
        </is>
      </c>
      <c r="AR185" s="29" t="inlineStr">
        <is>
          <t>Confecção de peças de vestuário, exceto roupas íntimas e as confeccionadas sob medida</t>
        </is>
      </c>
      <c r="AS185" s="29" t="inlineStr">
        <is>
          <t>DEMAIS</t>
        </is>
      </c>
      <c r="AT185" s="29" t="inlineStr">
        <is>
          <t>MID-MARKET</t>
        </is>
      </c>
      <c r="AU185" s="29" t="inlineStr">
        <is>
          <t>84229889</t>
        </is>
      </c>
      <c r="AV185" s="29" t="n">
        <v>3</v>
      </c>
      <c r="AW185" s="29" t="inlineStr">
        <is>
          <t>PARTIAL_DOC_CLASS_III_RECONCILED ROWS:p4r58,p7r81,p9r60</t>
        </is>
      </c>
    </row>
    <row r="186">
      <c r="A186" s="15" t="inlineStr">
        <is>
          <t>NEOMAR ARTIGOS INFANTIS EM GERAL LTDA</t>
        </is>
      </c>
      <c r="B186" s="16" t="n">
        <v>875418.05</v>
      </c>
      <c r="C186" s="17" t="inlineStr">
        <is>
          <t>COOPERATIVA REGIONAL AGROPECUARIA VALE DO ITAJAI</t>
        </is>
      </c>
      <c r="D186" s="18" t="inlineStr">
        <is>
          <t>NEW</t>
        </is>
      </c>
      <c r="E186" s="19" t="inlineStr"/>
      <c r="F186" s="18" t="inlineStr"/>
      <c r="G186" s="19" t="inlineStr"/>
      <c r="H186" s="18" t="inlineStr"/>
      <c r="I186" s="20" t="inlineStr">
        <is>
          <t>ANDRE LUIZ SCRAMIN QUESADA</t>
        </is>
      </c>
      <c r="J186" s="20" t="inlineStr">
        <is>
          <t>Sócio-Administrador</t>
        </is>
      </c>
      <c r="K186" s="20" t="inlineStr">
        <is>
          <t>(43) 3312-0489</t>
        </is>
      </c>
      <c r="L186" s="20" t="inlineStr"/>
      <c r="M186" s="20" t="inlineStr"/>
      <c r="N186" s="20" t="inlineStr"/>
      <c r="O186" s="20" t="inlineStr"/>
      <c r="P186" s="20" t="inlineStr"/>
      <c r="Q186" s="20" t="inlineStr"/>
      <c r="R186" s="20" t="inlineStr"/>
      <c r="S186" s="20" t="inlineStr"/>
      <c r="T186" s="21" t="n">
        <v>875418.05</v>
      </c>
      <c r="U186" s="22" t="inlineStr">
        <is>
          <t>B</t>
        </is>
      </c>
      <c r="V186" s="23">
        <f>IFERROR(VLOOKUP(U186,Assumptions!$A$7:$D$11,2,FALSE),0)</f>
        <v/>
      </c>
      <c r="W186" s="24">
        <f>MAX(0.5,IFERROR(VLOOKUP(U186,Assumptions!$A$7:$D$11,3,FALSE),3)+IFERROR(VLOOKUP(U186,Assumptions!$A$7:$D$11,4,FALSE),8)/2-IF(AN186="",0,YEAR(TODAY())-AN186))</f>
        <v/>
      </c>
      <c r="X186" s="21">
        <f>T186*V186/(1+Assumptions!$B$3)^W186</f>
        <v/>
      </c>
      <c r="Y186" s="25">
        <f>IF(T186=0,"",ROUND(X186/T186*100,1))</f>
        <v/>
      </c>
      <c r="Z186" s="26">
        <f>X186*Assumptions!$B$4</f>
        <v/>
      </c>
      <c r="AA186" s="25">
        <f>IF(T186=0,"",ROUND(Z186/T186*100,1))</f>
        <v/>
      </c>
      <c r="AB186" s="26">
        <f>X186-Z186</f>
        <v/>
      </c>
      <c r="AC186" s="25">
        <f>IF(T186=0,"",ROUND((X186-Z186)/T186*100,1))</f>
        <v/>
      </c>
      <c r="AD186" s="27" t="inlineStr">
        <is>
          <t>ESTIMATED</t>
        </is>
      </c>
      <c r="AE186" s="28" t="inlineStr">
        <is>
          <t>https://marquesadmjudicial.com.br/sgc/download.php?file=files/processo_documento/processo_documento10074612042024_1_.pdf&amp;nome=2º Edital-Relação de Credores AJ e PRJ</t>
        </is>
      </c>
      <c r="AF186" s="27" t="inlineStr">
        <is>
          <t>p2 r19</t>
        </is>
      </c>
      <c r="AG186" s="27" t="inlineStr">
        <is>
          <t>p2: R$ 875.418,05</t>
        </is>
      </c>
      <c r="AH186" s="27" t="inlineStr">
        <is>
          <t>AJ_LIST</t>
        </is>
      </c>
      <c r="AI186" s="27" t="inlineStr">
        <is>
          <t>2024-01-12</t>
        </is>
      </c>
      <c r="AJ186" s="27" t="inlineStr">
        <is>
          <t>OK_NO_TOTALS</t>
        </is>
      </c>
      <c r="AK186" s="29" t="inlineStr">
        <is>
          <t>0000357-17.2024.8.16.0131</t>
        </is>
      </c>
      <c r="AL186" s="29" t="inlineStr">
        <is>
          <t>TJPR</t>
        </is>
      </c>
      <c r="AM186" s="29" t="inlineStr">
        <is>
          <t>ACTIVE</t>
        </is>
      </c>
      <c r="AN186" s="29" t="n">
        <v>2024</v>
      </c>
      <c r="AO186" s="29" t="inlineStr">
        <is>
          <t>live case, no plan document yet</t>
        </is>
      </c>
      <c r="AP186" s="29" t="inlineStr">
        <is>
          <t>ARAPONGAS</t>
        </is>
      </c>
      <c r="AQ186" s="29" t="inlineStr">
        <is>
          <t>PR</t>
        </is>
      </c>
      <c r="AR186" s="29" t="inlineStr">
        <is>
          <t>Comércio atacadista de outros equipamentos e artigos de uso pessoal e doméstico não especificados anteriormente</t>
        </is>
      </c>
      <c r="AS186" s="29" t="inlineStr">
        <is>
          <t>EMPRESA DE PEQUENO PORTE</t>
        </is>
      </c>
      <c r="AT186" s="29" t="inlineStr">
        <is>
          <t>SMALL</t>
        </is>
      </c>
      <c r="AU186" s="29" t="inlineStr">
        <is>
          <t>19770372</t>
        </is>
      </c>
      <c r="AV186" s="29" t="n">
        <v>1</v>
      </c>
      <c r="AW186" s="29" t="inlineStr">
        <is>
          <t>ROWS:p2r19 UNRECONCILED_SOURCE</t>
        </is>
      </c>
    </row>
    <row r="187">
      <c r="A187" s="15" t="inlineStr">
        <is>
          <t>REFRESCOS BANDEIRANTES INDUSTRIA E COMERCIO LTDA</t>
        </is>
      </c>
      <c r="B187" s="16" t="n">
        <v>1020958.23</v>
      </c>
      <c r="C187" s="17" t="inlineStr">
        <is>
          <t>COMERCIO RACOES BEM BOM LTDA</t>
        </is>
      </c>
      <c r="D187" s="18" t="inlineStr">
        <is>
          <t>NEW</t>
        </is>
      </c>
      <c r="E187" s="19" t="inlineStr"/>
      <c r="F187" s="18" t="inlineStr"/>
      <c r="G187" s="19" t="inlineStr"/>
      <c r="H187" s="18" t="inlineStr"/>
      <c r="I187" s="20" t="inlineStr">
        <is>
          <t>Elismeire Ferreira</t>
        </is>
      </c>
      <c r="J187" s="20" t="inlineStr">
        <is>
          <t>Gerente Adm. e Financeiro</t>
        </is>
      </c>
      <c r="K187" s="20" t="inlineStr">
        <is>
          <t>(11) 5502-1200</t>
        </is>
      </c>
      <c r="L187" s="20" t="inlineStr"/>
      <c r="M187" s="20" t="inlineStr"/>
      <c r="N187" s="20" t="inlineStr">
        <is>
          <t>evieira@rebic.com.br</t>
        </is>
      </c>
      <c r="O187" s="20" t="inlineStr">
        <is>
          <t>msilva@rebic.com.br</t>
        </is>
      </c>
      <c r="P187" s="20" t="inlineStr">
        <is>
          <t>Manoel Silva</t>
        </is>
      </c>
      <c r="Q187" s="20" t="inlineStr">
        <is>
          <t>Coordenador Contas A Receber</t>
        </is>
      </c>
      <c r="R187" s="20" t="inlineStr"/>
      <c r="S187" s="20" t="inlineStr">
        <is>
          <t>msilva@rebic.com.br</t>
        </is>
      </c>
      <c r="T187" s="21" t="n">
        <v>1020958.23</v>
      </c>
      <c r="U187" s="32" t="inlineStr">
        <is>
          <t>A</t>
        </is>
      </c>
      <c r="V187" s="23">
        <f>IFERROR(VLOOKUP(U187,Assumptions!$A$7:$D$11,2,FALSE),0)</f>
        <v/>
      </c>
      <c r="W187" s="24">
        <f>MAX(0.5,IFERROR(VLOOKUP(U187,Assumptions!$A$7:$D$11,3,FALSE),3)+IFERROR(VLOOKUP(U187,Assumptions!$A$7:$D$11,4,FALSE),8)/2-IF(AN187="",0,YEAR(TODAY())-AN187))</f>
        <v/>
      </c>
      <c r="X187" s="21">
        <f>T187*V187/(1+Assumptions!$B$3)^W187</f>
        <v/>
      </c>
      <c r="Y187" s="25">
        <f>IF(T187=0,"",ROUND(X187/T187*100,1))</f>
        <v/>
      </c>
      <c r="Z187" s="26">
        <f>X187*Assumptions!$B$4</f>
        <v/>
      </c>
      <c r="AA187" s="25">
        <f>IF(T187=0,"",ROUND(Z187/T187*100,1))</f>
        <v/>
      </c>
      <c r="AB187" s="26">
        <f>X187-Z187</f>
        <v/>
      </c>
      <c r="AC187" s="25">
        <f>IF(T187=0,"",ROUND((X187-Z187)/T187*100,1))</f>
        <v/>
      </c>
      <c r="AD187" s="27" t="inlineStr">
        <is>
          <t>CONFIRMED</t>
        </is>
      </c>
      <c r="AE187" s="28" t="inlineStr">
        <is>
          <t>https://stenius.com.br/wp-content/uploads/2026/06/EDITAL-GRUPO-3E.pdf</t>
        </is>
      </c>
      <c r="AF187" s="27" t="inlineStr">
        <is>
          <t>p11 r65; p11 r66; p11 r67</t>
        </is>
      </c>
      <c r="AG187" s="27" t="inlineStr">
        <is>
          <t>p11: R$ 424.506,14; p11: R$ 375.601,64; p11: R$ 220.850,45</t>
        </is>
      </c>
      <c r="AH187" s="27" t="inlineStr">
        <is>
          <t>DEBTOR_LIST</t>
        </is>
      </c>
      <c r="AI187" s="27" t="inlineStr">
        <is>
          <t>2026-06-22</t>
        </is>
      </c>
      <c r="AJ187" s="27" t="inlineStr">
        <is>
          <t>OK_NO_TOTALS</t>
        </is>
      </c>
      <c r="AK187" s="29" t="inlineStr">
        <is>
          <t>5341375-33.2026.8.09.0049</t>
        </is>
      </c>
      <c r="AL187" s="29" t="inlineStr">
        <is>
          <t>TJGO</t>
        </is>
      </c>
      <c r="AM187" s="29" t="inlineStr">
        <is>
          <t>ACTIVE</t>
        </is>
      </c>
      <c r="AN187" s="29" t="n">
        <v>2026</v>
      </c>
      <c r="AO187" s="29" t="inlineStr">
        <is>
          <t>plan/homologation document found</t>
        </is>
      </c>
      <c r="AP187" s="29" t="inlineStr">
        <is>
          <t>SAO PAULO</t>
        </is>
      </c>
      <c r="AQ187" s="29" t="inlineStr">
        <is>
          <t>SP</t>
        </is>
      </c>
      <c r="AR187" s="29" t="inlineStr">
        <is>
          <t>Fabricação de refrigerantes</t>
        </is>
      </c>
      <c r="AS187" s="29" t="inlineStr">
        <is>
          <t>DEMAIS</t>
        </is>
      </c>
      <c r="AT187" s="29" t="inlineStr">
        <is>
          <t>LARGE CORP</t>
        </is>
      </c>
      <c r="AU187" s="29" t="inlineStr">
        <is>
          <t>03380763</t>
        </is>
      </c>
      <c r="AV187" s="29" t="n">
        <v>3</v>
      </c>
      <c r="AW187" s="29" t="inlineStr">
        <is>
          <t>ROWS:p11r65,p11r66,p11r67 UNRECONCILED_SOURCE</t>
        </is>
      </c>
    </row>
    <row r="188">
      <c r="A188" s="15" t="inlineStr">
        <is>
          <t>STONEX COMERCIO E EXPORTACAO DE COMMODITIES LTDA.</t>
        </is>
      </c>
      <c r="B188" s="16" t="n">
        <v>1343951.77</v>
      </c>
      <c r="C188" s="17" t="inlineStr"/>
      <c r="D188" s="18" t="inlineStr">
        <is>
          <t>NEW</t>
        </is>
      </c>
      <c r="E188" s="19" t="inlineStr"/>
      <c r="F188" s="18" t="inlineStr"/>
      <c r="G188" s="19" t="inlineStr"/>
      <c r="H188" s="18" t="inlineStr"/>
      <c r="I188" s="20" t="inlineStr">
        <is>
          <t>ARIEL GAGLIARDONE COELHO</t>
        </is>
      </c>
      <c r="J188" s="20" t="inlineStr">
        <is>
          <t>Administrador</t>
        </is>
      </c>
      <c r="K188" s="20" t="inlineStr">
        <is>
          <t>(11) 3509-5404</t>
        </is>
      </c>
      <c r="L188" s="20" t="inlineStr"/>
      <c r="M188" s="20" t="inlineStr"/>
      <c r="N188" s="20" t="inlineStr"/>
      <c r="O188" s="20" t="inlineStr"/>
      <c r="P188" s="20" t="inlineStr">
        <is>
          <t>FERNANDO GHIDETTI MAZZANTI</t>
        </is>
      </c>
      <c r="Q188" s="20" t="inlineStr">
        <is>
          <t>Administrador</t>
        </is>
      </c>
      <c r="R188" s="20" t="inlineStr">
        <is>
          <t>(11) 3509-5404</t>
        </is>
      </c>
      <c r="S188" s="20" t="inlineStr"/>
      <c r="T188" s="21" t="n">
        <v>1343951.77</v>
      </c>
      <c r="U188" s="22" t="inlineStr">
        <is>
          <t>B</t>
        </is>
      </c>
      <c r="V188" s="23">
        <f>IFERROR(VLOOKUP(U188,Assumptions!$A$7:$D$11,2,FALSE),0)</f>
        <v/>
      </c>
      <c r="W188" s="24">
        <f>MAX(0.5,IFERROR(VLOOKUP(U188,Assumptions!$A$7:$D$11,3,FALSE),3)+IFERROR(VLOOKUP(U188,Assumptions!$A$7:$D$11,4,FALSE),8)/2-IF(AN188="",0,YEAR(TODAY())-AN188))</f>
        <v/>
      </c>
      <c r="X188" s="21">
        <f>T188*V188/(1+Assumptions!$B$3)^W188</f>
        <v/>
      </c>
      <c r="Y188" s="25">
        <f>IF(T188=0,"",ROUND(X188/T188*100,1))</f>
        <v/>
      </c>
      <c r="Z188" s="26">
        <f>X188*Assumptions!$B$4</f>
        <v/>
      </c>
      <c r="AA188" s="25">
        <f>IF(T188=0,"",ROUND(Z188/T188*100,1))</f>
        <v/>
      </c>
      <c r="AB188" s="26">
        <f>X188-Z188</f>
        <v/>
      </c>
      <c r="AC188" s="25">
        <f>IF(T188=0,"",ROUND((X188-Z188)/T188*100,1))</f>
        <v/>
      </c>
      <c r="AD188" s="27" t="inlineStr">
        <is>
          <t>ESTIMATED</t>
        </is>
      </c>
      <c r="AE188" s="28" t="inlineStr">
        <is>
          <t>https://scalzilliaj.com.br/sgc/download.php?file=files/processo_documento/processo_documento11421222052026_1_.pdf&amp;nome=08. Lista de credores do edital do art. 52, §1º da LREF</t>
        </is>
      </c>
      <c r="AF188" s="27" t="inlineStr">
        <is>
          <t>p3 r11</t>
        </is>
      </c>
      <c r="AG188" s="27" t="inlineStr">
        <is>
          <t>p3: R$ 1.343.951,77</t>
        </is>
      </c>
      <c r="AH188" s="27" t="inlineStr">
        <is>
          <t>UNKNOWN</t>
        </is>
      </c>
      <c r="AI188" s="27" t="inlineStr"/>
      <c r="AJ188" s="27" t="inlineStr">
        <is>
          <t>OK_NO_TOTALS</t>
        </is>
      </c>
      <c r="AK188" s="29" t="inlineStr">
        <is>
          <t>5011369-81.2026.8.09.0093</t>
        </is>
      </c>
      <c r="AL188" s="29" t="inlineStr">
        <is>
          <t>TJGO</t>
        </is>
      </c>
      <c r="AM188" s="29" t="inlineStr">
        <is>
          <t>ACTIVE</t>
        </is>
      </c>
      <c r="AN188" s="29" t="n">
        <v>2026</v>
      </c>
      <c r="AO188" s="29" t="inlineStr">
        <is>
          <t>live case, no plan document yet</t>
        </is>
      </c>
      <c r="AP188" s="29" t="inlineStr">
        <is>
          <t>CAMPINAS</t>
        </is>
      </c>
      <c r="AQ188" s="29" t="inlineStr">
        <is>
          <t>SP</t>
        </is>
      </c>
      <c r="AR188" s="29" t="inlineStr">
        <is>
          <t>Comércio atacadista de algodão</t>
        </is>
      </c>
      <c r="AS188" s="29" t="inlineStr">
        <is>
          <t>DEMAIS</t>
        </is>
      </c>
      <c r="AT188" s="29" t="inlineStr">
        <is>
          <t>MID-MARKET</t>
        </is>
      </c>
      <c r="AU188" s="29" t="inlineStr">
        <is>
          <t>19684286</t>
        </is>
      </c>
      <c r="AV188" s="29" t="n">
        <v>1</v>
      </c>
      <c r="AW188" s="29" t="inlineStr">
        <is>
          <t>ROWS:p3r11 UNRECONCILED_SOURCE</t>
        </is>
      </c>
    </row>
    <row r="189">
      <c r="A189" s="15" t="inlineStr">
        <is>
          <t>STRATURA ASFALTOS LTDA.</t>
        </is>
      </c>
      <c r="B189" s="16" t="n">
        <v>2010640.78</v>
      </c>
      <c r="C189" s="17" t="inlineStr">
        <is>
          <t>EGESA ENGENHARIA S/A (Consórcio ETDI)</t>
        </is>
      </c>
      <c r="D189" s="18" t="inlineStr">
        <is>
          <t>NEW</t>
        </is>
      </c>
      <c r="E189" s="19" t="inlineStr"/>
      <c r="F189" s="18" t="inlineStr"/>
      <c r="G189" s="19" t="inlineStr"/>
      <c r="H189" s="18" t="inlineStr"/>
      <c r="I189" s="20" t="inlineStr">
        <is>
          <t>CARLOS ALBERTO DE AQUINO PINHEIRO JUNIOR</t>
        </is>
      </c>
      <c r="J189" s="20" t="inlineStr">
        <is>
          <t>Administrador</t>
        </is>
      </c>
      <c r="K189" s="20" t="inlineStr">
        <is>
          <t>(11) 3513-4260</t>
        </is>
      </c>
      <c r="L189" s="20" t="inlineStr"/>
      <c r="M189" s="20" t="inlineStr"/>
      <c r="N189" s="20" t="inlineStr"/>
      <c r="O189" s="20" t="inlineStr"/>
      <c r="P189" s="20" t="inlineStr"/>
      <c r="Q189" s="20" t="inlineStr"/>
      <c r="R189" s="20" t="inlineStr"/>
      <c r="S189" s="20" t="inlineStr"/>
      <c r="T189" s="21" t="n">
        <v>2010640.78</v>
      </c>
      <c r="U189" s="30" t="inlineStr">
        <is>
          <t>?</t>
        </is>
      </c>
      <c r="V189" s="23">
        <f>IFERROR(VLOOKUP(U189,Assumptions!$A$7:$D$11,2,FALSE),0)</f>
        <v/>
      </c>
      <c r="W189" s="24">
        <f>MAX(0.5,IFERROR(VLOOKUP(U189,Assumptions!$A$7:$D$11,3,FALSE),3)+IFERROR(VLOOKUP(U189,Assumptions!$A$7:$D$11,4,FALSE),8)/2-IF(AN189="",0,YEAR(TODAY())-AN189))</f>
        <v/>
      </c>
      <c r="X189" s="21">
        <f>T189*V189/(1+Assumptions!$B$3)^W189</f>
        <v/>
      </c>
      <c r="Y189" s="25">
        <f>IF(T189=0,"",ROUND(X189/T189*100,1))</f>
        <v/>
      </c>
      <c r="Z189" s="26">
        <f>X189*Assumptions!$B$4</f>
        <v/>
      </c>
      <c r="AA189" s="25">
        <f>IF(T189=0,"",ROUND(Z189/T189*100,1))</f>
        <v/>
      </c>
      <c r="AB189" s="26">
        <f>X189-Z189</f>
        <v/>
      </c>
      <c r="AC189" s="25">
        <f>IF(T189=0,"",ROUND((X189-Z189)/T189*100,1))</f>
        <v/>
      </c>
      <c r="AD189" s="27" t="inlineStr">
        <is>
          <t>UNKNOWN</t>
        </is>
      </c>
      <c r="AE189" s="28" t="inlineStr">
        <is>
          <t>https://scalzilliaj.com.br/sgc/download.php?file=files/processo_documento/processo_documento09514021082025_1_.pdf&amp;nome=04 - Relação de credores das Recuperandas</t>
        </is>
      </c>
      <c r="AF189" s="27" t="inlineStr">
        <is>
          <t>p73 r13</t>
        </is>
      </c>
      <c r="AG189" s="27" t="inlineStr">
        <is>
          <t>p73: R$ 2.010.640,78</t>
        </is>
      </c>
      <c r="AH189" s="27" t="inlineStr">
        <is>
          <t>DEBTOR_LIST</t>
        </is>
      </c>
      <c r="AI189" s="27" t="inlineStr"/>
      <c r="AJ189" s="27" t="inlineStr">
        <is>
          <t>OK</t>
        </is>
      </c>
      <c r="AK189" s="29" t="inlineStr">
        <is>
          <t>(not printed)</t>
        </is>
      </c>
      <c r="AL189" s="29" t="inlineStr"/>
      <c r="AM189" s="29" t="inlineStr"/>
      <c r="AN189" s="29" t="inlineStr"/>
      <c r="AO189" s="29" t="inlineStr">
        <is>
          <t>RJ case number not identified on the document</t>
        </is>
      </c>
      <c r="AP189" s="29" t="inlineStr">
        <is>
          <t>SAO PAULO</t>
        </is>
      </c>
      <c r="AQ189" s="29" t="inlineStr">
        <is>
          <t>SP</t>
        </is>
      </c>
      <c r="AR189" s="29" t="inlineStr">
        <is>
          <t>Serviços combinados de escritório e apoio administrativo</t>
        </is>
      </c>
      <c r="AS189" s="29" t="inlineStr">
        <is>
          <t>DEMAIS</t>
        </is>
      </c>
      <c r="AT189" s="29" t="inlineStr">
        <is>
          <t>LARGE CORP</t>
        </is>
      </c>
      <c r="AU189" s="29" t="inlineStr">
        <is>
          <t>59128553</t>
        </is>
      </c>
      <c r="AV189" s="29" t="n">
        <v>1</v>
      </c>
      <c r="AW189" s="29" t="inlineStr">
        <is>
          <t>ROWS:p73r13 VALUE_COL:Valor_Atualizado CASE_NUMBER_CORRECTED</t>
        </is>
      </c>
    </row>
    <row r="190">
      <c r="A190" s="15" t="inlineStr">
        <is>
          <t>ARRUDA &amp; MELO COMERCIO E DISTRIBUICAO DE ALIMENTOS E BEBIDAS LTDA - EM RECUPERACAO JUDICIAL</t>
        </is>
      </c>
      <c r="B190" s="16" t="n">
        <v>1068252.89</v>
      </c>
      <c r="C190" s="17" t="inlineStr">
        <is>
          <t>ARRUDA &amp; MELO COMERCIO E DISTRIBUICAO DE ALIMENTOS E BEBIDAS LTDA</t>
        </is>
      </c>
      <c r="D190" s="18" t="inlineStr">
        <is>
          <t>NEW</t>
        </is>
      </c>
      <c r="E190" s="19" t="inlineStr"/>
      <c r="F190" s="18" t="inlineStr"/>
      <c r="G190" s="19" t="inlineStr"/>
      <c r="H190" s="18" t="inlineStr"/>
      <c r="I190" s="20" t="inlineStr">
        <is>
          <t>MAURO CESAR DE MELO ARRUDA</t>
        </is>
      </c>
      <c r="J190" s="20" t="inlineStr">
        <is>
          <t>Sócio-Administrador</t>
        </is>
      </c>
      <c r="K190" s="20" t="inlineStr">
        <is>
          <t>(81) 3314-2120</t>
        </is>
      </c>
      <c r="L190" s="20" t="inlineStr"/>
      <c r="M190" s="20" t="inlineStr"/>
      <c r="N190" s="20" t="inlineStr"/>
      <c r="O190" s="20" t="inlineStr"/>
      <c r="P190" s="20" t="inlineStr">
        <is>
          <t>MAURO CESAR DE MELO ARRUDA FILHO</t>
        </is>
      </c>
      <c r="Q190" s="20" t="inlineStr">
        <is>
          <t>Sócio-Administrador</t>
        </is>
      </c>
      <c r="R190" s="20" t="inlineStr">
        <is>
          <t>(81) 3314-2120</t>
        </is>
      </c>
      <c r="S190" s="20" t="inlineStr"/>
      <c r="T190" s="21" t="n">
        <v>1068252.89</v>
      </c>
      <c r="U190" s="22" t="inlineStr">
        <is>
          <t>B</t>
        </is>
      </c>
      <c r="V190" s="23">
        <f>IFERROR(VLOOKUP(U190,Assumptions!$A$7:$D$11,2,FALSE),0)</f>
        <v/>
      </c>
      <c r="W190" s="24">
        <f>MAX(0.5,IFERROR(VLOOKUP(U190,Assumptions!$A$7:$D$11,3,FALSE),3)+IFERROR(VLOOKUP(U190,Assumptions!$A$7:$D$11,4,FALSE),8)/2-IF(AN190="",0,YEAR(TODAY())-AN190))</f>
        <v/>
      </c>
      <c r="X190" s="21">
        <f>T190*V190/(1+Assumptions!$B$3)^W190</f>
        <v/>
      </c>
      <c r="Y190" s="25">
        <f>IF(T190=0,"",ROUND(X190/T190*100,1))</f>
        <v/>
      </c>
      <c r="Z190" s="26">
        <f>X190*Assumptions!$B$4</f>
        <v/>
      </c>
      <c r="AA190" s="25">
        <f>IF(T190=0,"",ROUND(Z190/T190*100,1))</f>
        <v/>
      </c>
      <c r="AB190" s="26">
        <f>X190-Z190</f>
        <v/>
      </c>
      <c r="AC190" s="25">
        <f>IF(T190=0,"",ROUND((X190-Z190)/T190*100,1))</f>
        <v/>
      </c>
      <c r="AD190" s="27" t="inlineStr">
        <is>
          <t>ESTIMATED</t>
        </is>
      </c>
      <c r="AE190" s="28" t="inlineStr">
        <is>
          <t>https://diligence.adm.br/wp-content/uploads/2025/06/Edital-1a-Lista-de-Credores.pdf</t>
        </is>
      </c>
      <c r="AF190" s="27" t="inlineStr">
        <is>
          <t>p5 r48</t>
        </is>
      </c>
      <c r="AG190" s="27" t="inlineStr">
        <is>
          <t>p5: R$ 1.068.252,89</t>
        </is>
      </c>
      <c r="AH190" s="27" t="inlineStr">
        <is>
          <t>DEBTOR_LIST</t>
        </is>
      </c>
      <c r="AI190" s="27" t="inlineStr">
        <is>
          <t>2025-06-10</t>
        </is>
      </c>
      <c r="AJ190" s="27" t="inlineStr">
        <is>
          <t>OK</t>
        </is>
      </c>
      <c r="AK190" s="29" t="inlineStr">
        <is>
          <t>0008526-45.2025.8.17.2001</t>
        </is>
      </c>
      <c r="AL190" s="29" t="inlineStr">
        <is>
          <t>TJPE</t>
        </is>
      </c>
      <c r="AM190" s="29" t="inlineStr">
        <is>
          <t>ACTIVE</t>
        </is>
      </c>
      <c r="AN190" s="29" t="n">
        <v>2025</v>
      </c>
      <c r="AO190" s="29" t="inlineStr">
        <is>
          <t>live case, no plan document yet</t>
        </is>
      </c>
      <c r="AP190" s="29" t="inlineStr">
        <is>
          <t>RECIFE</t>
        </is>
      </c>
      <c r="AQ190" s="29" t="inlineStr">
        <is>
          <t>PE</t>
        </is>
      </c>
      <c r="AR190" s="29" t="inlineStr">
        <is>
          <t>Comércio atacadista de produtos alimentícios em geral</t>
        </is>
      </c>
      <c r="AS190" s="29" t="inlineStr">
        <is>
          <t>DEMAIS</t>
        </is>
      </c>
      <c r="AT190" s="29" t="inlineStr">
        <is>
          <t>MID-MARKET</t>
        </is>
      </c>
      <c r="AU190" s="29" t="inlineStr">
        <is>
          <t>21877243</t>
        </is>
      </c>
      <c r="AV190" s="29" t="n">
        <v>1</v>
      </c>
      <c r="AW190" s="29" t="inlineStr">
        <is>
          <t>ROWS:p5r48</t>
        </is>
      </c>
    </row>
    <row r="191">
      <c r="A191" s="15" t="inlineStr">
        <is>
          <t>CONFECCOES TENDENZA LTDA</t>
        </is>
      </c>
      <c r="B191" s="16" t="n">
        <v>545994.16</v>
      </c>
      <c r="C191" s="17" t="inlineStr">
        <is>
          <t>R W CONSTRUCOES LTDA</t>
        </is>
      </c>
      <c r="D191" s="18" t="inlineStr">
        <is>
          <t>NEW</t>
        </is>
      </c>
      <c r="E191" s="19" t="inlineStr"/>
      <c r="F191" s="18" t="inlineStr"/>
      <c r="G191" s="19" t="inlineStr"/>
      <c r="H191" s="18" t="inlineStr"/>
      <c r="I191" s="20" t="inlineStr">
        <is>
          <t>JULIANO ALVES FRANCO DE SOUZA</t>
        </is>
      </c>
      <c r="J191" s="20" t="inlineStr">
        <is>
          <t>Sócio-Administrador</t>
        </is>
      </c>
      <c r="K191" s="20" t="inlineStr">
        <is>
          <t>(19) 3898-9266</t>
        </is>
      </c>
      <c r="L191" s="20" t="inlineStr"/>
      <c r="M191" s="20" t="inlineStr"/>
      <c r="N191" s="20" t="inlineStr"/>
      <c r="O191" s="20" t="inlineStr"/>
      <c r="P191" s="20" t="inlineStr"/>
      <c r="Q191" s="20" t="inlineStr"/>
      <c r="R191" s="20" t="inlineStr"/>
      <c r="S191" s="20" t="inlineStr"/>
      <c r="T191" s="21" t="n">
        <v>545994.16</v>
      </c>
      <c r="U191" s="22" t="inlineStr">
        <is>
          <t>B</t>
        </is>
      </c>
      <c r="V191" s="23">
        <f>IFERROR(VLOOKUP(U191,Assumptions!$A$7:$D$11,2,FALSE),0)</f>
        <v/>
      </c>
      <c r="W191" s="24">
        <f>MAX(0.5,IFERROR(VLOOKUP(U191,Assumptions!$A$7:$D$11,3,FALSE),3)+IFERROR(VLOOKUP(U191,Assumptions!$A$7:$D$11,4,FALSE),8)/2-IF(AN191="",0,YEAR(TODAY())-AN191))</f>
        <v/>
      </c>
      <c r="X191" s="21">
        <f>T191*V191/(1+Assumptions!$B$3)^W191</f>
        <v/>
      </c>
      <c r="Y191" s="25">
        <f>IF(T191=0,"",ROUND(X191/T191*100,1))</f>
        <v/>
      </c>
      <c r="Z191" s="26">
        <f>X191*Assumptions!$B$4</f>
        <v/>
      </c>
      <c r="AA191" s="25">
        <f>IF(T191=0,"",ROUND(Z191/T191*100,1))</f>
        <v/>
      </c>
      <c r="AB191" s="26">
        <f>X191-Z191</f>
        <v/>
      </c>
      <c r="AC191" s="25">
        <f>IF(T191=0,"",ROUND((X191-Z191)/T191*100,1))</f>
        <v/>
      </c>
      <c r="AD191" s="27" t="inlineStr">
        <is>
          <t>ESTIMATED</t>
        </is>
      </c>
      <c r="AE191" s="28" t="inlineStr">
        <is>
          <t>https://lrflideres.com.br/wp-content/plugins/download-attachments/includes/download.php?id=4023</t>
        </is>
      </c>
      <c r="AF191" s="27" t="inlineStr">
        <is>
          <t>p4 r65; p7 r88; p9 r66</t>
        </is>
      </c>
      <c r="AG191" s="27" t="inlineStr">
        <is>
          <t>p4: R$ 28.110,21; p7: R$ 435.997,21; p9: R$ 81.886,74</t>
        </is>
      </c>
      <c r="AH191" s="27" t="inlineStr">
        <is>
          <t>DEBTOR_LIST</t>
        </is>
      </c>
      <c r="AI191" s="27" t="inlineStr"/>
      <c r="AJ191" s="27" t="inlineStr">
        <is>
          <t>QUARANTINED</t>
        </is>
      </c>
      <c r="AK191" s="29" t="inlineStr">
        <is>
          <t>0002484-82.2022.8.17.2001</t>
        </is>
      </c>
      <c r="AL191" s="29" t="inlineStr">
        <is>
          <t>TJPE</t>
        </is>
      </c>
      <c r="AM191" s="29" t="inlineStr">
        <is>
          <t>ACTIVE</t>
        </is>
      </c>
      <c r="AN191" s="29" t="n">
        <v>2022</v>
      </c>
      <c r="AO191" s="29" t="inlineStr">
        <is>
          <t>live case, no plan document yet</t>
        </is>
      </c>
      <c r="AP191" s="29" t="inlineStr">
        <is>
          <t>LINDOIA</t>
        </is>
      </c>
      <c r="AQ191" s="29" t="inlineStr">
        <is>
          <t>SP</t>
        </is>
      </c>
      <c r="AR191" s="29" t="inlineStr">
        <is>
          <t>Confecção de peças de vestuário, exceto roupas íntimas e as confeccionadas sob medida</t>
        </is>
      </c>
      <c r="AS191" s="29" t="inlineStr">
        <is>
          <t>DEMAIS</t>
        </is>
      </c>
      <c r="AT191" s="29" t="inlineStr">
        <is>
          <t>MID-MARKET</t>
        </is>
      </c>
      <c r="AU191" s="29" t="inlineStr">
        <is>
          <t>08953848</t>
        </is>
      </c>
      <c r="AV191" s="29" t="n">
        <v>3</v>
      </c>
      <c r="AW191" s="29" t="inlineStr">
        <is>
          <t>PARTIAL_DOC_CLASS_III_RECONCILED ROWS:p4r65,p7r88,p9r66</t>
        </is>
      </c>
    </row>
    <row r="192">
      <c r="A192" s="15" t="inlineStr">
        <is>
          <t>MMB SPORTS PARTICIPACOES LTDA</t>
        </is>
      </c>
      <c r="B192" s="16" t="n">
        <v>680417.28</v>
      </c>
      <c r="C192" s="17" t="inlineStr">
        <is>
          <t>CLUBE NAUTICO CAPIBARIBE - EM RECUPERACAO JUDICIAL</t>
        </is>
      </c>
      <c r="D192" s="18" t="inlineStr">
        <is>
          <t>NEW</t>
        </is>
      </c>
      <c r="E192" s="19" t="inlineStr"/>
      <c r="F192" s="18" t="inlineStr"/>
      <c r="G192" s="19" t="inlineStr"/>
      <c r="H192" s="18" t="inlineStr"/>
      <c r="I192" s="20" t="inlineStr">
        <is>
          <t>MARCIO CARVALHO BITTENCOURT</t>
        </is>
      </c>
      <c r="J192" s="20" t="inlineStr">
        <is>
          <t>Sócio-Administrador</t>
        </is>
      </c>
      <c r="K192" s="20" t="inlineStr">
        <is>
          <t>(21) 9711-8264</t>
        </is>
      </c>
      <c r="L192" s="20" t="inlineStr"/>
      <c r="M192" s="20" t="inlineStr"/>
      <c r="N192" s="20" t="inlineStr"/>
      <c r="O192" s="20" t="inlineStr"/>
      <c r="P192" s="20" t="inlineStr"/>
      <c r="Q192" s="20" t="inlineStr"/>
      <c r="R192" s="20" t="inlineStr"/>
      <c r="S192" s="20" t="inlineStr"/>
      <c r="T192" s="21" t="n">
        <v>680417.28</v>
      </c>
      <c r="U192" s="22" t="inlineStr">
        <is>
          <t>B</t>
        </is>
      </c>
      <c r="V192" s="23">
        <f>IFERROR(VLOOKUP(U192,Assumptions!$A$7:$D$11,2,FALSE),0)</f>
        <v/>
      </c>
      <c r="W192" s="24">
        <f>MAX(0.5,IFERROR(VLOOKUP(U192,Assumptions!$A$7:$D$11,3,FALSE),3)+IFERROR(VLOOKUP(U192,Assumptions!$A$7:$D$11,4,FALSE),8)/2-IF(AN192="",0,YEAR(TODAY())-AN192))</f>
        <v/>
      </c>
      <c r="X192" s="21">
        <f>T192*V192/(1+Assumptions!$B$3)^W192</f>
        <v/>
      </c>
      <c r="Y192" s="25">
        <f>IF(T192=0,"",ROUND(X192/T192*100,1))</f>
        <v/>
      </c>
      <c r="Z192" s="26">
        <f>X192*Assumptions!$B$4</f>
        <v/>
      </c>
      <c r="AA192" s="25">
        <f>IF(T192=0,"",ROUND(Z192/T192*100,1))</f>
        <v/>
      </c>
      <c r="AB192" s="26">
        <f>X192-Z192</f>
        <v/>
      </c>
      <c r="AC192" s="25">
        <f>IF(T192=0,"",ROUND((X192-Z192)/T192*100,1))</f>
        <v/>
      </c>
      <c r="AD192" s="27" t="inlineStr">
        <is>
          <t>ESTIMATED</t>
        </is>
      </c>
      <c r="AE192" s="28" t="inlineStr">
        <is>
          <t>https://lrflideres.com.br/wp-content/plugins/download-attachments/includes/download.php?id=5589</t>
        </is>
      </c>
      <c r="AF192" s="27" t="inlineStr">
        <is>
          <t>p12 r34</t>
        </is>
      </c>
      <c r="AG192" s="27" t="inlineStr">
        <is>
          <t>p12: R$ 680.417,28</t>
        </is>
      </c>
      <c r="AH192" s="27" t="inlineStr">
        <is>
          <t>AJ_LIST</t>
        </is>
      </c>
      <c r="AI192" s="27" t="inlineStr">
        <is>
          <t>2023-11-27</t>
        </is>
      </c>
      <c r="AJ192" s="27" t="inlineStr">
        <is>
          <t>QUARANTINED</t>
        </is>
      </c>
      <c r="AK192" s="29" t="inlineStr">
        <is>
          <t>0011283-80.2023.8.17.2001</t>
        </is>
      </c>
      <c r="AL192" s="29" t="inlineStr">
        <is>
          <t>TJPE</t>
        </is>
      </c>
      <c r="AM192" s="29" t="inlineStr">
        <is>
          <t>ACTIVE</t>
        </is>
      </c>
      <c r="AN192" s="29" t="n">
        <v>2023</v>
      </c>
      <c r="AO192" s="29" t="inlineStr">
        <is>
          <t>live case, no plan document yet</t>
        </is>
      </c>
      <c r="AP192" s="29" t="inlineStr">
        <is>
          <t>RIO DE JANEIRO</t>
        </is>
      </c>
      <c r="AQ192" s="29" t="inlineStr">
        <is>
          <t>RJ</t>
        </is>
      </c>
      <c r="AR192" s="29" t="inlineStr">
        <is>
          <t>Outras atividades de publicidade não especificadas anteriormente</t>
        </is>
      </c>
      <c r="AS192" s="29" t="inlineStr">
        <is>
          <t>MICRO EMPRESA</t>
        </is>
      </c>
      <c r="AT192" s="29" t="inlineStr">
        <is>
          <t>SMALL</t>
        </is>
      </c>
      <c r="AU192" s="29" t="inlineStr">
        <is>
          <t>10394384</t>
        </is>
      </c>
      <c r="AV192" s="29" t="n">
        <v>1</v>
      </c>
      <c r="AW192" s="29" t="inlineStr">
        <is>
          <t>PARTIAL_DOC_CLASS_III_RECONCILED ROWS:p12r34</t>
        </is>
      </c>
    </row>
    <row r="193">
      <c r="A193" s="15" t="inlineStr">
        <is>
          <t>CIA DO JEANS INDUSTRIA, COMERCIO E IMPORTACAO S/A</t>
        </is>
      </c>
      <c r="B193" s="16" t="n">
        <v>541970</v>
      </c>
      <c r="C193" s="17" t="inlineStr">
        <is>
          <t>R W CONSTRUCOES LTDA</t>
        </is>
      </c>
      <c r="D193" s="18" t="inlineStr">
        <is>
          <t>NEW</t>
        </is>
      </c>
      <c r="E193" s="19" t="inlineStr"/>
      <c r="F193" s="18" t="inlineStr"/>
      <c r="G193" s="19" t="inlineStr"/>
      <c r="H193" s="18" t="inlineStr"/>
      <c r="I193" s="20" t="inlineStr">
        <is>
          <t>FERNANDO ABRAS</t>
        </is>
      </c>
      <c r="J193" s="20" t="inlineStr">
        <is>
          <t>Presidente</t>
        </is>
      </c>
      <c r="K193" s="20" t="inlineStr">
        <is>
          <t>(31) 3412-5001</t>
        </is>
      </c>
      <c r="L193" s="20" t="inlineStr"/>
      <c r="M193" s="20" t="inlineStr"/>
      <c r="N193" s="20" t="inlineStr"/>
      <c r="O193" s="20" t="inlineStr"/>
      <c r="P193" s="20" t="inlineStr">
        <is>
          <t>ELICASSIO MENDES RODRIGUES</t>
        </is>
      </c>
      <c r="Q193" s="20" t="inlineStr">
        <is>
          <t>Diretor</t>
        </is>
      </c>
      <c r="R193" s="20" t="inlineStr">
        <is>
          <t>(31) 3412-5001</t>
        </is>
      </c>
      <c r="S193" s="20" t="inlineStr"/>
      <c r="T193" s="21" t="n">
        <v>541970</v>
      </c>
      <c r="U193" s="22" t="inlineStr">
        <is>
          <t>B</t>
        </is>
      </c>
      <c r="V193" s="23">
        <f>IFERROR(VLOOKUP(U193,Assumptions!$A$7:$D$11,2,FALSE),0)</f>
        <v/>
      </c>
      <c r="W193" s="24">
        <f>MAX(0.5,IFERROR(VLOOKUP(U193,Assumptions!$A$7:$D$11,3,FALSE),3)+IFERROR(VLOOKUP(U193,Assumptions!$A$7:$D$11,4,FALSE),8)/2-IF(AN193="",0,YEAR(TODAY())-AN193))</f>
        <v/>
      </c>
      <c r="X193" s="21">
        <f>T193*V193/(1+Assumptions!$B$3)^W193</f>
        <v/>
      </c>
      <c r="Y193" s="25">
        <f>IF(T193=0,"",ROUND(X193/T193*100,1))</f>
        <v/>
      </c>
      <c r="Z193" s="26">
        <f>X193*Assumptions!$B$4</f>
        <v/>
      </c>
      <c r="AA193" s="25">
        <f>IF(T193=0,"",ROUND(Z193/T193*100,1))</f>
        <v/>
      </c>
      <c r="AB193" s="26">
        <f>X193-Z193</f>
        <v/>
      </c>
      <c r="AC193" s="25">
        <f>IF(T193=0,"",ROUND((X193-Z193)/T193*100,1))</f>
        <v/>
      </c>
      <c r="AD193" s="27" t="inlineStr">
        <is>
          <t>ESTIMATED</t>
        </is>
      </c>
      <c r="AE193" s="28" t="inlineStr">
        <is>
          <t>https://lrflideres.com.br/wp-content/plugins/download-attachments/includes/download.php?id=4023</t>
        </is>
      </c>
      <c r="AF193" s="27" t="inlineStr">
        <is>
          <t>p4 r63</t>
        </is>
      </c>
      <c r="AG193" s="27" t="inlineStr">
        <is>
          <t>p4: R$ 541.970,00</t>
        </is>
      </c>
      <c r="AH193" s="27" t="inlineStr">
        <is>
          <t>DEBTOR_LIST</t>
        </is>
      </c>
      <c r="AI193" s="27" t="inlineStr"/>
      <c r="AJ193" s="27" t="inlineStr">
        <is>
          <t>QUARANTINED</t>
        </is>
      </c>
      <c r="AK193" s="29" t="inlineStr">
        <is>
          <t>0002484-82.2022.8.17.2001</t>
        </is>
      </c>
      <c r="AL193" s="29" t="inlineStr">
        <is>
          <t>TJPE</t>
        </is>
      </c>
      <c r="AM193" s="29" t="inlineStr">
        <is>
          <t>ACTIVE</t>
        </is>
      </c>
      <c r="AN193" s="29" t="n">
        <v>2022</v>
      </c>
      <c r="AO193" s="29" t="inlineStr">
        <is>
          <t>live case, no plan document yet</t>
        </is>
      </c>
      <c r="AP193" s="29" t="inlineStr">
        <is>
          <t>COLATINA</t>
        </is>
      </c>
      <c r="AQ193" s="29" t="inlineStr">
        <is>
          <t>ES</t>
        </is>
      </c>
      <c r="AR193" s="29" t="inlineStr">
        <is>
          <t>Confecção de peças de vestuário, exceto roupas íntimas e as confeccionadas sob medida</t>
        </is>
      </c>
      <c r="AS193" s="29" t="inlineStr">
        <is>
          <t>DEMAIS</t>
        </is>
      </c>
      <c r="AT193" s="29" t="inlineStr">
        <is>
          <t>MID-MARKET</t>
        </is>
      </c>
      <c r="AU193" s="29" t="inlineStr">
        <is>
          <t>12927088</t>
        </is>
      </c>
      <c r="AV193" s="29" t="n">
        <v>1</v>
      </c>
      <c r="AW193" s="29" t="inlineStr">
        <is>
          <t>PARTIAL_DOC_CLASS_III_RECONCILED ROWS:p4r63</t>
        </is>
      </c>
    </row>
    <row r="194">
      <c r="A194" s="15" t="inlineStr">
        <is>
          <t>PROTEGO BRASIL VALVULAS E CORTA CHAMAS LTDA</t>
        </is>
      </c>
      <c r="B194" s="16" t="n">
        <v>1955788.12</v>
      </c>
      <c r="C194" s="17" t="inlineStr">
        <is>
          <t>EGESA ENGENHARIA S/A (Consórcio ETDI)</t>
        </is>
      </c>
      <c r="D194" s="18" t="inlineStr">
        <is>
          <t>NEW</t>
        </is>
      </c>
      <c r="E194" s="19" t="inlineStr"/>
      <c r="F194" s="18" t="inlineStr"/>
      <c r="G194" s="19" t="inlineStr"/>
      <c r="H194" s="18" t="inlineStr"/>
      <c r="I194" s="20" t="inlineStr">
        <is>
          <t>Francisco Siestrup</t>
        </is>
      </c>
      <c r="J194" s="20" t="inlineStr">
        <is>
          <t>CEO Protego Brasil</t>
        </is>
      </c>
      <c r="K194" s="20" t="inlineStr">
        <is>
          <t>(21) 2112-5700</t>
        </is>
      </c>
      <c r="L194" s="20" t="inlineStr">
        <is>
          <t>(21) 2112-5717</t>
        </is>
      </c>
      <c r="M194" s="20" t="inlineStr"/>
      <c r="N194" s="20" t="inlineStr">
        <is>
          <t>francisco.siestrup@protego.com</t>
        </is>
      </c>
      <c r="O194" s="20" t="inlineStr">
        <is>
          <t>raphaela.campos@protego.com</t>
        </is>
      </c>
      <c r="P194" s="20" t="inlineStr">
        <is>
          <t>Raphaela Campos</t>
        </is>
      </c>
      <c r="Q194" s="20" t="inlineStr">
        <is>
          <t>Financial Assistant</t>
        </is>
      </c>
      <c r="R194" s="20" t="inlineStr"/>
      <c r="S194" s="20" t="inlineStr">
        <is>
          <t>raphaela.campos@protego.com</t>
        </is>
      </c>
      <c r="T194" s="21" t="n">
        <v>1955788.12</v>
      </c>
      <c r="U194" s="30" t="inlineStr">
        <is>
          <t>?</t>
        </is>
      </c>
      <c r="V194" s="23">
        <f>IFERROR(VLOOKUP(U194,Assumptions!$A$7:$D$11,2,FALSE),0)</f>
        <v/>
      </c>
      <c r="W194" s="24">
        <f>MAX(0.5,IFERROR(VLOOKUP(U194,Assumptions!$A$7:$D$11,3,FALSE),3)+IFERROR(VLOOKUP(U194,Assumptions!$A$7:$D$11,4,FALSE),8)/2-IF(AN194="",0,YEAR(TODAY())-AN194))</f>
        <v/>
      </c>
      <c r="X194" s="21">
        <f>T194*V194/(1+Assumptions!$B$3)^W194</f>
        <v/>
      </c>
      <c r="Y194" s="25">
        <f>IF(T194=0,"",ROUND(X194/T194*100,1))</f>
        <v/>
      </c>
      <c r="Z194" s="26">
        <f>X194*Assumptions!$B$4</f>
        <v/>
      </c>
      <c r="AA194" s="25">
        <f>IF(T194=0,"",ROUND(Z194/T194*100,1))</f>
        <v/>
      </c>
      <c r="AB194" s="26">
        <f>X194-Z194</f>
        <v/>
      </c>
      <c r="AC194" s="25">
        <f>IF(T194=0,"",ROUND((X194-Z194)/T194*100,1))</f>
        <v/>
      </c>
      <c r="AD194" s="27" t="inlineStr">
        <is>
          <t>UNKNOWN</t>
        </is>
      </c>
      <c r="AE194" s="28" t="inlineStr">
        <is>
          <t>https://scalzilliaj.com.br/sgc/download.php?file=files/processo_documento/processo_documento09514021082025_1_.pdf&amp;nome=04 - Relação de credores das Recuperandas</t>
        </is>
      </c>
      <c r="AF194" s="27" t="inlineStr">
        <is>
          <t>p71 r18</t>
        </is>
      </c>
      <c r="AG194" s="27" t="inlineStr">
        <is>
          <t>p71: R$ 1.955.788,12</t>
        </is>
      </c>
      <c r="AH194" s="27" t="inlineStr">
        <is>
          <t>DEBTOR_LIST</t>
        </is>
      </c>
      <c r="AI194" s="27" t="inlineStr"/>
      <c r="AJ194" s="27" t="inlineStr">
        <is>
          <t>OK</t>
        </is>
      </c>
      <c r="AK194" s="29" t="inlineStr">
        <is>
          <t>(not printed)</t>
        </is>
      </c>
      <c r="AL194" s="29" t="inlineStr"/>
      <c r="AM194" s="29" t="inlineStr"/>
      <c r="AN194" s="29" t="inlineStr"/>
      <c r="AO194" s="29" t="inlineStr">
        <is>
          <t>RJ case number not identified on the document</t>
        </is>
      </c>
      <c r="AP194" s="29" t="inlineStr">
        <is>
          <t>RIO DE JANEIRO</t>
        </is>
      </c>
      <c r="AQ194" s="29" t="inlineStr">
        <is>
          <t>RJ</t>
        </is>
      </c>
      <c r="AR194" s="29" t="inlineStr">
        <is>
          <t>Fabricação de válvulas, registros e dispositivos semelhantes, peças e acessórios</t>
        </is>
      </c>
      <c r="AS194" s="29" t="inlineStr">
        <is>
          <t>DEMAIS</t>
        </is>
      </c>
      <c r="AT194" s="29" t="inlineStr">
        <is>
          <t>MID-MARKET</t>
        </is>
      </c>
      <c r="AU194" s="29" t="inlineStr">
        <is>
          <t>14325185</t>
        </is>
      </c>
      <c r="AV194" s="29" t="n">
        <v>1</v>
      </c>
      <c r="AW194" s="29" t="inlineStr">
        <is>
          <t>ROWS:p71r18 VALUE_COL:Valor_Atualizado CASE_NUMBER_CORRECTED</t>
        </is>
      </c>
    </row>
    <row r="195">
      <c r="A195" s="15" t="inlineStr">
        <is>
          <t>MAXINUTRI SUPLEMENTOS NUTRICIONAIS LTDA</t>
        </is>
      </c>
      <c r="B195" s="16" t="n">
        <v>664358.4399999999</v>
      </c>
      <c r="C195" s="17" t="inlineStr">
        <is>
          <t>VEV COMERCIO DE MEDICAMENTOS LTDA EM RECUPERACAO JUDICIAL</t>
        </is>
      </c>
      <c r="D195" s="18" t="inlineStr">
        <is>
          <t>NEW</t>
        </is>
      </c>
      <c r="E195" s="19" t="inlineStr"/>
      <c r="F195" s="18" t="inlineStr"/>
      <c r="G195" s="19" t="inlineStr"/>
      <c r="H195" s="18" t="inlineStr"/>
      <c r="I195" s="20" t="inlineStr">
        <is>
          <t>FERNANDO FERDINANDI</t>
        </is>
      </c>
      <c r="J195" s="20" t="inlineStr">
        <is>
          <t>Administrador</t>
        </is>
      </c>
      <c r="K195" s="20" t="inlineStr">
        <is>
          <t>(43) 3274-5262</t>
        </is>
      </c>
      <c r="L195" s="20" t="inlineStr"/>
      <c r="M195" s="20" t="inlineStr"/>
      <c r="N195" s="20" t="inlineStr"/>
      <c r="O195" s="20" t="inlineStr"/>
      <c r="P195" s="20" t="inlineStr"/>
      <c r="Q195" s="20" t="inlineStr"/>
      <c r="R195" s="20" t="inlineStr"/>
      <c r="S195" s="20" t="inlineStr"/>
      <c r="T195" s="21" t="n">
        <v>664358.4399999999</v>
      </c>
      <c r="U195" s="22" t="inlineStr">
        <is>
          <t>B</t>
        </is>
      </c>
      <c r="V195" s="23">
        <f>IFERROR(VLOOKUP(U195,Assumptions!$A$7:$D$11,2,FALSE),0)</f>
        <v/>
      </c>
      <c r="W195" s="24">
        <f>MAX(0.5,IFERROR(VLOOKUP(U195,Assumptions!$A$7:$D$11,3,FALSE),3)+IFERROR(VLOOKUP(U195,Assumptions!$A$7:$D$11,4,FALSE),8)/2-IF(AN195="",0,YEAR(TODAY())-AN195))</f>
        <v/>
      </c>
      <c r="X195" s="21">
        <f>T195*V195/(1+Assumptions!$B$3)^W195</f>
        <v/>
      </c>
      <c r="Y195" s="25">
        <f>IF(T195=0,"",ROUND(X195/T195*100,1))</f>
        <v/>
      </c>
      <c r="Z195" s="26">
        <f>X195*Assumptions!$B$4</f>
        <v/>
      </c>
      <c r="AA195" s="25">
        <f>IF(T195=0,"",ROUND(Z195/T195*100,1))</f>
        <v/>
      </c>
      <c r="AB195" s="26">
        <f>X195-Z195</f>
        <v/>
      </c>
      <c r="AC195" s="25">
        <f>IF(T195=0,"",ROUND((X195-Z195)/T195*100,1))</f>
        <v/>
      </c>
      <c r="AD195" s="27" t="inlineStr">
        <is>
          <t>ESTIMATED</t>
        </is>
      </c>
      <c r="AE195" s="28" t="inlineStr">
        <is>
          <t>https://marquesadmjudicial.com.br/sgc/download.php?file=files/processo_documento/processo_documento15293208032024_1_.pdf&amp;nome=Relação Nominal de Credores da AJ-Sintética</t>
        </is>
      </c>
      <c r="AF195" s="27" t="inlineStr">
        <is>
          <t>p28 r12</t>
        </is>
      </c>
      <c r="AG195" s="27" t="inlineStr">
        <is>
          <t>p28: R$ 664.358,44</t>
        </is>
      </c>
      <c r="AH195" s="27" t="inlineStr">
        <is>
          <t>AJ_LIST</t>
        </is>
      </c>
      <c r="AI195" s="27" t="inlineStr">
        <is>
          <t>2023-03-02</t>
        </is>
      </c>
      <c r="AJ195" s="27" t="inlineStr">
        <is>
          <t>QUARANTINED</t>
        </is>
      </c>
      <c r="AK195" s="29" t="inlineStr">
        <is>
          <t>0005010-98.2023.8.16.0001</t>
        </is>
      </c>
      <c r="AL195" s="29" t="inlineStr">
        <is>
          <t>TJPR</t>
        </is>
      </c>
      <c r="AM195" s="29" t="inlineStr">
        <is>
          <t>ACTIVE</t>
        </is>
      </c>
      <c r="AN195" s="29" t="n">
        <v>2023</v>
      </c>
      <c r="AO195" s="29" t="inlineStr">
        <is>
          <t>live case, no plan document yet</t>
        </is>
      </c>
      <c r="AP195" s="29" t="inlineStr">
        <is>
          <t>ARAPONGAS</t>
        </is>
      </c>
      <c r="AQ195" s="29" t="inlineStr">
        <is>
          <t>PR</t>
        </is>
      </c>
      <c r="AR195" s="29" t="inlineStr">
        <is>
          <t>Fabricação de outros produtos alimentícios não especificados anteriormente</t>
        </is>
      </c>
      <c r="AS195" s="29" t="inlineStr">
        <is>
          <t>DEMAIS</t>
        </is>
      </c>
      <c r="AT195" s="29" t="inlineStr">
        <is>
          <t>MID-MARKET</t>
        </is>
      </c>
      <c r="AU195" s="29" t="inlineStr">
        <is>
          <t>39452556</t>
        </is>
      </c>
      <c r="AV195" s="29" t="n">
        <v>1</v>
      </c>
      <c r="AW195" s="29" t="inlineStr">
        <is>
          <t>PARTIAL_DOC_CLASS_III_RECONCILED ROWS:p28r12</t>
        </is>
      </c>
    </row>
    <row r="196">
      <c r="A196" s="15" t="inlineStr">
        <is>
          <t>SEM PARAR INSTITUICAO DE PAGAMENTO LTDA</t>
        </is>
      </c>
      <c r="B196" s="16" t="n">
        <v>825597.87</v>
      </c>
      <c r="C196" s="17" t="inlineStr">
        <is>
          <t>D'AGOSTINI &amp; DIDOMENICO LTDA EM RECUPERACAO JUDICIAL</t>
        </is>
      </c>
      <c r="D196" s="18" t="inlineStr">
        <is>
          <t>NEW</t>
        </is>
      </c>
      <c r="E196" s="19" t="inlineStr"/>
      <c r="F196" s="18" t="inlineStr"/>
      <c r="G196" s="19" t="inlineStr"/>
      <c r="H196" s="18" t="inlineStr"/>
      <c r="I196" s="20" t="inlineStr">
        <is>
          <t>Monik Lima</t>
        </is>
      </c>
      <c r="J196" s="20" t="inlineStr">
        <is>
          <t>Coordenador de Tesouraria</t>
        </is>
      </c>
      <c r="K196" s="20" t="inlineStr">
        <is>
          <t>(11) 4573-2300</t>
        </is>
      </c>
      <c r="L196" s="20" t="inlineStr"/>
      <c r="M196" s="20" t="inlineStr"/>
      <c r="N196" s="20" t="inlineStr">
        <is>
          <t>monik.lima@semparar.com.br</t>
        </is>
      </c>
      <c r="O196" s="20" t="inlineStr"/>
      <c r="P196" s="20" t="inlineStr">
        <is>
          <t>Mauro Leopoldina</t>
        </is>
      </c>
      <c r="Q196" s="20" t="inlineStr">
        <is>
          <t>Analista de Crédito e Cobrança na Corpay</t>
        </is>
      </c>
      <c r="R196" s="20" t="inlineStr"/>
      <c r="S196" s="20" t="inlineStr"/>
      <c r="T196" s="21" t="n">
        <v>825597.87</v>
      </c>
      <c r="U196" s="22" t="inlineStr">
        <is>
          <t>B</t>
        </is>
      </c>
      <c r="V196" s="23">
        <f>IFERROR(VLOOKUP(U196,Assumptions!$A$7:$D$11,2,FALSE),0)</f>
        <v/>
      </c>
      <c r="W196" s="24">
        <f>MAX(0.5,IFERROR(VLOOKUP(U196,Assumptions!$A$7:$D$11,3,FALSE),3)+IFERROR(VLOOKUP(U196,Assumptions!$A$7:$D$11,4,FALSE),8)/2-IF(AN196="",0,YEAR(TODAY())-AN196))</f>
        <v/>
      </c>
      <c r="X196" s="21">
        <f>T196*V196/(1+Assumptions!$B$3)^W196</f>
        <v/>
      </c>
      <c r="Y196" s="25">
        <f>IF(T196=0,"",ROUND(X196/T196*100,1))</f>
        <v/>
      </c>
      <c r="Z196" s="26">
        <f>X196*Assumptions!$B$4</f>
        <v/>
      </c>
      <c r="AA196" s="25">
        <f>IF(T196=0,"",ROUND(Z196/T196*100,1))</f>
        <v/>
      </c>
      <c r="AB196" s="26">
        <f>X196-Z196</f>
        <v/>
      </c>
      <c r="AC196" s="25">
        <f>IF(T196=0,"",ROUND((X196-Z196)/T196*100,1))</f>
        <v/>
      </c>
      <c r="AD196" s="27" t="inlineStr">
        <is>
          <t>ESTIMATED</t>
        </is>
      </c>
      <c r="AE196" s="28" t="inlineStr">
        <is>
          <t>https://marquesadmjudicial.com.br/sgc/download.php?file=files/processo_documento/processo_documento20014127022025_1_.pdf&amp;nome=Relação Nominal de Credores</t>
        </is>
      </c>
      <c r="AF196" s="27" t="inlineStr">
        <is>
          <t>p5 r17</t>
        </is>
      </c>
      <c r="AG196" s="27" t="inlineStr">
        <is>
          <t>p5: R$ 825.597,87</t>
        </is>
      </c>
      <c r="AH196" s="27" t="inlineStr">
        <is>
          <t>AJ_LIST</t>
        </is>
      </c>
      <c r="AI196" s="27" t="inlineStr">
        <is>
          <t>2024-11-08</t>
        </is>
      </c>
      <c r="AJ196" s="27" t="inlineStr">
        <is>
          <t>QUARANTINED</t>
        </is>
      </c>
      <c r="AK196" s="29" t="inlineStr">
        <is>
          <t>0001943-40.2024.8.16.0115</t>
        </is>
      </c>
      <c r="AL196" s="29" t="inlineStr">
        <is>
          <t>TJPR</t>
        </is>
      </c>
      <c r="AM196" s="29" t="inlineStr">
        <is>
          <t>ACTIVE</t>
        </is>
      </c>
      <c r="AN196" s="29" t="n">
        <v>2024</v>
      </c>
      <c r="AO196" s="29" t="inlineStr">
        <is>
          <t>live case, no plan document yet</t>
        </is>
      </c>
      <c r="AP196" s="29" t="inlineStr">
        <is>
          <t>SAO PAULO</t>
        </is>
      </c>
      <c r="AQ196" s="29" t="inlineStr">
        <is>
          <t>SP</t>
        </is>
      </c>
      <c r="AR196" s="29" t="inlineStr">
        <is>
          <t>Outras atividades de serviços prestados principalmente às empresas não especificadas anteriormente</t>
        </is>
      </c>
      <c r="AS196" s="29" t="inlineStr">
        <is>
          <t>DEMAIS</t>
        </is>
      </c>
      <c r="AT196" s="29" t="inlineStr">
        <is>
          <t>LARGE CORP</t>
        </is>
      </c>
      <c r="AU196" s="29" t="inlineStr">
        <is>
          <t>04088208</t>
        </is>
      </c>
      <c r="AV196" s="29" t="n">
        <v>1</v>
      </c>
      <c r="AW196" s="29" t="inlineStr">
        <is>
          <t>PARTIAL_DOC_CLASS_III_RECONCILED ROWS:p5r17</t>
        </is>
      </c>
    </row>
    <row r="197">
      <c r="A197" s="15" t="inlineStr">
        <is>
          <t>WHIRLPOOL S.A</t>
        </is>
      </c>
      <c r="B197" s="16" t="n">
        <v>1044824.45</v>
      </c>
      <c r="C197" s="17" t="inlineStr">
        <is>
          <t>aludida empresa</t>
        </is>
      </c>
      <c r="D197" s="18" t="inlineStr">
        <is>
          <t>NEW</t>
        </is>
      </c>
      <c r="E197" s="19" t="inlineStr"/>
      <c r="F197" s="18" t="inlineStr"/>
      <c r="G197" s="19" t="inlineStr"/>
      <c r="H197" s="18" t="inlineStr"/>
      <c r="I197" s="20" t="inlineStr">
        <is>
          <t>CARLOS ROBERTO BARBERY</t>
        </is>
      </c>
      <c r="J197" s="20" t="inlineStr">
        <is>
          <t>Diretor</t>
        </is>
      </c>
      <c r="K197" s="20" t="inlineStr">
        <is>
          <t>(11) 3566-1431</t>
        </is>
      </c>
      <c r="L197" s="20" t="inlineStr"/>
      <c r="M197" s="20" t="inlineStr"/>
      <c r="N197" s="20" t="inlineStr"/>
      <c r="O197" s="20" t="inlineStr"/>
      <c r="P197" s="20" t="inlineStr">
        <is>
          <t>FRANCISCO AUGUSTO SEMERARO NETO</t>
        </is>
      </c>
      <c r="Q197" s="20" t="inlineStr">
        <is>
          <t>Diretor</t>
        </is>
      </c>
      <c r="R197" s="20" t="inlineStr">
        <is>
          <t>(11) 3566-1431</t>
        </is>
      </c>
      <c r="S197" s="20" t="inlineStr"/>
      <c r="T197" s="21" t="n">
        <v>1044824.45</v>
      </c>
      <c r="U197" s="31" t="inlineStr">
        <is>
          <t>C</t>
        </is>
      </c>
      <c r="V197" s="23">
        <f>IFERROR(VLOOKUP(U197,Assumptions!$A$7:$D$11,2,FALSE),0)</f>
        <v/>
      </c>
      <c r="W197" s="24">
        <f>MAX(0.5,IFERROR(VLOOKUP(U197,Assumptions!$A$7:$D$11,3,FALSE),3)+IFERROR(VLOOKUP(U197,Assumptions!$A$7:$D$11,4,FALSE),8)/2-IF(AN197="",0,YEAR(TODAY())-AN197))</f>
        <v/>
      </c>
      <c r="X197" s="21">
        <f>T197*V197/(1+Assumptions!$B$3)^W197</f>
        <v/>
      </c>
      <c r="Y197" s="25">
        <f>IF(T197=0,"",ROUND(X197/T197*100,1))</f>
        <v/>
      </c>
      <c r="Z197" s="26">
        <f>X197*Assumptions!$B$4</f>
        <v/>
      </c>
      <c r="AA197" s="25">
        <f>IF(T197=0,"",ROUND(Z197/T197*100,1))</f>
        <v/>
      </c>
      <c r="AB197" s="26">
        <f>X197-Z197</f>
        <v/>
      </c>
      <c r="AC197" s="25">
        <f>IF(T197=0,"",ROUND((X197-Z197)/T197*100,1))</f>
        <v/>
      </c>
      <c r="AD197" s="27" t="inlineStr">
        <is>
          <t>ESTIMATED</t>
        </is>
      </c>
      <c r="AE197" s="28" t="inlineStr">
        <is>
          <t>https://recuperacaojudicial.squarespace.com/s/RJ-Credimoveis-QGC-01082025.pdf</t>
        </is>
      </c>
      <c r="AF197" s="27" t="inlineStr">
        <is>
          <t>p17 r11</t>
        </is>
      </c>
      <c r="AG197" s="27" t="inlineStr">
        <is>
          <t>p17: R$ 1.044.824,45</t>
        </is>
      </c>
      <c r="AH197" s="27" t="inlineStr">
        <is>
          <t>QGC</t>
        </is>
      </c>
      <c r="AI197" s="27" t="inlineStr">
        <is>
          <t>2026-01-28</t>
        </is>
      </c>
      <c r="AJ197" s="27" t="inlineStr">
        <is>
          <t>OK</t>
        </is>
      </c>
      <c r="AK197" s="29" t="inlineStr">
        <is>
          <t>0007565-40.2020.8.17.2370</t>
        </is>
      </c>
      <c r="AL197" s="29" t="inlineStr">
        <is>
          <t>TJPE</t>
        </is>
      </c>
      <c r="AM197" s="29" t="inlineStr">
        <is>
          <t>ACTIVE</t>
        </is>
      </c>
      <c r="AN197" s="29" t="n">
        <v>2020</v>
      </c>
      <c r="AO197" s="29" t="inlineStr">
        <is>
          <t>6y since filing, no plan document</t>
        </is>
      </c>
      <c r="AP197" s="29" t="inlineStr">
        <is>
          <t>SAO PAULO</t>
        </is>
      </c>
      <c r="AQ197" s="29" t="inlineStr">
        <is>
          <t>SP</t>
        </is>
      </c>
      <c r="AR197" s="29" t="inlineStr">
        <is>
          <t>Fabricação de fogões, refrigeradores e máquinas de lavar e secar para uso doméstico, peças e acessórios</t>
        </is>
      </c>
      <c r="AS197" s="29" t="inlineStr">
        <is>
          <t>DEMAIS</t>
        </is>
      </c>
      <c r="AT197" s="29" t="inlineStr">
        <is>
          <t>LARGE CORP</t>
        </is>
      </c>
      <c r="AU197" s="29" t="inlineStr">
        <is>
          <t>59105999</t>
        </is>
      </c>
      <c r="AV197" s="29" t="n">
        <v>1</v>
      </c>
      <c r="AW197" s="29" t="inlineStr">
        <is>
          <t>ROWS:p17r11</t>
        </is>
      </c>
    </row>
    <row r="198">
      <c r="A198" s="15" t="inlineStr">
        <is>
          <t>INCOTERM SOLUCOES EM MEDICAO LTDA</t>
        </is>
      </c>
      <c r="B198" s="16" t="n">
        <v>650761.62</v>
      </c>
      <c r="C198" s="17" t="inlineStr">
        <is>
          <t>VEV COMERCIO DE MEDICAMENTOS LTDA EM RECUPERACAO JUDICIAL</t>
        </is>
      </c>
      <c r="D198" s="18" t="inlineStr">
        <is>
          <t>NEW</t>
        </is>
      </c>
      <c r="E198" s="19" t="inlineStr"/>
      <c r="F198" s="18" t="inlineStr"/>
      <c r="G198" s="19" t="inlineStr"/>
      <c r="H198" s="18" t="inlineStr"/>
      <c r="I198" s="20" t="inlineStr">
        <is>
          <t>ANDREAS WEIMER</t>
        </is>
      </c>
      <c r="J198" s="20" t="inlineStr">
        <is>
          <t>Sócio-Administrador</t>
        </is>
      </c>
      <c r="K198" s="20" t="inlineStr">
        <is>
          <t>(51) 3245-7112</t>
        </is>
      </c>
      <c r="L198" s="20" t="inlineStr">
        <is>
          <t>(51) 3245-7157</t>
        </is>
      </c>
      <c r="M198" s="20" t="inlineStr"/>
      <c r="N198" s="20" t="inlineStr"/>
      <c r="O198" s="20" t="inlineStr"/>
      <c r="P198" s="20" t="inlineStr"/>
      <c r="Q198" s="20" t="inlineStr"/>
      <c r="R198" s="20" t="inlineStr"/>
      <c r="S198" s="20" t="inlineStr"/>
      <c r="T198" s="21" t="n">
        <v>650761.62</v>
      </c>
      <c r="U198" s="22" t="inlineStr">
        <is>
          <t>B</t>
        </is>
      </c>
      <c r="V198" s="23">
        <f>IFERROR(VLOOKUP(U198,Assumptions!$A$7:$D$11,2,FALSE),0)</f>
        <v/>
      </c>
      <c r="W198" s="24">
        <f>MAX(0.5,IFERROR(VLOOKUP(U198,Assumptions!$A$7:$D$11,3,FALSE),3)+IFERROR(VLOOKUP(U198,Assumptions!$A$7:$D$11,4,FALSE),8)/2-IF(AN198="",0,YEAR(TODAY())-AN198))</f>
        <v/>
      </c>
      <c r="X198" s="21">
        <f>T198*V198/(1+Assumptions!$B$3)^W198</f>
        <v/>
      </c>
      <c r="Y198" s="25">
        <f>IF(T198=0,"",ROUND(X198/T198*100,1))</f>
        <v/>
      </c>
      <c r="Z198" s="26">
        <f>X198*Assumptions!$B$4</f>
        <v/>
      </c>
      <c r="AA198" s="25">
        <f>IF(T198=0,"",ROUND(Z198/T198*100,1))</f>
        <v/>
      </c>
      <c r="AB198" s="26">
        <f>X198-Z198</f>
        <v/>
      </c>
      <c r="AC198" s="25">
        <f>IF(T198=0,"",ROUND((X198-Z198)/T198*100,1))</f>
        <v/>
      </c>
      <c r="AD198" s="27" t="inlineStr">
        <is>
          <t>ESTIMATED</t>
        </is>
      </c>
      <c r="AE198" s="28" t="inlineStr">
        <is>
          <t>https://marquesadmjudicial.com.br/sgc/download.php?file=files/processo_documento/processo_documento15293208032024_1_.pdf&amp;nome=Relação Nominal de Credores da AJ-Sintética</t>
        </is>
      </c>
      <c r="AF198" s="27" t="inlineStr">
        <is>
          <t>p26 r11</t>
        </is>
      </c>
      <c r="AG198" s="27" t="inlineStr">
        <is>
          <t>p26: R$ 650.761,62</t>
        </is>
      </c>
      <c r="AH198" s="27" t="inlineStr">
        <is>
          <t>AJ_LIST</t>
        </is>
      </c>
      <c r="AI198" s="27" t="inlineStr">
        <is>
          <t>2023-03-02</t>
        </is>
      </c>
      <c r="AJ198" s="27" t="inlineStr">
        <is>
          <t>QUARANTINED</t>
        </is>
      </c>
      <c r="AK198" s="29" t="inlineStr">
        <is>
          <t>0005010-98.2023.8.16.0001</t>
        </is>
      </c>
      <c r="AL198" s="29" t="inlineStr">
        <is>
          <t>TJPR</t>
        </is>
      </c>
      <c r="AM198" s="29" t="inlineStr">
        <is>
          <t>ACTIVE</t>
        </is>
      </c>
      <c r="AN198" s="29" t="n">
        <v>2023</v>
      </c>
      <c r="AO198" s="29" t="inlineStr">
        <is>
          <t>live case, no plan document yet</t>
        </is>
      </c>
      <c r="AP198" s="29" t="inlineStr">
        <is>
          <t>PORTO ALEGRE</t>
        </is>
      </c>
      <c r="AQ198" s="29" t="inlineStr">
        <is>
          <t>RS</t>
        </is>
      </c>
      <c r="AR198" s="29" t="inlineStr">
        <is>
          <t>Fabricação de aparelhos e equipamentos de medida, teste e controle</t>
        </is>
      </c>
      <c r="AS198" s="29" t="inlineStr">
        <is>
          <t>DEMAIS</t>
        </is>
      </c>
      <c r="AT198" s="29" t="inlineStr">
        <is>
          <t>MID-MARKET</t>
        </is>
      </c>
      <c r="AU198" s="29" t="inlineStr">
        <is>
          <t>87156352</t>
        </is>
      </c>
      <c r="AV198" s="29" t="n">
        <v>1</v>
      </c>
      <c r="AW198" s="29" t="inlineStr">
        <is>
          <t>PARTIAL_DOC_CLASS_III_RECONCILED ROWS:p26r11</t>
        </is>
      </c>
    </row>
    <row r="199">
      <c r="A199" s="15" t="inlineStr">
        <is>
          <t>BECK ACOS MANUFATURADOS LTDA</t>
        </is>
      </c>
      <c r="B199" s="16" t="n">
        <v>1886828.69</v>
      </c>
      <c r="C199" s="17" t="inlineStr">
        <is>
          <t>EGESA ENGENHARIA S/A (Consórcio ETDI)</t>
        </is>
      </c>
      <c r="D199" s="18" t="inlineStr">
        <is>
          <t>NEW</t>
        </is>
      </c>
      <c r="E199" s="19" t="inlineStr"/>
      <c r="F199" s="18" t="inlineStr"/>
      <c r="G199" s="19" t="inlineStr"/>
      <c r="H199" s="18" t="inlineStr"/>
      <c r="I199" s="20" t="inlineStr">
        <is>
          <t>JOSE MAURICIO COSTA DE ALMEIDA</t>
        </is>
      </c>
      <c r="J199" s="20" t="inlineStr">
        <is>
          <t>Sócio-Administrador</t>
        </is>
      </c>
      <c r="K199" s="20" t="inlineStr">
        <is>
          <t>(31) 8896-6044</t>
        </is>
      </c>
      <c r="L199" s="20" t="inlineStr">
        <is>
          <t>(31) 8896-7549</t>
        </is>
      </c>
      <c r="M199" s="20" t="inlineStr"/>
      <c r="N199" s="20" t="inlineStr"/>
      <c r="O199" s="20" t="inlineStr"/>
      <c r="P199" s="20" t="inlineStr"/>
      <c r="Q199" s="20" t="inlineStr"/>
      <c r="R199" s="20" t="inlineStr"/>
      <c r="S199" s="20" t="inlineStr"/>
      <c r="T199" s="21" t="n">
        <v>1886828.69</v>
      </c>
      <c r="U199" s="30" t="inlineStr">
        <is>
          <t>?</t>
        </is>
      </c>
      <c r="V199" s="23">
        <f>IFERROR(VLOOKUP(U199,Assumptions!$A$7:$D$11,2,FALSE),0)</f>
        <v/>
      </c>
      <c r="W199" s="24">
        <f>MAX(0.5,IFERROR(VLOOKUP(U199,Assumptions!$A$7:$D$11,3,FALSE),3)+IFERROR(VLOOKUP(U199,Assumptions!$A$7:$D$11,4,FALSE),8)/2-IF(AN199="",0,YEAR(TODAY())-AN199))</f>
        <v/>
      </c>
      <c r="X199" s="21">
        <f>T199*V199/(1+Assumptions!$B$3)^W199</f>
        <v/>
      </c>
      <c r="Y199" s="25">
        <f>IF(T199=0,"",ROUND(X199/T199*100,1))</f>
        <v/>
      </c>
      <c r="Z199" s="26">
        <f>X199*Assumptions!$B$4</f>
        <v/>
      </c>
      <c r="AA199" s="25">
        <f>IF(T199=0,"",ROUND(Z199/T199*100,1))</f>
        <v/>
      </c>
      <c r="AB199" s="26">
        <f>X199-Z199</f>
        <v/>
      </c>
      <c r="AC199" s="25">
        <f>IF(T199=0,"",ROUND((X199-Z199)/T199*100,1))</f>
        <v/>
      </c>
      <c r="AD199" s="27" t="inlineStr">
        <is>
          <t>UNKNOWN</t>
        </is>
      </c>
      <c r="AE199" s="28" t="inlineStr">
        <is>
          <t>https://scalzilliaj.com.br/sgc/download.php?file=files/processo_documento/processo_documento09514021082025_1_.pdf&amp;nome=04 - Relação de credores das Recuperandas</t>
        </is>
      </c>
      <c r="AF199" s="27" t="inlineStr">
        <is>
          <t>p63 r7</t>
        </is>
      </c>
      <c r="AG199" s="27" t="inlineStr">
        <is>
          <t>p63: R$ 1.886.828,69</t>
        </is>
      </c>
      <c r="AH199" s="27" t="inlineStr">
        <is>
          <t>DEBTOR_LIST</t>
        </is>
      </c>
      <c r="AI199" s="27" t="inlineStr"/>
      <c r="AJ199" s="27" t="inlineStr">
        <is>
          <t>OK</t>
        </is>
      </c>
      <c r="AK199" s="29" t="inlineStr">
        <is>
          <t>(not printed)</t>
        </is>
      </c>
      <c r="AL199" s="29" t="inlineStr"/>
      <c r="AM199" s="29" t="inlineStr"/>
      <c r="AN199" s="29" t="inlineStr"/>
      <c r="AO199" s="29" t="inlineStr">
        <is>
          <t>RJ case number not identified on the document</t>
        </is>
      </c>
      <c r="AP199" s="29" t="inlineStr">
        <is>
          <t>VESPASIANO</t>
        </is>
      </c>
      <c r="AQ199" s="29" t="inlineStr">
        <is>
          <t>MG</t>
        </is>
      </c>
      <c r="AR199" s="29" t="inlineStr">
        <is>
          <t>Fabricação de estruturas metálicas</t>
        </is>
      </c>
      <c r="AS199" s="29" t="inlineStr">
        <is>
          <t>DEMAIS</t>
        </is>
      </c>
      <c r="AT199" s="29" t="inlineStr">
        <is>
          <t>MID-MARKET</t>
        </is>
      </c>
      <c r="AU199" s="29" t="inlineStr">
        <is>
          <t>07651282</t>
        </is>
      </c>
      <c r="AV199" s="29" t="n">
        <v>1</v>
      </c>
      <c r="AW199" s="29" t="inlineStr">
        <is>
          <t>ROWS:p63r7 VALUE_COL:Valor_Atualizado CASE_NUMBER_CORRECTED</t>
        </is>
      </c>
    </row>
    <row r="200">
      <c r="A200" s="15" t="inlineStr">
        <is>
          <t>WORLD BLUE INDUSTRIA E COMERCIO DE CONFECCOES LTDA</t>
        </is>
      </c>
      <c r="B200" s="16" t="n">
        <v>504580.74</v>
      </c>
      <c r="C200" s="17" t="inlineStr">
        <is>
          <t>R W CONSTRUCOES LTDA</t>
        </is>
      </c>
      <c r="D200" s="18" t="inlineStr">
        <is>
          <t>NEW</t>
        </is>
      </c>
      <c r="E200" s="19" t="inlineStr"/>
      <c r="F200" s="18" t="inlineStr"/>
      <c r="G200" s="19" t="inlineStr"/>
      <c r="H200" s="18" t="inlineStr"/>
      <c r="I200" s="20" t="inlineStr">
        <is>
          <t>DALVAN MIZAEL JUDAH DE OLIVEIRA</t>
        </is>
      </c>
      <c r="J200" s="20" t="inlineStr">
        <is>
          <t>Sócio-Administrador</t>
        </is>
      </c>
      <c r="K200" s="20" t="inlineStr">
        <is>
          <t>000000000000</t>
        </is>
      </c>
      <c r="L200" s="20" t="inlineStr"/>
      <c r="M200" s="20" t="inlineStr"/>
      <c r="N200" s="20" t="inlineStr"/>
      <c r="O200" s="20" t="inlineStr"/>
      <c r="P200" s="20" t="inlineStr">
        <is>
          <t>RAUL DE OLIVEIRA</t>
        </is>
      </c>
      <c r="Q200" s="20" t="inlineStr">
        <is>
          <t>Sócio-Administrador</t>
        </is>
      </c>
      <c r="R200" s="20" t="inlineStr">
        <is>
          <t>000000000000</t>
        </is>
      </c>
      <c r="S200" s="20" t="inlineStr"/>
      <c r="T200" s="21" t="n">
        <v>504580.74</v>
      </c>
      <c r="U200" s="22" t="inlineStr">
        <is>
          <t>B</t>
        </is>
      </c>
      <c r="V200" s="23">
        <f>IFERROR(VLOOKUP(U200,Assumptions!$A$7:$D$11,2,FALSE),0)</f>
        <v/>
      </c>
      <c r="W200" s="24">
        <f>MAX(0.5,IFERROR(VLOOKUP(U200,Assumptions!$A$7:$D$11,3,FALSE),3)+IFERROR(VLOOKUP(U200,Assumptions!$A$7:$D$11,4,FALSE),8)/2-IF(AN200="",0,YEAR(TODAY())-AN200))</f>
        <v/>
      </c>
      <c r="X200" s="21">
        <f>T200*V200/(1+Assumptions!$B$3)^W200</f>
        <v/>
      </c>
      <c r="Y200" s="25">
        <f>IF(T200=0,"",ROUND(X200/T200*100,1))</f>
        <v/>
      </c>
      <c r="Z200" s="26">
        <f>X200*Assumptions!$B$4</f>
        <v/>
      </c>
      <c r="AA200" s="25">
        <f>IF(T200=0,"",ROUND(Z200/T200*100,1))</f>
        <v/>
      </c>
      <c r="AB200" s="26">
        <f>X200-Z200</f>
        <v/>
      </c>
      <c r="AC200" s="25">
        <f>IF(T200=0,"",ROUND((X200-Z200)/T200*100,1))</f>
        <v/>
      </c>
      <c r="AD200" s="27" t="inlineStr">
        <is>
          <t>ESTIMATED</t>
        </is>
      </c>
      <c r="AE200" s="28" t="inlineStr">
        <is>
          <t>https://lrflideres.com.br/wp-content/plugins/download-attachments/includes/download.php?id=4023</t>
        </is>
      </c>
      <c r="AF200" s="27" t="inlineStr">
        <is>
          <t>p4 r97; p7 r129; p9 r95</t>
        </is>
      </c>
      <c r="AG200" s="27" t="inlineStr">
        <is>
          <t>p4: R$ 175.901,47; p7: R$ 252.684,23; p9: R$ 75.995,04</t>
        </is>
      </c>
      <c r="AH200" s="27" t="inlineStr">
        <is>
          <t>DEBTOR_LIST</t>
        </is>
      </c>
      <c r="AI200" s="27" t="inlineStr"/>
      <c r="AJ200" s="27" t="inlineStr">
        <is>
          <t>QUARANTINED</t>
        </is>
      </c>
      <c r="AK200" s="29" t="inlineStr">
        <is>
          <t>0002484-82.2022.8.17.2001</t>
        </is>
      </c>
      <c r="AL200" s="29" t="inlineStr">
        <is>
          <t>TJPE</t>
        </is>
      </c>
      <c r="AM200" s="29" t="inlineStr">
        <is>
          <t>ACTIVE</t>
        </is>
      </c>
      <c r="AN200" s="29" t="n">
        <v>2022</v>
      </c>
      <c r="AO200" s="29" t="inlineStr">
        <is>
          <t>live case, no plan document yet</t>
        </is>
      </c>
      <c r="AP200" s="29" t="inlineStr">
        <is>
          <t>BRUSQUE</t>
        </is>
      </c>
      <c r="AQ200" s="29" t="inlineStr">
        <is>
          <t>SC</t>
        </is>
      </c>
      <c r="AR200" s="29" t="inlineStr">
        <is>
          <t>Confecção de peças de vestuário, exceto roupas íntimas e as confeccionadas sob medida</t>
        </is>
      </c>
      <c r="AS200" s="29" t="inlineStr">
        <is>
          <t>DEMAIS</t>
        </is>
      </c>
      <c r="AT200" s="29" t="inlineStr">
        <is>
          <t>MID-MARKET</t>
        </is>
      </c>
      <c r="AU200" s="29" t="inlineStr">
        <is>
          <t>01358125</t>
        </is>
      </c>
      <c r="AV200" s="29" t="n">
        <v>3</v>
      </c>
      <c r="AW200" s="29" t="inlineStr">
        <is>
          <t>PARTIAL_DOC_CLASS_III_RECONCILED ROWS:p4r97,p7r129,p9r95</t>
        </is>
      </c>
    </row>
    <row r="201">
      <c r="A201" s="15" t="inlineStr">
        <is>
          <t>ANJUU IMPORTACAO, EXPORTACAO E COMERCIO DE CONFECCOES LTDA</t>
        </is>
      </c>
      <c r="B201" s="16" t="n">
        <v>500703.44</v>
      </c>
      <c r="C201" s="17" t="inlineStr">
        <is>
          <t>R W CONSTRUCOES LTDA</t>
        </is>
      </c>
      <c r="D201" s="18" t="inlineStr">
        <is>
          <t>NEW</t>
        </is>
      </c>
      <c r="E201" s="19" t="inlineStr"/>
      <c r="F201" s="18" t="inlineStr"/>
      <c r="G201" s="19" t="inlineStr"/>
      <c r="H201" s="18" t="inlineStr"/>
      <c r="I201" s="20" t="inlineStr">
        <is>
          <t>Claudio Ohashi</t>
        </is>
      </c>
      <c r="J201" s="20" t="inlineStr">
        <is>
          <t>Consultant</t>
        </is>
      </c>
      <c r="K201" s="20" t="inlineStr">
        <is>
          <t>(11) 2081-6261</t>
        </is>
      </c>
      <c r="L201" s="20" t="inlineStr"/>
      <c r="M201" s="20" t="inlineStr"/>
      <c r="N201" s="20" t="inlineStr">
        <is>
          <t>claudio@anjuu.com.br</t>
        </is>
      </c>
      <c r="O201" s="20" t="inlineStr"/>
      <c r="P201" s="20" t="inlineStr"/>
      <c r="Q201" s="20" t="inlineStr"/>
      <c r="R201" s="20" t="inlineStr"/>
      <c r="S201" s="20" t="inlineStr"/>
      <c r="T201" s="21" t="n">
        <v>500703.44</v>
      </c>
      <c r="U201" s="22" t="inlineStr">
        <is>
          <t>B</t>
        </is>
      </c>
      <c r="V201" s="23">
        <f>IFERROR(VLOOKUP(U201,Assumptions!$A$7:$D$11,2,FALSE),0)</f>
        <v/>
      </c>
      <c r="W201" s="24">
        <f>MAX(0.5,IFERROR(VLOOKUP(U201,Assumptions!$A$7:$D$11,3,FALSE),3)+IFERROR(VLOOKUP(U201,Assumptions!$A$7:$D$11,4,FALSE),8)/2-IF(AN201="",0,YEAR(TODAY())-AN201))</f>
        <v/>
      </c>
      <c r="X201" s="21">
        <f>T201*V201/(1+Assumptions!$B$3)^W201</f>
        <v/>
      </c>
      <c r="Y201" s="25">
        <f>IF(T201=0,"",ROUND(X201/T201*100,1))</f>
        <v/>
      </c>
      <c r="Z201" s="26">
        <f>X201*Assumptions!$B$4</f>
        <v/>
      </c>
      <c r="AA201" s="25">
        <f>IF(T201=0,"",ROUND(Z201/T201*100,1))</f>
        <v/>
      </c>
      <c r="AB201" s="26">
        <f>X201-Z201</f>
        <v/>
      </c>
      <c r="AC201" s="25">
        <f>IF(T201=0,"",ROUND((X201-Z201)/T201*100,1))</f>
        <v/>
      </c>
      <c r="AD201" s="27" t="inlineStr">
        <is>
          <t>ESTIMATED</t>
        </is>
      </c>
      <c r="AE201" s="28" t="inlineStr">
        <is>
          <t>https://lrflideres.com.br/wp-content/plugins/download-attachments/includes/download.php?id=4023</t>
        </is>
      </c>
      <c r="AF201" s="27" t="inlineStr">
        <is>
          <t>p7 r74; p9 r57</t>
        </is>
      </c>
      <c r="AG201" s="27" t="inlineStr">
        <is>
          <t>p7: R$ 435.826,90; p9: R$ 64.876,54</t>
        </is>
      </c>
      <c r="AH201" s="27" t="inlineStr">
        <is>
          <t>DEBTOR_LIST</t>
        </is>
      </c>
      <c r="AI201" s="27" t="inlineStr"/>
      <c r="AJ201" s="27" t="inlineStr">
        <is>
          <t>QUARANTINED</t>
        </is>
      </c>
      <c r="AK201" s="29" t="inlineStr">
        <is>
          <t>0002484-82.2022.8.17.2001</t>
        </is>
      </c>
      <c r="AL201" s="29" t="inlineStr">
        <is>
          <t>TJPE</t>
        </is>
      </c>
      <c r="AM201" s="29" t="inlineStr">
        <is>
          <t>ACTIVE</t>
        </is>
      </c>
      <c r="AN201" s="29" t="n">
        <v>2022</v>
      </c>
      <c r="AO201" s="29" t="inlineStr">
        <is>
          <t>live case, no plan document yet</t>
        </is>
      </c>
      <c r="AP201" s="29" t="inlineStr">
        <is>
          <t>ARAQUARI</t>
        </is>
      </c>
      <c r="AQ201" s="29" t="inlineStr">
        <is>
          <t>SC</t>
        </is>
      </c>
      <c r="AR201" s="29" t="inlineStr">
        <is>
          <t>Comércio atacadista de artigos do vestuário e acessórios, exceto profissionais e de segurança</t>
        </is>
      </c>
      <c r="AS201" s="29" t="inlineStr">
        <is>
          <t>DEMAIS</t>
        </is>
      </c>
      <c r="AT201" s="29" t="inlineStr">
        <is>
          <t>MID-MARKET</t>
        </is>
      </c>
      <c r="AU201" s="29" t="inlineStr">
        <is>
          <t>12554601</t>
        </is>
      </c>
      <c r="AV201" s="29" t="n">
        <v>2</v>
      </c>
      <c r="AW201" s="29" t="inlineStr">
        <is>
          <t>PARTIAL_DOC_CLASS_III_RECONCILED ROWS:p7r74,p9r57</t>
        </is>
      </c>
    </row>
    <row r="202">
      <c r="A202" s="15" t="inlineStr">
        <is>
          <t>MINERAX - MINERACAO XAMBIOA LTDA</t>
        </is>
      </c>
      <c r="B202" s="16" t="n">
        <v>962991.9</v>
      </c>
      <c r="C202" s="17" t="inlineStr">
        <is>
          <t>NORTESUL COMERCIAL AGRICOLA LTDA EM RECUPERACAO JUDICIAL</t>
        </is>
      </c>
      <c r="D202" s="18" t="inlineStr">
        <is>
          <t>NEW</t>
        </is>
      </c>
      <c r="E202" s="19" t="inlineStr"/>
      <c r="F202" s="18" t="inlineStr"/>
      <c r="G202" s="19" t="inlineStr"/>
      <c r="H202" s="18" t="inlineStr"/>
      <c r="I202" s="20" t="inlineStr">
        <is>
          <t>FRANCISCO MIGUEL HENDGES</t>
        </is>
      </c>
      <c r="J202" s="20" t="inlineStr">
        <is>
          <t>Administrador</t>
        </is>
      </c>
      <c r="K202" s="20" t="inlineStr">
        <is>
          <t>(63) 3415-8500</t>
        </is>
      </c>
      <c r="L202" s="20" t="inlineStr"/>
      <c r="M202" s="20" t="inlineStr"/>
      <c r="N202" s="20" t="inlineStr"/>
      <c r="O202" s="20" t="inlineStr"/>
      <c r="P202" s="20" t="inlineStr">
        <is>
          <t>JEREMIAS DEMITO</t>
        </is>
      </c>
      <c r="Q202" s="20" t="inlineStr">
        <is>
          <t>Administrador</t>
        </is>
      </c>
      <c r="R202" s="20" t="inlineStr">
        <is>
          <t>(63) 3415-8500</t>
        </is>
      </c>
      <c r="S202" s="20" t="inlineStr"/>
      <c r="T202" s="21" t="n">
        <v>962991.9</v>
      </c>
      <c r="U202" s="22" t="inlineStr">
        <is>
          <t>B</t>
        </is>
      </c>
      <c r="V202" s="23">
        <f>IFERROR(VLOOKUP(U202,Assumptions!$A$7:$D$11,2,FALSE),0)</f>
        <v/>
      </c>
      <c r="W202" s="24">
        <f>MAX(0.5,IFERROR(VLOOKUP(U202,Assumptions!$A$7:$D$11,3,FALSE),3)+IFERROR(VLOOKUP(U202,Assumptions!$A$7:$D$11,4,FALSE),8)/2-IF(AN202="",0,YEAR(TODAY())-AN202))</f>
        <v/>
      </c>
      <c r="X202" s="21">
        <f>T202*V202/(1+Assumptions!$B$3)^W202</f>
        <v/>
      </c>
      <c r="Y202" s="25">
        <f>IF(T202=0,"",ROUND(X202/T202*100,1))</f>
        <v/>
      </c>
      <c r="Z202" s="26">
        <f>X202*Assumptions!$B$4</f>
        <v/>
      </c>
      <c r="AA202" s="25">
        <f>IF(T202=0,"",ROUND(Z202/T202*100,1))</f>
        <v/>
      </c>
      <c r="AB202" s="26">
        <f>X202-Z202</f>
        <v/>
      </c>
      <c r="AC202" s="25">
        <f>IF(T202=0,"",ROUND((X202-Z202)/T202*100,1))</f>
        <v/>
      </c>
      <c r="AD202" s="27" t="inlineStr">
        <is>
          <t>ESTIMATED</t>
        </is>
      </c>
      <c r="AE202" s="28" t="inlineStr">
        <is>
          <t>https://lrflideres.com.br/wp-content/plugins/download-attachments/includes/download.php?id=6879</t>
        </is>
      </c>
      <c r="AF202" s="27" t="inlineStr">
        <is>
          <t>p2 r4</t>
        </is>
      </c>
      <c r="AG202" s="27" t="inlineStr">
        <is>
          <t>p2: R$ 962.991,90</t>
        </is>
      </c>
      <c r="AH202" s="27" t="inlineStr">
        <is>
          <t>AJ_LIST</t>
        </is>
      </c>
      <c r="AI202" s="27" t="inlineStr">
        <is>
          <t>2026-01-15</t>
        </is>
      </c>
      <c r="AJ202" s="27" t="inlineStr">
        <is>
          <t>OK</t>
        </is>
      </c>
      <c r="AK202" s="29" t="inlineStr">
        <is>
          <t>0804401-51.2025.8.14.0039</t>
        </is>
      </c>
      <c r="AL202" s="29" t="inlineStr">
        <is>
          <t>TJPA</t>
        </is>
      </c>
      <c r="AM202" s="29" t="inlineStr">
        <is>
          <t>ACTIVE</t>
        </is>
      </c>
      <c r="AN202" s="29" t="n">
        <v>2025</v>
      </c>
      <c r="AO202" s="29" t="inlineStr">
        <is>
          <t>live case, no plan document yet</t>
        </is>
      </c>
      <c r="AP202" s="29" t="inlineStr">
        <is>
          <t>XAMBIOA</t>
        </is>
      </c>
      <c r="AQ202" s="29" t="inlineStr">
        <is>
          <t>TO</t>
        </is>
      </c>
      <c r="AR202" s="29" t="inlineStr">
        <is>
          <t>Extração de calcário e dolomita e beneficiamento associado</t>
        </is>
      </c>
      <c r="AS202" s="29" t="inlineStr">
        <is>
          <t>DEMAIS</t>
        </is>
      </c>
      <c r="AT202" s="29" t="inlineStr">
        <is>
          <t>MID-MARKET</t>
        </is>
      </c>
      <c r="AU202" s="29" t="inlineStr">
        <is>
          <t>08886407</t>
        </is>
      </c>
      <c r="AV202" s="29" t="n">
        <v>1</v>
      </c>
      <c r="AW202" s="29" t="inlineStr">
        <is>
          <t>ROWS:p2r4</t>
        </is>
      </c>
    </row>
    <row r="203">
      <c r="A203" s="15" t="inlineStr">
        <is>
          <t>CENTENARO PNEUS LTDA</t>
        </is>
      </c>
      <c r="B203" s="16" t="n">
        <v>770043</v>
      </c>
      <c r="C203" s="17" t="inlineStr">
        <is>
          <t>D'AGOSTINI &amp; DIDOMENICO LTDA EM RECUPERACAO JUDICIAL</t>
        </is>
      </c>
      <c r="D203" s="18" t="inlineStr">
        <is>
          <t>NEW</t>
        </is>
      </c>
      <c r="E203" s="19" t="inlineStr"/>
      <c r="F203" s="18" t="inlineStr"/>
      <c r="G203" s="19" t="inlineStr"/>
      <c r="H203" s="18" t="inlineStr"/>
      <c r="I203" s="20" t="inlineStr">
        <is>
          <t>EDUARDO MATHEUS TRENTIN</t>
        </is>
      </c>
      <c r="J203" s="20" t="inlineStr">
        <is>
          <t>Sócio-Administrador</t>
        </is>
      </c>
      <c r="K203" s="20" t="inlineStr">
        <is>
          <t>(67) 3317-2277</t>
        </is>
      </c>
      <c r="L203" s="20" t="inlineStr"/>
      <c r="M203" s="20" t="inlineStr"/>
      <c r="N203" s="20" t="inlineStr"/>
      <c r="O203" s="20" t="inlineStr"/>
      <c r="P203" s="20" t="inlineStr">
        <is>
          <t>JACKELINE DE SOUZA LOCATELLI</t>
        </is>
      </c>
      <c r="Q203" s="20" t="inlineStr">
        <is>
          <t>Sócio-Administrador</t>
        </is>
      </c>
      <c r="R203" s="20" t="inlineStr">
        <is>
          <t>(67) 3317-2277</t>
        </is>
      </c>
      <c r="S203" s="20" t="inlineStr"/>
      <c r="T203" s="21" t="n">
        <v>770043</v>
      </c>
      <c r="U203" s="22" t="inlineStr">
        <is>
          <t>B</t>
        </is>
      </c>
      <c r="V203" s="23">
        <f>IFERROR(VLOOKUP(U203,Assumptions!$A$7:$D$11,2,FALSE),0)</f>
        <v/>
      </c>
      <c r="W203" s="24">
        <f>MAX(0.5,IFERROR(VLOOKUP(U203,Assumptions!$A$7:$D$11,3,FALSE),3)+IFERROR(VLOOKUP(U203,Assumptions!$A$7:$D$11,4,FALSE),8)/2-IF(AN203="",0,YEAR(TODAY())-AN203))</f>
        <v/>
      </c>
      <c r="X203" s="21">
        <f>T203*V203/(1+Assumptions!$B$3)^W203</f>
        <v/>
      </c>
      <c r="Y203" s="25">
        <f>IF(T203=0,"",ROUND(X203/T203*100,1))</f>
        <v/>
      </c>
      <c r="Z203" s="26">
        <f>X203*Assumptions!$B$4</f>
        <v/>
      </c>
      <c r="AA203" s="25">
        <f>IF(T203=0,"",ROUND(Z203/T203*100,1))</f>
        <v/>
      </c>
      <c r="AB203" s="26">
        <f>X203-Z203</f>
        <v/>
      </c>
      <c r="AC203" s="25">
        <f>IF(T203=0,"",ROUND((X203-Z203)/T203*100,1))</f>
        <v/>
      </c>
      <c r="AD203" s="27" t="inlineStr">
        <is>
          <t>ESTIMATED</t>
        </is>
      </c>
      <c r="AE203" s="28" t="inlineStr">
        <is>
          <t>https://marquesadmjudicial.com.br/sgc/download.php?file=files/processo_documento/processo_documento20014127022025_1_.pdf&amp;nome=Relação Nominal de Credores</t>
        </is>
      </c>
      <c r="AF203" s="27" t="inlineStr">
        <is>
          <t>p4 r11</t>
        </is>
      </c>
      <c r="AG203" s="27" t="inlineStr">
        <is>
          <t>p4: R$ 770.043,00</t>
        </is>
      </c>
      <c r="AH203" s="27" t="inlineStr">
        <is>
          <t>AJ_LIST</t>
        </is>
      </c>
      <c r="AI203" s="27" t="inlineStr">
        <is>
          <t>2024-11-08</t>
        </is>
      </c>
      <c r="AJ203" s="27" t="inlineStr">
        <is>
          <t>QUARANTINED</t>
        </is>
      </c>
      <c r="AK203" s="29" t="inlineStr">
        <is>
          <t>0001943-40.2024.8.16.0115</t>
        </is>
      </c>
      <c r="AL203" s="29" t="inlineStr">
        <is>
          <t>TJPR</t>
        </is>
      </c>
      <c r="AM203" s="29" t="inlineStr">
        <is>
          <t>ACTIVE</t>
        </is>
      </c>
      <c r="AN203" s="29" t="n">
        <v>2024</v>
      </c>
      <c r="AO203" s="29" t="inlineStr">
        <is>
          <t>live case, no plan document yet</t>
        </is>
      </c>
      <c r="AP203" s="29" t="inlineStr">
        <is>
          <t>CAMPO GRANDE</t>
        </is>
      </c>
      <c r="AQ203" s="29" t="inlineStr">
        <is>
          <t>MS</t>
        </is>
      </c>
      <c r="AR203" s="29" t="inlineStr">
        <is>
          <t>Comércio a varejo de pneumáticos e câmaras-de-ar</t>
        </is>
      </c>
      <c r="AS203" s="29" t="inlineStr">
        <is>
          <t>DEMAIS</t>
        </is>
      </c>
      <c r="AT203" s="29" t="inlineStr">
        <is>
          <t>MID-MARKET</t>
        </is>
      </c>
      <c r="AU203" s="29" t="inlineStr">
        <is>
          <t>48833163</t>
        </is>
      </c>
      <c r="AV203" s="29" t="n">
        <v>1</v>
      </c>
      <c r="AW203" s="29" t="inlineStr">
        <is>
          <t>PARTIAL_DOC_CLASS_III_RECONCILED ROWS:p4r11</t>
        </is>
      </c>
    </row>
    <row r="204">
      <c r="A204" s="15" t="inlineStr">
        <is>
          <t>MTM BURGER COMERCIO DE ALIMENTOS LTDA</t>
        </is>
      </c>
      <c r="B204" s="16" t="n">
        <v>1200000</v>
      </c>
      <c r="C204" s="17" t="inlineStr">
        <is>
          <t>TENDAS E COMPANHIA LTDA</t>
        </is>
      </c>
      <c r="D204" s="18" t="inlineStr">
        <is>
          <t>NEW</t>
        </is>
      </c>
      <c r="E204" s="19" t="inlineStr"/>
      <c r="F204" s="18" t="inlineStr"/>
      <c r="G204" s="19" t="inlineStr"/>
      <c r="H204" s="18" t="inlineStr"/>
      <c r="I204" s="20" t="inlineStr">
        <is>
          <t>MATHEUS LOBO DUARTE</t>
        </is>
      </c>
      <c r="J204" s="20" t="inlineStr">
        <is>
          <t>Sócio-Administrador</t>
        </is>
      </c>
      <c r="K204" s="20" t="inlineStr">
        <is>
          <t>(62) 9334-8515</t>
        </is>
      </c>
      <c r="L204" s="20" t="inlineStr">
        <is>
          <t>(62) 9356-1942</t>
        </is>
      </c>
      <c r="M204" s="20" t="inlineStr"/>
      <c r="N204" s="20" t="inlineStr"/>
      <c r="O204" s="20" t="inlineStr"/>
      <c r="P204" s="20" t="inlineStr"/>
      <c r="Q204" s="20" t="inlineStr"/>
      <c r="R204" s="20" t="inlineStr"/>
      <c r="S204" s="20" t="inlineStr"/>
      <c r="T204" s="21" t="n">
        <v>1200000</v>
      </c>
      <c r="U204" s="22" t="inlineStr">
        <is>
          <t>B</t>
        </is>
      </c>
      <c r="V204" s="23">
        <f>IFERROR(VLOOKUP(U204,Assumptions!$A$7:$D$11,2,FALSE),0)</f>
        <v/>
      </c>
      <c r="W204" s="24">
        <f>MAX(0.5,IFERROR(VLOOKUP(U204,Assumptions!$A$7:$D$11,3,FALSE),3)+IFERROR(VLOOKUP(U204,Assumptions!$A$7:$D$11,4,FALSE),8)/2-IF(AN204="",0,YEAR(TODAY())-AN204))</f>
        <v/>
      </c>
      <c r="X204" s="21">
        <f>T204*V204/(1+Assumptions!$B$3)^W204</f>
        <v/>
      </c>
      <c r="Y204" s="25">
        <f>IF(T204=0,"",ROUND(X204/T204*100,1))</f>
        <v/>
      </c>
      <c r="Z204" s="26">
        <f>X204*Assumptions!$B$4</f>
        <v/>
      </c>
      <c r="AA204" s="25">
        <f>IF(T204=0,"",ROUND(Z204/T204*100,1))</f>
        <v/>
      </c>
      <c r="AB204" s="26">
        <f>X204-Z204</f>
        <v/>
      </c>
      <c r="AC204" s="25">
        <f>IF(T204=0,"",ROUND((X204-Z204)/T204*100,1))</f>
        <v/>
      </c>
      <c r="AD204" s="27" t="inlineStr">
        <is>
          <t>ESTIMATED</t>
        </is>
      </c>
      <c r="AE204" s="28" t="inlineStr">
        <is>
          <t>https://stenius.com.br/wp-content/uploads/2026/08/1°-EDITAL-GRUPO-TENDAS.pdf</t>
        </is>
      </c>
      <c r="AF204" s="27" t="inlineStr">
        <is>
          <t>p5 r25</t>
        </is>
      </c>
      <c r="AG204" s="27" t="inlineStr">
        <is>
          <t>p5: R$ 1.200.000,00</t>
        </is>
      </c>
      <c r="AH204" s="27" t="inlineStr">
        <is>
          <t>AJ_LIST</t>
        </is>
      </c>
      <c r="AI204" s="27" t="inlineStr">
        <is>
          <t>2026-08-13</t>
        </is>
      </c>
      <c r="AJ204" s="27" t="inlineStr">
        <is>
          <t>OK_NO_TOTALS</t>
        </is>
      </c>
      <c r="AK204" s="29" t="inlineStr">
        <is>
          <t>5401053-70.2026.8.09.0051</t>
        </is>
      </c>
      <c r="AL204" s="29" t="inlineStr">
        <is>
          <t>TJGO</t>
        </is>
      </c>
      <c r="AM204" s="29" t="inlineStr">
        <is>
          <t>ACTIVE</t>
        </is>
      </c>
      <c r="AN204" s="29" t="n">
        <v>2026</v>
      </c>
      <c r="AO204" s="29" t="inlineStr">
        <is>
          <t>live case, no plan document yet</t>
        </is>
      </c>
      <c r="AP204" s="29" t="inlineStr">
        <is>
          <t>GOIANIA</t>
        </is>
      </c>
      <c r="AQ204" s="29" t="inlineStr">
        <is>
          <t>GO</t>
        </is>
      </c>
      <c r="AR204" s="29" t="inlineStr">
        <is>
          <t>Restaurantes e similares</t>
        </is>
      </c>
      <c r="AS204" s="29" t="inlineStr">
        <is>
          <t>DEMAIS</t>
        </is>
      </c>
      <c r="AT204" s="29" t="inlineStr">
        <is>
          <t>MID-MARKET</t>
        </is>
      </c>
      <c r="AU204" s="29" t="inlineStr">
        <is>
          <t>20120709</t>
        </is>
      </c>
      <c r="AV204" s="29" t="n">
        <v>1</v>
      </c>
      <c r="AW204" s="29" t="inlineStr">
        <is>
          <t>ROWS:p5r25 UNRECONCILED_SOURCE VALUE_COL:Valor</t>
        </is>
      </c>
    </row>
    <row r="205">
      <c r="A205" s="15" t="inlineStr">
        <is>
          <t>COBREMACK INDUSTRIA DE CONDUTORES ELETRICOS LIMITADA EM RECUPERACAO JUDICIAL EM RECUPERACAO JUDICIAL</t>
        </is>
      </c>
      <c r="B205" s="16" t="n">
        <v>611009.25</v>
      </c>
      <c r="C205" s="17" t="inlineStr">
        <is>
          <t>Conduscabos Brasil Indústria Comércio de</t>
        </is>
      </c>
      <c r="D205" s="18" t="inlineStr">
        <is>
          <t>NEW</t>
        </is>
      </c>
      <c r="E205" s="19" t="inlineStr"/>
      <c r="F205" s="18" t="inlineStr"/>
      <c r="G205" s="19" t="inlineStr"/>
      <c r="H205" s="18" t="inlineStr"/>
      <c r="I205" s="20" t="inlineStr">
        <is>
          <t>JOSE CARLOS MENDES MATUIAMA</t>
        </is>
      </c>
      <c r="J205" s="20" t="inlineStr">
        <is>
          <t>Sócio-Administrador</t>
        </is>
      </c>
      <c r="K205" s="20" t="inlineStr">
        <is>
          <t>(11) 4156-5531</t>
        </is>
      </c>
      <c r="L205" s="20" t="inlineStr"/>
      <c r="M205" s="20" t="inlineStr"/>
      <c r="N205" s="20" t="inlineStr"/>
      <c r="O205" s="20" t="inlineStr"/>
      <c r="P205" s="20" t="inlineStr"/>
      <c r="Q205" s="20" t="inlineStr"/>
      <c r="R205" s="20" t="inlineStr"/>
      <c r="S205" s="20" t="inlineStr"/>
      <c r="T205" s="21" t="n">
        <v>611009.25</v>
      </c>
      <c r="U205" s="22" t="inlineStr">
        <is>
          <t>B</t>
        </is>
      </c>
      <c r="V205" s="23">
        <f>IFERROR(VLOOKUP(U205,Assumptions!$A$7:$D$11,2,FALSE),0)</f>
        <v/>
      </c>
      <c r="W205" s="24">
        <f>MAX(0.5,IFERROR(VLOOKUP(U205,Assumptions!$A$7:$D$11,3,FALSE),3)+IFERROR(VLOOKUP(U205,Assumptions!$A$7:$D$11,4,FALSE),8)/2-IF(AN205="",0,YEAR(TODAY())-AN205))</f>
        <v/>
      </c>
      <c r="X205" s="21">
        <f>T205*V205/(1+Assumptions!$B$3)^W205</f>
        <v/>
      </c>
      <c r="Y205" s="25">
        <f>IF(T205=0,"",ROUND(X205/T205*100,1))</f>
        <v/>
      </c>
      <c r="Z205" s="26">
        <f>X205*Assumptions!$B$4</f>
        <v/>
      </c>
      <c r="AA205" s="25">
        <f>IF(T205=0,"",ROUND(Z205/T205*100,1))</f>
        <v/>
      </c>
      <c r="AB205" s="26">
        <f>X205-Z205</f>
        <v/>
      </c>
      <c r="AC205" s="25">
        <f>IF(T205=0,"",ROUND((X205-Z205)/T205*100,1))</f>
        <v/>
      </c>
      <c r="AD205" s="27" t="inlineStr">
        <is>
          <t>ESTIMATED</t>
        </is>
      </c>
      <c r="AE205" s="28" t="inlineStr">
        <is>
          <t>https://assistjud.com.br/wp-content/uploads/elementor/forms/65098c80a5824.pdf</t>
        </is>
      </c>
      <c r="AF205" s="27" t="inlineStr">
        <is>
          <t>p6 r8; p17 r10</t>
        </is>
      </c>
      <c r="AG205" s="27" t="inlineStr">
        <is>
          <t>p6: R$ 420.273,65; p17: R$ 190.735,60</t>
        </is>
      </c>
      <c r="AH205" s="27" t="inlineStr">
        <is>
          <t>AJ_LIST</t>
        </is>
      </c>
      <c r="AI205" s="27" t="inlineStr">
        <is>
          <t>2023-09-18</t>
        </is>
      </c>
      <c r="AJ205" s="27" t="inlineStr">
        <is>
          <t>OK_NO_TOTALS</t>
        </is>
      </c>
      <c r="AK205" s="29" t="inlineStr">
        <is>
          <t>8005129-09.2023.8.05.0039</t>
        </is>
      </c>
      <c r="AL205" s="29" t="inlineStr">
        <is>
          <t>TJBA</t>
        </is>
      </c>
      <c r="AM205" s="29" t="inlineStr">
        <is>
          <t>ACTIVE</t>
        </is>
      </c>
      <c r="AN205" s="29" t="n">
        <v>2023</v>
      </c>
      <c r="AO205" s="29" t="inlineStr">
        <is>
          <t>live case, no plan document yet</t>
        </is>
      </c>
      <c r="AP205" s="29" t="inlineStr">
        <is>
          <t>LAURO DE FREITAS</t>
        </is>
      </c>
      <c r="AQ205" s="29" t="inlineStr">
        <is>
          <t>BA</t>
        </is>
      </c>
      <c r="AR205" s="29" t="inlineStr">
        <is>
          <t>Fabricação de fios, cabos e condutores elétricos isolados</t>
        </is>
      </c>
      <c r="AS205" s="29" t="inlineStr">
        <is>
          <t>DEMAIS</t>
        </is>
      </c>
      <c r="AT205" s="29" t="inlineStr">
        <is>
          <t>MID-MARKET</t>
        </is>
      </c>
      <c r="AU205" s="29" t="inlineStr">
        <is>
          <t>11065453</t>
        </is>
      </c>
      <c r="AV205" s="29" t="n">
        <v>2</v>
      </c>
      <c r="AW205" s="29" t="inlineStr">
        <is>
          <t>ROWS:p6r8,p17r10 UNRECONCILED_SOURCE VALUE_COL:Valor_Do_Crédito_2º_Edital_De_Credores</t>
        </is>
      </c>
    </row>
    <row r="206">
      <c r="A206" s="15" t="inlineStr">
        <is>
          <t>PILLARES PROJETOS E CONSTRUCOES LTDA</t>
        </is>
      </c>
      <c r="B206" s="16" t="n">
        <v>950000</v>
      </c>
      <c r="C206" s="17" t="inlineStr">
        <is>
          <t>GRUPO CASAS BAHIA S.A.</t>
        </is>
      </c>
      <c r="D206" s="18" t="inlineStr">
        <is>
          <t>NEW</t>
        </is>
      </c>
      <c r="E206" s="19" t="inlineStr"/>
      <c r="F206" s="18" t="inlineStr"/>
      <c r="G206" s="19" t="inlineStr"/>
      <c r="H206" s="18" t="inlineStr"/>
      <c r="I206" s="20" t="inlineStr">
        <is>
          <t>MARLENE MARIA PALUDO GOEDERT</t>
        </is>
      </c>
      <c r="J206" s="20" t="inlineStr">
        <is>
          <t>Sócio-Administrador</t>
        </is>
      </c>
      <c r="K206" s="20" t="inlineStr">
        <is>
          <t>(49) 3441-0655</t>
        </is>
      </c>
      <c r="L206" s="20" t="inlineStr"/>
      <c r="M206" s="20" t="inlineStr"/>
      <c r="N206" s="20" t="inlineStr"/>
      <c r="O206" s="20" t="inlineStr"/>
      <c r="P206" s="20" t="inlineStr">
        <is>
          <t>NADIR MATTIELLO</t>
        </is>
      </c>
      <c r="Q206" s="20" t="inlineStr">
        <is>
          <t>Sócio-Administrador</t>
        </is>
      </c>
      <c r="R206" s="20" t="inlineStr">
        <is>
          <t>(49) 3441-0655</t>
        </is>
      </c>
      <c r="S206" s="20" t="inlineStr"/>
      <c r="T206" s="21" t="n">
        <v>950000</v>
      </c>
      <c r="U206" s="22" t="inlineStr">
        <is>
          <t>B</t>
        </is>
      </c>
      <c r="V206" s="23">
        <f>IFERROR(VLOOKUP(U206,Assumptions!$A$7:$D$11,2,FALSE),0)</f>
        <v/>
      </c>
      <c r="W206" s="24">
        <f>MAX(0.5,IFERROR(VLOOKUP(U206,Assumptions!$A$7:$D$11,3,FALSE),3)+IFERROR(VLOOKUP(U206,Assumptions!$A$7:$D$11,4,FALSE),8)/2-IF(AN206="",0,YEAR(TODAY())-AN206))</f>
        <v/>
      </c>
      <c r="X206" s="21">
        <f>T206*V206/(1+Assumptions!$B$3)^W206</f>
        <v/>
      </c>
      <c r="Y206" s="25">
        <f>IF(T206=0,"",ROUND(X206/T206*100,1))</f>
        <v/>
      </c>
      <c r="Z206" s="26">
        <f>X206*Assumptions!$B$4</f>
        <v/>
      </c>
      <c r="AA206" s="25">
        <f>IF(T206=0,"",ROUND(Z206/T206*100,1))</f>
        <v/>
      </c>
      <c r="AB206" s="26">
        <f>X206-Z206</f>
        <v/>
      </c>
      <c r="AC206" s="25">
        <f>IF(T206=0,"",ROUND((X206-Z206)/T206*100,1))</f>
        <v/>
      </c>
      <c r="AD206" s="27" t="inlineStr">
        <is>
          <t>UNKNOWN</t>
        </is>
      </c>
      <c r="AE206" s="28" t="inlineStr">
        <is>
          <t>https://scalzilliaj.com.br/sgc/download.php?file=files/processo_documento/processo_documento15180810062026_1_.pdf&amp;nome=10 - Relação de credores do art. 7º, §2º, da Lei 11.101/2005</t>
        </is>
      </c>
      <c r="AF206" s="27" t="inlineStr">
        <is>
          <t>p2 r21</t>
        </is>
      </c>
      <c r="AG206" s="27" t="inlineStr">
        <is>
          <t>p2: R$ 950.000,00</t>
        </is>
      </c>
      <c r="AH206" s="27" t="inlineStr">
        <is>
          <t>AJ_LIST</t>
        </is>
      </c>
      <c r="AI206" s="27" t="inlineStr"/>
      <c r="AJ206" s="27" t="inlineStr">
        <is>
          <t>OK_NO_TOTALS</t>
        </is>
      </c>
      <c r="AK206" s="29" t="inlineStr">
        <is>
          <t>5009529-81.2025.8.24.0019</t>
        </is>
      </c>
      <c r="AL206" s="29" t="inlineStr">
        <is>
          <t>TJ</t>
        </is>
      </c>
      <c r="AM206" s="29" t="inlineStr"/>
      <c r="AN206" s="29" t="n">
        <v>2025</v>
      </c>
      <c r="AO206" s="29" t="inlineStr">
        <is>
          <t>live case, no plan document yet</t>
        </is>
      </c>
      <c r="AP206" s="29" t="inlineStr">
        <is>
          <t>CONCORDIA</t>
        </is>
      </c>
      <c r="AQ206" s="29" t="inlineStr">
        <is>
          <t>SC</t>
        </is>
      </c>
      <c r="AR206" s="29" t="inlineStr">
        <is>
          <t>Construção de edifícios</t>
        </is>
      </c>
      <c r="AS206" s="29" t="inlineStr">
        <is>
          <t>DEMAIS</t>
        </is>
      </c>
      <c r="AT206" s="29" t="inlineStr">
        <is>
          <t>MID-MARKET</t>
        </is>
      </c>
      <c r="AU206" s="29" t="inlineStr">
        <is>
          <t>83195628</t>
        </is>
      </c>
      <c r="AV206" s="29" t="n">
        <v>1</v>
      </c>
      <c r="AW206" s="29" t="inlineStr">
        <is>
          <t>ROWS:p2r21 UNRECONCILED_SOURCE</t>
        </is>
      </c>
    </row>
    <row r="207">
      <c r="A207" s="15" t="inlineStr">
        <is>
          <t>UNIPETRO NOVA ANDRADINA DISTRIBUIDORA DE PETROLEO LTDA</t>
        </is>
      </c>
      <c r="B207" s="16" t="n">
        <v>753950</v>
      </c>
      <c r="C207" s="17" t="inlineStr">
        <is>
          <t>AEGRO INFORMATICA LIMITADA</t>
        </is>
      </c>
      <c r="D207" s="18" t="inlineStr">
        <is>
          <t>NEW</t>
        </is>
      </c>
      <c r="E207" s="19" t="inlineStr"/>
      <c r="F207" s="18" t="inlineStr"/>
      <c r="G207" s="19" t="inlineStr"/>
      <c r="H207" s="18" t="inlineStr"/>
      <c r="I207" s="20" t="inlineStr">
        <is>
          <t>Carlos Batista</t>
        </is>
      </c>
      <c r="J207" s="20" t="inlineStr">
        <is>
          <t>General Manager</t>
        </is>
      </c>
      <c r="K207" s="20" t="inlineStr">
        <is>
          <t>(11) 3990-4090</t>
        </is>
      </c>
      <c r="L207" s="20" t="inlineStr"/>
      <c r="M207" s="20" t="inlineStr"/>
      <c r="N207" s="20" t="inlineStr">
        <is>
          <t>gerencia@unipetroprudente.com.br</t>
        </is>
      </c>
      <c r="O207" s="20" t="inlineStr"/>
      <c r="P207" s="20" t="inlineStr">
        <is>
          <t>ANTONIO FERREIRA DE SOUZA GASPAR</t>
        </is>
      </c>
      <c r="Q207" s="20" t="inlineStr">
        <is>
          <t>Sócio-Administrador</t>
        </is>
      </c>
      <c r="R207" s="20" t="inlineStr">
        <is>
          <t>(11) 3990-4090</t>
        </is>
      </c>
      <c r="S207" s="20" t="inlineStr"/>
      <c r="T207" s="21" t="n">
        <v>753950</v>
      </c>
      <c r="U207" s="22" t="inlineStr">
        <is>
          <t>B</t>
        </is>
      </c>
      <c r="V207" s="23">
        <f>IFERROR(VLOOKUP(U207,Assumptions!$A$7:$D$11,2,FALSE),0)</f>
        <v/>
      </c>
      <c r="W207" s="24">
        <f>MAX(0.5,IFERROR(VLOOKUP(U207,Assumptions!$A$7:$D$11,3,FALSE),3)+IFERROR(VLOOKUP(U207,Assumptions!$A$7:$D$11,4,FALSE),8)/2-IF(AN207="",0,YEAR(TODAY())-AN207))</f>
        <v/>
      </c>
      <c r="X207" s="21">
        <f>T207*V207/(1+Assumptions!$B$3)^W207</f>
        <v/>
      </c>
      <c r="Y207" s="25">
        <f>IF(T207=0,"",ROUND(X207/T207*100,1))</f>
        <v/>
      </c>
      <c r="Z207" s="26">
        <f>X207*Assumptions!$B$4</f>
        <v/>
      </c>
      <c r="AA207" s="25">
        <f>IF(T207=0,"",ROUND(Z207/T207*100,1))</f>
        <v/>
      </c>
      <c r="AB207" s="26">
        <f>X207-Z207</f>
        <v/>
      </c>
      <c r="AC207" s="25">
        <f>IF(T207=0,"",ROUND((X207-Z207)/T207*100,1))</f>
        <v/>
      </c>
      <c r="AD207" s="27" t="inlineStr">
        <is>
          <t>ESTIMATED</t>
        </is>
      </c>
      <c r="AE207" s="28" t="inlineStr">
        <is>
          <t>https://scalzilliaj.com.br/sgc/download.php?file=files/processo_documento/processo_documento15542620022025_1_.pdf&amp;nome=11 - Relação de credores - art. 7º, §2º, da LREF</t>
        </is>
      </c>
      <c r="AF207" s="27" t="inlineStr">
        <is>
          <t>p1 r4</t>
        </is>
      </c>
      <c r="AG207" s="27" t="inlineStr">
        <is>
          <t>p1: R$ 753.950,00</t>
        </is>
      </c>
      <c r="AH207" s="27" t="inlineStr">
        <is>
          <t>AJ_LIST</t>
        </is>
      </c>
      <c r="AI207" s="27" t="inlineStr">
        <is>
          <t>2025-02-19</t>
        </is>
      </c>
      <c r="AJ207" s="27" t="inlineStr">
        <is>
          <t>OK_NO_TOTALS</t>
        </is>
      </c>
      <c r="AK207" s="29" t="inlineStr">
        <is>
          <t>0028131-73.2024.8.16.0017</t>
        </is>
      </c>
      <c r="AL207" s="29" t="inlineStr">
        <is>
          <t>TJPR</t>
        </is>
      </c>
      <c r="AM207" s="29" t="inlineStr">
        <is>
          <t>ACTIVE</t>
        </is>
      </c>
      <c r="AN207" s="29" t="n">
        <v>2024</v>
      </c>
      <c r="AO207" s="29" t="inlineStr">
        <is>
          <t>live case, no plan document yet</t>
        </is>
      </c>
      <c r="AP207" s="29" t="inlineStr">
        <is>
          <t>NOVA ANDRADINA</t>
        </is>
      </c>
      <c r="AQ207" s="29" t="inlineStr">
        <is>
          <t>MS</t>
        </is>
      </c>
      <c r="AR207" s="29" t="inlineStr">
        <is>
          <t>Comércio atacadista de combustíveis realizado por transportador retalhista (T.R.R.)</t>
        </is>
      </c>
      <c r="AS207" s="29" t="inlineStr">
        <is>
          <t>DEMAIS</t>
        </is>
      </c>
      <c r="AT207" s="29" t="inlineStr">
        <is>
          <t>MID-MARKET</t>
        </is>
      </c>
      <c r="AU207" s="29" t="inlineStr">
        <is>
          <t>00210633</t>
        </is>
      </c>
      <c r="AV207" s="29" t="n">
        <v>1</v>
      </c>
      <c r="AW207" s="29" t="inlineStr">
        <is>
          <t>ROWS:p1r4 UNRECONCILED_SOURCE</t>
        </is>
      </c>
    </row>
    <row r="208">
      <c r="A208" s="15" t="inlineStr">
        <is>
          <t>BRUSINOX INDUSTRIA COMERCIO MAQUINAS EQUIPAMENTOS LTDA.</t>
        </is>
      </c>
      <c r="B208" s="16" t="n">
        <v>870843.88</v>
      </c>
      <c r="C208" s="17" t="inlineStr">
        <is>
          <t>COMERCIO RACOES BEM BOM LTDA</t>
        </is>
      </c>
      <c r="D208" s="18" t="inlineStr">
        <is>
          <t>NEW</t>
        </is>
      </c>
      <c r="E208" s="19" t="inlineStr"/>
      <c r="F208" s="18" t="inlineStr"/>
      <c r="G208" s="19" t="inlineStr"/>
      <c r="H208" s="18" t="inlineStr"/>
      <c r="I208" s="20" t="inlineStr">
        <is>
          <t>Simoni Bertolini</t>
        </is>
      </c>
      <c r="J208" s="20" t="inlineStr">
        <is>
          <t>Auxiliar Administrativo - Endomarketing e Assistente Financeiro</t>
        </is>
      </c>
      <c r="K208" s="20" t="inlineStr">
        <is>
          <t>(47) 3351-4500</t>
        </is>
      </c>
      <c r="L208" s="20" t="inlineStr"/>
      <c r="M208" s="20" t="inlineStr"/>
      <c r="N208" s="20" t="inlineStr">
        <is>
          <t>aux.adm@brusinox.com.br</t>
        </is>
      </c>
      <c r="O208" s="20" t="inlineStr"/>
      <c r="P208" s="20" t="inlineStr">
        <is>
          <t>CELSO FERNANDES</t>
        </is>
      </c>
      <c r="Q208" s="20" t="inlineStr">
        <is>
          <t>Sócio-Administrador</t>
        </is>
      </c>
      <c r="R208" s="20" t="inlineStr">
        <is>
          <t>(47) 3351-4500</t>
        </is>
      </c>
      <c r="S208" s="20" t="inlineStr"/>
      <c r="T208" s="21" t="n">
        <v>870843.88</v>
      </c>
      <c r="U208" s="32" t="inlineStr">
        <is>
          <t>A</t>
        </is>
      </c>
      <c r="V208" s="23">
        <f>IFERROR(VLOOKUP(U208,Assumptions!$A$7:$D$11,2,FALSE),0)</f>
        <v/>
      </c>
      <c r="W208" s="24">
        <f>MAX(0.5,IFERROR(VLOOKUP(U208,Assumptions!$A$7:$D$11,3,FALSE),3)+IFERROR(VLOOKUP(U208,Assumptions!$A$7:$D$11,4,FALSE),8)/2-IF(AN208="",0,YEAR(TODAY())-AN208))</f>
        <v/>
      </c>
      <c r="X208" s="21">
        <f>T208*V208/(1+Assumptions!$B$3)^W208</f>
        <v/>
      </c>
      <c r="Y208" s="25">
        <f>IF(T208=0,"",ROUND(X208/T208*100,1))</f>
        <v/>
      </c>
      <c r="Z208" s="26">
        <f>X208*Assumptions!$B$4</f>
        <v/>
      </c>
      <c r="AA208" s="25">
        <f>IF(T208=0,"",ROUND(Z208/T208*100,1))</f>
        <v/>
      </c>
      <c r="AB208" s="26">
        <f>X208-Z208</f>
        <v/>
      </c>
      <c r="AC208" s="25">
        <f>IF(T208=0,"",ROUND((X208-Z208)/T208*100,1))</f>
        <v/>
      </c>
      <c r="AD208" s="27" t="inlineStr">
        <is>
          <t>CONFIRMED</t>
        </is>
      </c>
      <c r="AE208" s="28" t="inlineStr">
        <is>
          <t>https://stenius.com.br/wp-content/uploads/2026/06/EDITAL-GRUPO-3E.pdf</t>
        </is>
      </c>
      <c r="AF208" s="27" t="inlineStr">
        <is>
          <t>p11 r17</t>
        </is>
      </c>
      <c r="AG208" s="27" t="inlineStr">
        <is>
          <t>p11: R$ 870.843,88</t>
        </is>
      </c>
      <c r="AH208" s="27" t="inlineStr">
        <is>
          <t>DEBTOR_LIST</t>
        </is>
      </c>
      <c r="AI208" s="27" t="inlineStr">
        <is>
          <t>2026-06-22</t>
        </is>
      </c>
      <c r="AJ208" s="27" t="inlineStr">
        <is>
          <t>OK_NO_TOTALS</t>
        </is>
      </c>
      <c r="AK208" s="29" t="inlineStr">
        <is>
          <t>5341375-33.2026.8.09.0049</t>
        </is>
      </c>
      <c r="AL208" s="29" t="inlineStr">
        <is>
          <t>TJGO</t>
        </is>
      </c>
      <c r="AM208" s="29" t="inlineStr">
        <is>
          <t>ACTIVE</t>
        </is>
      </c>
      <c r="AN208" s="29" t="n">
        <v>2026</v>
      </c>
      <c r="AO208" s="29" t="inlineStr">
        <is>
          <t>plan/homologation document found</t>
        </is>
      </c>
      <c r="AP208" s="29" t="inlineStr">
        <is>
          <t>BRUSQUE</t>
        </is>
      </c>
      <c r="AQ208" s="29" t="inlineStr">
        <is>
          <t>SC</t>
        </is>
      </c>
      <c r="AR208" s="29" t="inlineStr">
        <is>
          <t>Fabricação de outras máquinas e equipamentos de uso geral não especificados anteriormente, peças e acessórios</t>
        </is>
      </c>
      <c r="AS208" s="29" t="inlineStr">
        <is>
          <t>DEMAIS</t>
        </is>
      </c>
      <c r="AT208" s="29" t="inlineStr">
        <is>
          <t>MID-MARKET</t>
        </is>
      </c>
      <c r="AU208" s="29" t="inlineStr">
        <is>
          <t>00939873</t>
        </is>
      </c>
      <c r="AV208" s="29" t="n">
        <v>1</v>
      </c>
      <c r="AW208" s="29" t="inlineStr">
        <is>
          <t>ROWS:p11r17 UNRECONCILED_SOURCE</t>
        </is>
      </c>
    </row>
    <row r="209">
      <c r="A209" s="15" t="inlineStr">
        <is>
          <t>NORTEAGRI COMERCIO E REPRESENTACOES DE INSUMOS AGROPECUARIOS LTDA</t>
        </is>
      </c>
      <c r="B209" s="16" t="n">
        <v>1155000</v>
      </c>
      <c r="C209" s="17" t="inlineStr">
        <is>
          <t>TENDAS E COMPANHIA LTDA</t>
        </is>
      </c>
      <c r="D209" s="18" t="inlineStr">
        <is>
          <t>NEW</t>
        </is>
      </c>
      <c r="E209" s="19" t="inlineStr"/>
      <c r="F209" s="18" t="inlineStr"/>
      <c r="G209" s="19" t="inlineStr"/>
      <c r="H209" s="18" t="inlineStr"/>
      <c r="I209" s="20" t="inlineStr">
        <is>
          <t>Dionatan Follmann</t>
        </is>
      </c>
      <c r="J209" s="20" t="inlineStr">
        <is>
          <t>Manager / Subsidiary Manager</t>
        </is>
      </c>
      <c r="K209" s="20" t="inlineStr">
        <is>
          <t>(94) 9192-4705</t>
        </is>
      </c>
      <c r="L209" s="20" t="inlineStr"/>
      <c r="M209" s="20" t="inlineStr"/>
      <c r="N209" s="20" t="inlineStr"/>
      <c r="O209" s="20" t="inlineStr"/>
      <c r="P209" s="20" t="inlineStr"/>
      <c r="Q209" s="20" t="inlineStr"/>
      <c r="R209" s="20" t="inlineStr"/>
      <c r="S209" s="20" t="inlineStr"/>
      <c r="T209" s="21" t="n">
        <v>1155000</v>
      </c>
      <c r="U209" s="22" t="inlineStr">
        <is>
          <t>B</t>
        </is>
      </c>
      <c r="V209" s="23">
        <f>IFERROR(VLOOKUP(U209,Assumptions!$A$7:$D$11,2,FALSE),0)</f>
        <v/>
      </c>
      <c r="W209" s="24">
        <f>MAX(0.5,IFERROR(VLOOKUP(U209,Assumptions!$A$7:$D$11,3,FALSE),3)+IFERROR(VLOOKUP(U209,Assumptions!$A$7:$D$11,4,FALSE),8)/2-IF(AN209="",0,YEAR(TODAY())-AN209))</f>
        <v/>
      </c>
      <c r="X209" s="21">
        <f>T209*V209/(1+Assumptions!$B$3)^W209</f>
        <v/>
      </c>
      <c r="Y209" s="25">
        <f>IF(T209=0,"",ROUND(X209/T209*100,1))</f>
        <v/>
      </c>
      <c r="Z209" s="26">
        <f>X209*Assumptions!$B$4</f>
        <v/>
      </c>
      <c r="AA209" s="25">
        <f>IF(T209=0,"",ROUND(Z209/T209*100,1))</f>
        <v/>
      </c>
      <c r="AB209" s="26">
        <f>X209-Z209</f>
        <v/>
      </c>
      <c r="AC209" s="25">
        <f>IF(T209=0,"",ROUND((X209-Z209)/T209*100,1))</f>
        <v/>
      </c>
      <c r="AD209" s="27" t="inlineStr">
        <is>
          <t>ESTIMATED</t>
        </is>
      </c>
      <c r="AE209" s="28" t="inlineStr">
        <is>
          <t>https://stenius.com.br/wp-content/uploads/2026/08/1°-EDITAL-GRUPO-TENDAS.pdf</t>
        </is>
      </c>
      <c r="AF209" s="27" t="inlineStr">
        <is>
          <t>p5 r27</t>
        </is>
      </c>
      <c r="AG209" s="27" t="inlineStr">
        <is>
          <t>p5: R$ 1.155.000,00</t>
        </is>
      </c>
      <c r="AH209" s="27" t="inlineStr">
        <is>
          <t>AJ_LIST</t>
        </is>
      </c>
      <c r="AI209" s="27" t="inlineStr">
        <is>
          <t>2026-08-13</t>
        </is>
      </c>
      <c r="AJ209" s="27" t="inlineStr">
        <is>
          <t>OK_NO_TOTALS</t>
        </is>
      </c>
      <c r="AK209" s="29" t="inlineStr">
        <is>
          <t>5401053-70.2026.8.09.0051</t>
        </is>
      </c>
      <c r="AL209" s="29" t="inlineStr">
        <is>
          <t>TJGO</t>
        </is>
      </c>
      <c r="AM209" s="29" t="inlineStr">
        <is>
          <t>ACTIVE</t>
        </is>
      </c>
      <c r="AN209" s="29" t="n">
        <v>2026</v>
      </c>
      <c r="AO209" s="29" t="inlineStr">
        <is>
          <t>live case, no plan document yet</t>
        </is>
      </c>
      <c r="AP209" s="29" t="inlineStr">
        <is>
          <t>REDENCAO</t>
        </is>
      </c>
      <c r="AQ209" s="29" t="inlineStr">
        <is>
          <t>PA</t>
        </is>
      </c>
      <c r="AR209" s="29" t="inlineStr">
        <is>
          <t>Comércio atacadista de mercadorias em geral, com predominância de insumos agropecuários</t>
        </is>
      </c>
      <c r="AS209" s="29" t="inlineStr">
        <is>
          <t>DEMAIS</t>
        </is>
      </c>
      <c r="AT209" s="29" t="inlineStr">
        <is>
          <t>MID-MARKET</t>
        </is>
      </c>
      <c r="AU209" s="29" t="inlineStr">
        <is>
          <t>20431395</t>
        </is>
      </c>
      <c r="AV209" s="29" t="n">
        <v>1</v>
      </c>
      <c r="AW209" s="29" t="inlineStr">
        <is>
          <t>ROWS:p5r27 UNRECONCILED_SOURCE VALUE_COL:Valor</t>
        </is>
      </c>
    </row>
    <row r="210">
      <c r="A210" s="15" t="inlineStr">
        <is>
          <t>SUPRA EMBALAGENS LTDA</t>
        </is>
      </c>
      <c r="B210" s="16" t="n">
        <v>587814.25</v>
      </c>
      <c r="C210" s="17" t="inlineStr"/>
      <c r="D210" s="18" t="inlineStr">
        <is>
          <t>NEW</t>
        </is>
      </c>
      <c r="E210" s="19" t="inlineStr"/>
      <c r="F210" s="18" t="inlineStr"/>
      <c r="G210" s="19" t="inlineStr"/>
      <c r="H210" s="18" t="inlineStr"/>
      <c r="I210" s="20" t="inlineStr">
        <is>
          <t>EDILSON ARAUJO MARTINS</t>
        </is>
      </c>
      <c r="J210" s="20" t="inlineStr">
        <is>
          <t>Sócio-Administrador</t>
        </is>
      </c>
      <c r="K210" s="20" t="inlineStr">
        <is>
          <t>(42) 3627-7722</t>
        </is>
      </c>
      <c r="L210" s="20" t="inlineStr"/>
      <c r="M210" s="20" t="inlineStr"/>
      <c r="N210" s="20" t="inlineStr"/>
      <c r="O210" s="20" t="inlineStr"/>
      <c r="P210" s="20" t="inlineStr">
        <is>
          <t>LUIZ CARLOS DE OLIVEIRA</t>
        </is>
      </c>
      <c r="Q210" s="20" t="inlineStr">
        <is>
          <t>Sócio-Administrador</t>
        </is>
      </c>
      <c r="R210" s="20" t="inlineStr">
        <is>
          <t>(42) 3627-7722</t>
        </is>
      </c>
      <c r="S210" s="20" t="inlineStr"/>
      <c r="T210" s="21" t="n">
        <v>587814.25</v>
      </c>
      <c r="U210" s="22" t="inlineStr">
        <is>
          <t>B</t>
        </is>
      </c>
      <c r="V210" s="23">
        <f>IFERROR(VLOOKUP(U210,Assumptions!$A$7:$D$11,2,FALSE),0)</f>
        <v/>
      </c>
      <c r="W210" s="24">
        <f>MAX(0.5,IFERROR(VLOOKUP(U210,Assumptions!$A$7:$D$11,3,FALSE),3)+IFERROR(VLOOKUP(U210,Assumptions!$A$7:$D$11,4,FALSE),8)/2-IF(AN210="",0,YEAR(TODAY())-AN210))</f>
        <v/>
      </c>
      <c r="X210" s="21">
        <f>T210*V210/(1+Assumptions!$B$3)^W210</f>
        <v/>
      </c>
      <c r="Y210" s="25">
        <f>IF(T210=0,"",ROUND(X210/T210*100,1))</f>
        <v/>
      </c>
      <c r="Z210" s="26">
        <f>X210*Assumptions!$B$4</f>
        <v/>
      </c>
      <c r="AA210" s="25">
        <f>IF(T210=0,"",ROUND(Z210/T210*100,1))</f>
        <v/>
      </c>
      <c r="AB210" s="26">
        <f>X210-Z210</f>
        <v/>
      </c>
      <c r="AC210" s="25">
        <f>IF(T210=0,"",ROUND((X210-Z210)/T210*100,1))</f>
        <v/>
      </c>
      <c r="AD210" s="27" t="inlineStr">
        <is>
          <t>ESTIMATED</t>
        </is>
      </c>
      <c r="AE210" s="28" t="inlineStr">
        <is>
          <t>https://cataliseaj.com.br/sgc/download.php?file=files/processo_documento/processo_documento15092204102024_1_.pdf&amp;nome=02. RELAÇÃO DE CREDORES</t>
        </is>
      </c>
      <c r="AF210" s="27" t="inlineStr">
        <is>
          <t>p3 r22</t>
        </is>
      </c>
      <c r="AG210" s="27" t="inlineStr">
        <is>
          <t>p3: R$ 587.814,25</t>
        </is>
      </c>
      <c r="AH210" s="27" t="inlineStr">
        <is>
          <t>DEBTOR_LIST</t>
        </is>
      </c>
      <c r="AI210" s="27" t="inlineStr"/>
      <c r="AJ210" s="27" t="inlineStr">
        <is>
          <t>OK_NO_TOTALS</t>
        </is>
      </c>
      <c r="AK210" s="29" t="inlineStr">
        <is>
          <t>5011460-87.2023.8.24.0020</t>
        </is>
      </c>
      <c r="AL210" s="29" t="inlineStr">
        <is>
          <t>TJSC</t>
        </is>
      </c>
      <c r="AM210" s="29" t="inlineStr">
        <is>
          <t>ACTIVE</t>
        </is>
      </c>
      <c r="AN210" s="29" t="n">
        <v>2023</v>
      </c>
      <c r="AO210" s="29" t="inlineStr">
        <is>
          <t>live case, no plan document yet</t>
        </is>
      </c>
      <c r="AP210" s="29" t="inlineStr">
        <is>
          <t>GUARAPUAVA</t>
        </is>
      </c>
      <c r="AQ210" s="29" t="inlineStr">
        <is>
          <t>PR</t>
        </is>
      </c>
      <c r="AR210" s="29" t="inlineStr">
        <is>
          <t>Fabricação de embalagens de material plástico</t>
        </is>
      </c>
      <c r="AS210" s="29" t="inlineStr">
        <is>
          <t>DEMAIS</t>
        </is>
      </c>
      <c r="AT210" s="29" t="inlineStr">
        <is>
          <t>MID-MARKET</t>
        </is>
      </c>
      <c r="AU210" s="29" t="inlineStr">
        <is>
          <t>08582585</t>
        </is>
      </c>
      <c r="AV210" s="29" t="n">
        <v>1</v>
      </c>
      <c r="AW210" s="29" t="inlineStr">
        <is>
          <t>ROWS:p3r22 UNRECONCILED_SOURCE</t>
        </is>
      </c>
    </row>
    <row r="211">
      <c r="A211" s="15" t="inlineStr">
        <is>
          <t>TOTVS S.A.</t>
        </is>
      </c>
      <c r="B211" s="16" t="n">
        <v>584334.6800000001</v>
      </c>
      <c r="C211" s="17" t="inlineStr">
        <is>
          <t>REAL DISTRIBUIDORA ÚNICA RIO COMÉRCIO DE REFRIGERAÇÃO LTDA</t>
        </is>
      </c>
      <c r="D211" s="18" t="inlineStr">
        <is>
          <t>NEW</t>
        </is>
      </c>
      <c r="E211" s="19" t="inlineStr"/>
      <c r="F211" s="18" t="inlineStr"/>
      <c r="G211" s="19" t="inlineStr"/>
      <c r="H211" s="18" t="inlineStr"/>
      <c r="I211" s="20" t="inlineStr">
        <is>
          <t>Maiara Parisotto</t>
        </is>
      </c>
      <c r="J211" s="20" t="inlineStr">
        <is>
          <t>Gerente de Contas a Receber, Crédito e Cobrança</t>
        </is>
      </c>
      <c r="K211" s="20" t="inlineStr">
        <is>
          <t>(11) 4004-0015</t>
        </is>
      </c>
      <c r="L211" s="20" t="inlineStr"/>
      <c r="M211" s="20" t="inlineStr"/>
      <c r="N211" s="20" t="inlineStr">
        <is>
          <t>maiara.parisotto@totvs.com.br</t>
        </is>
      </c>
      <c r="O211" s="20" t="inlineStr"/>
      <c r="P211" s="20" t="inlineStr">
        <is>
          <t>ALEXANDRE HADDAD APENDINO</t>
        </is>
      </c>
      <c r="Q211" s="20" t="inlineStr">
        <is>
          <t>Diretor</t>
        </is>
      </c>
      <c r="R211" s="20" t="inlineStr">
        <is>
          <t>(11) 4004-0015</t>
        </is>
      </c>
      <c r="S211" s="20" t="inlineStr"/>
      <c r="T211" s="21" t="n">
        <v>584334.6800000001</v>
      </c>
      <c r="U211" s="22" t="inlineStr">
        <is>
          <t>B</t>
        </is>
      </c>
      <c r="V211" s="23">
        <f>IFERROR(VLOOKUP(U211,Assumptions!$A$7:$D$11,2,FALSE),0)</f>
        <v/>
      </c>
      <c r="W211" s="24">
        <f>MAX(0.5,IFERROR(VLOOKUP(U211,Assumptions!$A$7:$D$11,3,FALSE),3)+IFERROR(VLOOKUP(U211,Assumptions!$A$7:$D$11,4,FALSE),8)/2-IF(AN211="",0,YEAR(TODAY())-AN211))</f>
        <v/>
      </c>
      <c r="X211" s="21">
        <f>T211*V211/(1+Assumptions!$B$3)^W211</f>
        <v/>
      </c>
      <c r="Y211" s="25">
        <f>IF(T211=0,"",ROUND(X211/T211*100,1))</f>
        <v/>
      </c>
      <c r="Z211" s="26">
        <f>X211*Assumptions!$B$4</f>
        <v/>
      </c>
      <c r="AA211" s="25">
        <f>IF(T211=0,"",ROUND(Z211/T211*100,1))</f>
        <v/>
      </c>
      <c r="AB211" s="26">
        <f>X211-Z211</f>
        <v/>
      </c>
      <c r="AC211" s="25">
        <f>IF(T211=0,"",ROUND((X211-Z211)/T211*100,1))</f>
        <v/>
      </c>
      <c r="AD211" s="27" t="inlineStr">
        <is>
          <t>UNKNOWN</t>
        </is>
      </c>
      <c r="AE211" s="28" t="inlineStr">
        <is>
          <t>https://inova-aj.com.br/wp-content/uploads/2026/08/1a-Relacao-de-Credores-Real.pdf</t>
        </is>
      </c>
      <c r="AF211" s="27" t="inlineStr">
        <is>
          <t>p2 r11</t>
        </is>
      </c>
      <c r="AG211" s="27" t="inlineStr">
        <is>
          <t>p2: R$ 584.334,68</t>
        </is>
      </c>
      <c r="AH211" s="27" t="inlineStr">
        <is>
          <t>AJ_LIST</t>
        </is>
      </c>
      <c r="AI211" s="27" t="inlineStr">
        <is>
          <t>2023-06-05</t>
        </is>
      </c>
      <c r="AJ211" s="27" t="inlineStr">
        <is>
          <t>OK</t>
        </is>
      </c>
      <c r="AK211" s="29" t="inlineStr">
        <is>
          <t>0873061-47.2023.8.19.0001</t>
        </is>
      </c>
      <c r="AL211" s="29" t="inlineStr">
        <is>
          <t>TJ</t>
        </is>
      </c>
      <c r="AM211" s="29" t="inlineStr"/>
      <c r="AN211" s="29" t="n">
        <v>2023</v>
      </c>
      <c r="AO211" s="29" t="inlineStr">
        <is>
          <t>live case, no plan document yet</t>
        </is>
      </c>
      <c r="AP211" s="29" t="inlineStr">
        <is>
          <t>SAO PAULO</t>
        </is>
      </c>
      <c r="AQ211" s="29" t="inlineStr">
        <is>
          <t>SP</t>
        </is>
      </c>
      <c r="AR211" s="29" t="inlineStr">
        <is>
          <t>Desenvolvimento de programas de computador sob encomenda</t>
        </is>
      </c>
      <c r="AS211" s="29" t="inlineStr">
        <is>
          <t>DEMAIS</t>
        </is>
      </c>
      <c r="AT211" s="29" t="inlineStr">
        <is>
          <t>LARGE CORP</t>
        </is>
      </c>
      <c r="AU211" s="29" t="inlineStr">
        <is>
          <t>53113791</t>
        </is>
      </c>
      <c r="AV211" s="29" t="n">
        <v>1</v>
      </c>
      <c r="AW211" s="29" t="inlineStr">
        <is>
          <t>ALT_VALUE:R$424.874,45 ROWS:p2r11</t>
        </is>
      </c>
    </row>
    <row r="212">
      <c r="A212" s="15" t="inlineStr">
        <is>
          <t>ITW PPF BRASIL ADESIVOS LTDA.</t>
        </is>
      </c>
      <c r="B212" s="16" t="n">
        <v>662505.99</v>
      </c>
      <c r="C212" s="17" t="inlineStr"/>
      <c r="D212" s="18" t="inlineStr">
        <is>
          <t>NEW</t>
        </is>
      </c>
      <c r="E212" s="19" t="inlineStr"/>
      <c r="F212" s="18" t="inlineStr"/>
      <c r="G212" s="19" t="inlineStr"/>
      <c r="H212" s="18" t="inlineStr"/>
      <c r="I212" s="20" t="inlineStr">
        <is>
          <t>Sonia Rogatto</t>
        </is>
      </c>
      <c r="J212" s="20" t="inlineStr">
        <is>
          <t>VP &amp; General Manager, ITW Polymers South America</t>
        </is>
      </c>
      <c r="K212" s="20" t="inlineStr">
        <is>
          <t>(19) 2138-7643</t>
        </is>
      </c>
      <c r="L212" s="20" t="inlineStr">
        <is>
          <t>(19) 2138-7642</t>
        </is>
      </c>
      <c r="M212" s="20" t="inlineStr"/>
      <c r="N212" s="20" t="inlineStr">
        <is>
          <t>srogatto@itw.com.br</t>
        </is>
      </c>
      <c r="O212" s="20" t="inlineStr"/>
      <c r="P212" s="20" t="inlineStr">
        <is>
          <t>ELIANE LOBO MANZANO</t>
        </is>
      </c>
      <c r="Q212" s="20" t="inlineStr">
        <is>
          <t>Administrador</t>
        </is>
      </c>
      <c r="R212" s="20" t="inlineStr">
        <is>
          <t>(19) 2138-7642</t>
        </is>
      </c>
      <c r="S212" s="20" t="inlineStr"/>
      <c r="T212" s="21" t="n">
        <v>662505.99</v>
      </c>
      <c r="U212" s="31" t="inlineStr">
        <is>
          <t>C</t>
        </is>
      </c>
      <c r="V212" s="23">
        <f>IFERROR(VLOOKUP(U212,Assumptions!$A$7:$D$11,2,FALSE),0)</f>
        <v/>
      </c>
      <c r="W212" s="24">
        <f>MAX(0.5,IFERROR(VLOOKUP(U212,Assumptions!$A$7:$D$11,3,FALSE),3)+IFERROR(VLOOKUP(U212,Assumptions!$A$7:$D$11,4,FALSE),8)/2-IF(AN212="",0,YEAR(TODAY())-AN212))</f>
        <v/>
      </c>
      <c r="X212" s="21">
        <f>T212*V212/(1+Assumptions!$B$3)^W212</f>
        <v/>
      </c>
      <c r="Y212" s="25">
        <f>IF(T212=0,"",ROUND(X212/T212*100,1))</f>
        <v/>
      </c>
      <c r="Z212" s="26">
        <f>X212*Assumptions!$B$4</f>
        <v/>
      </c>
      <c r="AA212" s="25">
        <f>IF(T212=0,"",ROUND(Z212/T212*100,1))</f>
        <v/>
      </c>
      <c r="AB212" s="26">
        <f>X212-Z212</f>
        <v/>
      </c>
      <c r="AC212" s="25">
        <f>IF(T212=0,"",ROUND((X212-Z212)/T212*100,1))</f>
        <v/>
      </c>
      <c r="AD212" s="27" t="inlineStr">
        <is>
          <t>UNKNOWN</t>
        </is>
      </c>
      <c r="AE212" s="28" t="inlineStr">
        <is>
          <t>https://administradorajudicialgs.com.br/wp-content/uploads/2024/12/relacao-de-credores-da-falida.pdf</t>
        </is>
      </c>
      <c r="AF212" s="27" t="inlineStr">
        <is>
          <t>p15 r41</t>
        </is>
      </c>
      <c r="AG212" s="27" t="inlineStr">
        <is>
          <t>p15: R$ 662.505,99</t>
        </is>
      </c>
      <c r="AH212" s="27" t="inlineStr">
        <is>
          <t>UNKNOWN</t>
        </is>
      </c>
      <c r="AI212" s="27" t="inlineStr">
        <is>
          <t>2025-03-25</t>
        </is>
      </c>
      <c r="AJ212" s="27" t="inlineStr">
        <is>
          <t>OK_NO_TOTALS</t>
        </is>
      </c>
      <c r="AK212" s="29" t="inlineStr">
        <is>
          <t>0005010-50.2013.8.24.0026</t>
        </is>
      </c>
      <c r="AL212" s="29" t="inlineStr">
        <is>
          <t>TJ</t>
        </is>
      </c>
      <c r="AM212" s="29" t="inlineStr"/>
      <c r="AN212" s="29" t="n">
        <v>2013</v>
      </c>
      <c r="AO212" s="29" t="inlineStr">
        <is>
          <t>13y since filing, no plan document</t>
        </is>
      </c>
      <c r="AP212" s="29" t="inlineStr">
        <is>
          <t>VALINHOS</t>
        </is>
      </c>
      <c r="AQ212" s="29" t="inlineStr">
        <is>
          <t>SP</t>
        </is>
      </c>
      <c r="AR212" s="29" t="inlineStr">
        <is>
          <t>Fabricação de adesivos e selantes</t>
        </is>
      </c>
      <c r="AS212" s="29" t="inlineStr">
        <is>
          <t>DEMAIS</t>
        </is>
      </c>
      <c r="AT212" s="29" t="inlineStr">
        <is>
          <t>MID-MARKET</t>
        </is>
      </c>
      <c r="AU212" s="29" t="inlineStr">
        <is>
          <t>05858780</t>
        </is>
      </c>
      <c r="AV212" s="29" t="n">
        <v>1</v>
      </c>
      <c r="AW212" s="29" t="inlineStr">
        <is>
          <t>ROWS:p15r41 UNRECONCILED_SOURCE</t>
        </is>
      </c>
    </row>
    <row r="213">
      <c r="A213" s="15" t="inlineStr">
        <is>
          <t>ALTOMAX COMERCIO DE MEIAS E COBERTORES, IMPORTACAO E EXPORTACAO LTDA</t>
        </is>
      </c>
      <c r="B213" s="16" t="n">
        <v>460120.8</v>
      </c>
      <c r="C213" s="17" t="inlineStr">
        <is>
          <t>R W CONSTRUCOES LTDA</t>
        </is>
      </c>
      <c r="D213" s="18" t="inlineStr">
        <is>
          <t>NEW</t>
        </is>
      </c>
      <c r="E213" s="19" t="inlineStr"/>
      <c r="F213" s="18" t="inlineStr"/>
      <c r="G213" s="19" t="inlineStr"/>
      <c r="H213" s="18" t="inlineStr"/>
      <c r="I213" s="20" t="inlineStr">
        <is>
          <t>ANDRE EGIDIO FARIAS PARIZE</t>
        </is>
      </c>
      <c r="J213" s="20" t="inlineStr">
        <is>
          <t>Administrador</t>
        </is>
      </c>
      <c r="K213" s="20" t="inlineStr">
        <is>
          <t>(45) 3574-5322</t>
        </is>
      </c>
      <c r="L213" s="20" t="inlineStr"/>
      <c r="M213" s="20" t="inlineStr"/>
      <c r="N213" s="20" t="inlineStr"/>
      <c r="O213" s="20" t="inlineStr"/>
      <c r="P213" s="20" t="inlineStr"/>
      <c r="Q213" s="20" t="inlineStr"/>
      <c r="R213" s="20" t="inlineStr"/>
      <c r="S213" s="20" t="inlineStr"/>
      <c r="T213" s="21" t="n">
        <v>460120.8</v>
      </c>
      <c r="U213" s="22" t="inlineStr">
        <is>
          <t>B</t>
        </is>
      </c>
      <c r="V213" s="23">
        <f>IFERROR(VLOOKUP(U213,Assumptions!$A$7:$D$11,2,FALSE),0)</f>
        <v/>
      </c>
      <c r="W213" s="24">
        <f>MAX(0.5,IFERROR(VLOOKUP(U213,Assumptions!$A$7:$D$11,3,FALSE),3)+IFERROR(VLOOKUP(U213,Assumptions!$A$7:$D$11,4,FALSE),8)/2-IF(AN213="",0,YEAR(TODAY())-AN213))</f>
        <v/>
      </c>
      <c r="X213" s="21">
        <f>T213*V213/(1+Assumptions!$B$3)^W213</f>
        <v/>
      </c>
      <c r="Y213" s="25">
        <f>IF(T213=0,"",ROUND(X213/T213*100,1))</f>
        <v/>
      </c>
      <c r="Z213" s="26">
        <f>X213*Assumptions!$B$4</f>
        <v/>
      </c>
      <c r="AA213" s="25">
        <f>IF(T213=0,"",ROUND(Z213/T213*100,1))</f>
        <v/>
      </c>
      <c r="AB213" s="26">
        <f>X213-Z213</f>
        <v/>
      </c>
      <c r="AC213" s="25">
        <f>IF(T213=0,"",ROUND((X213-Z213)/T213*100,1))</f>
        <v/>
      </c>
      <c r="AD213" s="27" t="inlineStr">
        <is>
          <t>ESTIMATED</t>
        </is>
      </c>
      <c r="AE213" s="28" t="inlineStr">
        <is>
          <t>https://lrflideres.com.br/wp-content/plugins/download-attachments/includes/download.php?id=4023</t>
        </is>
      </c>
      <c r="AF213" s="27" t="inlineStr">
        <is>
          <t>p4 r53; p7 r73; p9 r56</t>
        </is>
      </c>
      <c r="AG213" s="27" t="inlineStr">
        <is>
          <t>p4: R$ 35.372,00; p7: R$ 344.791,28; p9: R$ 79.957,52</t>
        </is>
      </c>
      <c r="AH213" s="27" t="inlineStr">
        <is>
          <t>DEBTOR_LIST</t>
        </is>
      </c>
      <c r="AI213" s="27" t="inlineStr"/>
      <c r="AJ213" s="27" t="inlineStr">
        <is>
          <t>QUARANTINED</t>
        </is>
      </c>
      <c r="AK213" s="29" t="inlineStr">
        <is>
          <t>0002484-82.2022.8.17.2001</t>
        </is>
      </c>
      <c r="AL213" s="29" t="inlineStr">
        <is>
          <t>TJPE</t>
        </is>
      </c>
      <c r="AM213" s="29" t="inlineStr">
        <is>
          <t>ACTIVE</t>
        </is>
      </c>
      <c r="AN213" s="29" t="n">
        <v>2022</v>
      </c>
      <c r="AO213" s="29" t="inlineStr">
        <is>
          <t>live case, no plan document yet</t>
        </is>
      </c>
      <c r="AP213" s="29" t="inlineStr">
        <is>
          <t>FOZ DO IGUACU</t>
        </is>
      </c>
      <c r="AQ213" s="29" t="inlineStr">
        <is>
          <t>PR</t>
        </is>
      </c>
      <c r="AR213" s="29" t="inlineStr">
        <is>
          <t>Comércio atacadista de artigos de cama, mesa e banho</t>
        </is>
      </c>
      <c r="AS213" s="29" t="inlineStr">
        <is>
          <t>DEMAIS</t>
        </is>
      </c>
      <c r="AT213" s="29" t="inlineStr">
        <is>
          <t>MID-MARKET</t>
        </is>
      </c>
      <c r="AU213" s="29" t="inlineStr">
        <is>
          <t>08307549</t>
        </is>
      </c>
      <c r="AV213" s="29" t="n">
        <v>3</v>
      </c>
      <c r="AW213" s="29" t="inlineStr">
        <is>
          <t>PARTIAL_DOC_CLASS_III_RECONCILED ROWS:p4r53,p7r73,p9r56</t>
        </is>
      </c>
    </row>
    <row r="214">
      <c r="A214" s="15" t="inlineStr">
        <is>
          <t>LIFECOR COMERCIO DE PRODUTOS HOSPITALARES LTDA</t>
        </is>
      </c>
      <c r="B214" s="16" t="n">
        <v>459688.97</v>
      </c>
      <c r="C214" s="17" t="inlineStr">
        <is>
          <t>ASSOCIACAO DE CARIDADE SANTA CASA DE RIO GRANDE</t>
        </is>
      </c>
      <c r="D214" s="18" t="inlineStr">
        <is>
          <t>NEW</t>
        </is>
      </c>
      <c r="E214" s="19" t="inlineStr"/>
      <c r="F214" s="18" t="inlineStr"/>
      <c r="G214" s="19" t="inlineStr"/>
      <c r="H214" s="18" t="inlineStr"/>
      <c r="I214" s="20" t="inlineStr">
        <is>
          <t>ELEONARDA TEREZINHA DOS SANTOS SAMPAIO</t>
        </is>
      </c>
      <c r="J214" s="20" t="inlineStr">
        <is>
          <t>Sócio-Administrador</t>
        </is>
      </c>
      <c r="K214" s="20" t="inlineStr">
        <is>
          <t>(51) 3219-4026</t>
        </is>
      </c>
      <c r="L214" s="20" t="inlineStr"/>
      <c r="M214" s="20" t="inlineStr"/>
      <c r="N214" s="20" t="inlineStr"/>
      <c r="O214" s="20" t="inlineStr"/>
      <c r="P214" s="20" t="inlineStr">
        <is>
          <t>MARCO LANIUS RAUBER</t>
        </is>
      </c>
      <c r="Q214" s="20" t="inlineStr">
        <is>
          <t>Sócio-Administrador</t>
        </is>
      </c>
      <c r="R214" s="20" t="inlineStr">
        <is>
          <t>(51) 3219-4026</t>
        </is>
      </c>
      <c r="S214" s="20" t="inlineStr"/>
      <c r="T214" s="21" t="n">
        <v>459688.97</v>
      </c>
      <c r="U214" s="22" t="inlineStr">
        <is>
          <t>B</t>
        </is>
      </c>
      <c r="V214" s="23">
        <f>IFERROR(VLOOKUP(U214,Assumptions!$A$7:$D$11,2,FALSE),0)</f>
        <v/>
      </c>
      <c r="W214" s="24">
        <f>MAX(0.5,IFERROR(VLOOKUP(U214,Assumptions!$A$7:$D$11,3,FALSE),3)+IFERROR(VLOOKUP(U214,Assumptions!$A$7:$D$11,4,FALSE),8)/2-IF(AN214="",0,YEAR(TODAY())-AN214))</f>
        <v/>
      </c>
      <c r="X214" s="21">
        <f>T214*V214/(1+Assumptions!$B$3)^W214</f>
        <v/>
      </c>
      <c r="Y214" s="25">
        <f>IF(T214=0,"",ROUND(X214/T214*100,1))</f>
        <v/>
      </c>
      <c r="Z214" s="26">
        <f>X214*Assumptions!$B$4</f>
        <v/>
      </c>
      <c r="AA214" s="25">
        <f>IF(T214=0,"",ROUND(Z214/T214*100,1))</f>
        <v/>
      </c>
      <c r="AB214" s="26">
        <f>X214-Z214</f>
        <v/>
      </c>
      <c r="AC214" s="25">
        <f>IF(T214=0,"",ROUND((X214-Z214)/T214*100,1))</f>
        <v/>
      </c>
      <c r="AD214" s="27" t="inlineStr">
        <is>
          <t>ESTIMATED</t>
        </is>
      </c>
      <c r="AE214" s="28" t="inlineStr">
        <is>
          <t>https://scalzilliaj.com.br/sgc/download.php?file=files/processo_documento/processo_documento09120721032023_1_.pdf&amp;nome=15 - Edital do art. 7º, §2º e 53 da Lei 11.101/2005 (segunda lista de credores e recebimento do plano))</t>
        </is>
      </c>
      <c r="AF214" s="27" t="inlineStr">
        <is>
          <t>p28 r29</t>
        </is>
      </c>
      <c r="AG214" s="27" t="inlineStr">
        <is>
          <t>p28: R$ 459.688,97</t>
        </is>
      </c>
      <c r="AH214" s="27" t="inlineStr">
        <is>
          <t>AJ_LIST</t>
        </is>
      </c>
      <c r="AI214" s="27" t="inlineStr">
        <is>
          <t>2023-03-21</t>
        </is>
      </c>
      <c r="AJ214" s="27" t="inlineStr">
        <is>
          <t>OK_NO_TOTALS</t>
        </is>
      </c>
      <c r="AK214" s="29" t="inlineStr">
        <is>
          <t>5012306-16.2022.8.21.0023</t>
        </is>
      </c>
      <c r="AL214" s="29" t="inlineStr">
        <is>
          <t>TJRS</t>
        </is>
      </c>
      <c r="AM214" s="29" t="inlineStr">
        <is>
          <t>ACTIVE</t>
        </is>
      </c>
      <c r="AN214" s="29" t="n">
        <v>2022</v>
      </c>
      <c r="AO214" s="29" t="inlineStr">
        <is>
          <t>live case, no plan document yet</t>
        </is>
      </c>
      <c r="AP214" s="29" t="inlineStr">
        <is>
          <t>PORTO ALEGRE</t>
        </is>
      </c>
      <c r="AQ214" s="29" t="inlineStr">
        <is>
          <t>RS</t>
        </is>
      </c>
      <c r="AR214" s="29" t="inlineStr">
        <is>
          <t>Comércio atacadista de instrumentos e materiais para uso médico, cirúrgico, hospitalar e de laboratórios</t>
        </is>
      </c>
      <c r="AS214" s="29" t="inlineStr">
        <is>
          <t>DEMAIS</t>
        </is>
      </c>
      <c r="AT214" s="29" t="inlineStr">
        <is>
          <t>MID-MARKET</t>
        </is>
      </c>
      <c r="AU214" s="29" t="inlineStr">
        <is>
          <t>07108742</t>
        </is>
      </c>
      <c r="AV214" s="29" t="n">
        <v>1</v>
      </c>
      <c r="AW214" s="29" t="inlineStr">
        <is>
          <t>ROWS:p28r29 UNRECONCILED_SOURCE</t>
        </is>
      </c>
    </row>
    <row r="215">
      <c r="A215" s="15" t="inlineStr">
        <is>
          <t>DEFESA FLORESTAL LTDA</t>
        </is>
      </c>
      <c r="B215" s="16" t="n">
        <v>1645536</v>
      </c>
      <c r="C215" s="17" t="inlineStr">
        <is>
          <t>EGESA ENGENHARIA S/A (Consórcio ETDI)</t>
        </is>
      </c>
      <c r="D215" s="18" t="inlineStr">
        <is>
          <t>NEW</t>
        </is>
      </c>
      <c r="E215" s="19" t="inlineStr"/>
      <c r="F215" s="18" t="inlineStr"/>
      <c r="G215" s="19" t="inlineStr"/>
      <c r="H215" s="18" t="inlineStr"/>
      <c r="I215" s="20" t="inlineStr">
        <is>
          <t>Franciele Souza</t>
        </is>
      </c>
      <c r="J215" s="20" t="inlineStr">
        <is>
          <t>Financial Analyst</t>
        </is>
      </c>
      <c r="K215" s="20" t="inlineStr"/>
      <c r="L215" s="20" t="inlineStr"/>
      <c r="M215" s="20" t="inlineStr"/>
      <c r="N215" s="20" t="inlineStr"/>
      <c r="O215" s="20" t="inlineStr"/>
      <c r="P215" s="20" t="inlineStr"/>
      <c r="Q215" s="20" t="inlineStr"/>
      <c r="R215" s="20" t="inlineStr"/>
      <c r="S215" s="20" t="inlineStr"/>
      <c r="T215" s="21" t="n">
        <v>1645536</v>
      </c>
      <c r="U215" s="30" t="inlineStr">
        <is>
          <t>?</t>
        </is>
      </c>
      <c r="V215" s="23">
        <f>IFERROR(VLOOKUP(U215,Assumptions!$A$7:$D$11,2,FALSE),0)</f>
        <v/>
      </c>
      <c r="W215" s="24">
        <f>MAX(0.5,IFERROR(VLOOKUP(U215,Assumptions!$A$7:$D$11,3,FALSE),3)+IFERROR(VLOOKUP(U215,Assumptions!$A$7:$D$11,4,FALSE),8)/2-IF(AN215="",0,YEAR(TODAY())-AN215))</f>
        <v/>
      </c>
      <c r="X215" s="21">
        <f>T215*V215/(1+Assumptions!$B$3)^W215</f>
        <v/>
      </c>
      <c r="Y215" s="25">
        <f>IF(T215=0,"",ROUND(X215/T215*100,1))</f>
        <v/>
      </c>
      <c r="Z215" s="26">
        <f>X215*Assumptions!$B$4</f>
        <v/>
      </c>
      <c r="AA215" s="25">
        <f>IF(T215=0,"",ROUND(Z215/T215*100,1))</f>
        <v/>
      </c>
      <c r="AB215" s="26">
        <f>X215-Z215</f>
        <v/>
      </c>
      <c r="AC215" s="25">
        <f>IF(T215=0,"",ROUND((X215-Z215)/T215*100,1))</f>
        <v/>
      </c>
      <c r="AD215" s="27" t="inlineStr">
        <is>
          <t>UNKNOWN</t>
        </is>
      </c>
      <c r="AE215" s="28" t="inlineStr">
        <is>
          <t>https://scalzilliaj.com.br/sgc/download.php?file=files/processo_documento/processo_documento09514021082025_1_.pdf&amp;nome=04 - Relação de credores das Recuperandas</t>
        </is>
      </c>
      <c r="AF215" s="27" t="inlineStr">
        <is>
          <t>p65 r2</t>
        </is>
      </c>
      <c r="AG215" s="27" t="inlineStr">
        <is>
          <t>p65: R$ 1.645.536,00</t>
        </is>
      </c>
      <c r="AH215" s="27" t="inlineStr">
        <is>
          <t>DEBTOR_LIST</t>
        </is>
      </c>
      <c r="AI215" s="27" t="inlineStr"/>
      <c r="AJ215" s="27" t="inlineStr">
        <is>
          <t>OK</t>
        </is>
      </c>
      <c r="AK215" s="29" t="inlineStr">
        <is>
          <t>(not printed)</t>
        </is>
      </c>
      <c r="AL215" s="29" t="inlineStr"/>
      <c r="AM215" s="29" t="inlineStr"/>
      <c r="AN215" s="29" t="inlineStr"/>
      <c r="AO215" s="29" t="inlineStr">
        <is>
          <t>RJ case number not identified on the document</t>
        </is>
      </c>
      <c r="AP215" s="29" t="inlineStr">
        <is>
          <t>VICOSA</t>
        </is>
      </c>
      <c r="AQ215" s="29" t="inlineStr">
        <is>
          <t>MG</t>
        </is>
      </c>
      <c r="AR215" s="29" t="inlineStr">
        <is>
          <t>Serviços de preparação do terreno não especificados anteriormente</t>
        </is>
      </c>
      <c r="AS215" s="29" t="inlineStr">
        <is>
          <t>DEMAIS</t>
        </is>
      </c>
      <c r="AT215" s="29" t="inlineStr">
        <is>
          <t>MID-MARKET</t>
        </is>
      </c>
      <c r="AU215" s="29" t="inlineStr">
        <is>
          <t>20286415</t>
        </is>
      </c>
      <c r="AV215" s="29" t="n">
        <v>1</v>
      </c>
      <c r="AW215" s="29" t="inlineStr">
        <is>
          <t>ROWS:p65r2 VALUE_COL:Valor_Atualizado CASE_NUMBER_CORRECTED</t>
        </is>
      </c>
    </row>
    <row r="216">
      <c r="A216" s="15" t="inlineStr">
        <is>
          <t>COMPANHIA ENERGETICA DE PERNAMBUCO</t>
        </is>
      </c>
      <c r="B216" s="16" t="n">
        <v>642987.9399999999</v>
      </c>
      <c r="C216" s="17" t="inlineStr">
        <is>
          <t>E FALENCIA</t>
        </is>
      </c>
      <c r="D216" s="18" t="inlineStr">
        <is>
          <t>NEW</t>
        </is>
      </c>
      <c r="E216" s="19" t="inlineStr"/>
      <c r="F216" s="18" t="inlineStr"/>
      <c r="G216" s="19" t="inlineStr"/>
      <c r="H216" s="18" t="inlineStr"/>
      <c r="I216" s="20" t="inlineStr">
        <is>
          <t>SAULO CABRAL E SILVA</t>
        </is>
      </c>
      <c r="J216" s="20" t="inlineStr">
        <is>
          <t>Presidente</t>
        </is>
      </c>
      <c r="K216" s="20" t="inlineStr">
        <is>
          <t>(81) 3217-5226</t>
        </is>
      </c>
      <c r="L216" s="20" t="inlineStr"/>
      <c r="M216" s="20" t="inlineStr"/>
      <c r="N216" s="20" t="inlineStr"/>
      <c r="O216" s="20" t="inlineStr"/>
      <c r="P216" s="20" t="inlineStr">
        <is>
          <t>FABIANO DA ROSA CARVALHO</t>
        </is>
      </c>
      <c r="Q216" s="20" t="inlineStr">
        <is>
          <t>Diretor</t>
        </is>
      </c>
      <c r="R216" s="20" t="inlineStr">
        <is>
          <t>(81) 3217-5226</t>
        </is>
      </c>
      <c r="S216" s="20" t="inlineStr"/>
      <c r="T216" s="21" t="n">
        <v>642987.9399999999</v>
      </c>
      <c r="U216" s="31" t="inlineStr">
        <is>
          <t>C</t>
        </is>
      </c>
      <c r="V216" s="23">
        <f>IFERROR(VLOOKUP(U216,Assumptions!$A$7:$D$11,2,FALSE),0)</f>
        <v/>
      </c>
      <c r="W216" s="24">
        <f>MAX(0.5,IFERROR(VLOOKUP(U216,Assumptions!$A$7:$D$11,3,FALSE),3)+IFERROR(VLOOKUP(U216,Assumptions!$A$7:$D$11,4,FALSE),8)/2-IF(AN216="",0,YEAR(TODAY())-AN216))</f>
        <v/>
      </c>
      <c r="X216" s="21">
        <f>T216*V216/(1+Assumptions!$B$3)^W216</f>
        <v/>
      </c>
      <c r="Y216" s="25">
        <f>IF(T216=0,"",ROUND(X216/T216*100,1))</f>
        <v/>
      </c>
      <c r="Z216" s="26">
        <f>X216*Assumptions!$B$4</f>
        <v/>
      </c>
      <c r="AA216" s="25">
        <f>IF(T216=0,"",ROUND(Z216/T216*100,1))</f>
        <v/>
      </c>
      <c r="AB216" s="26">
        <f>X216-Z216</f>
        <v/>
      </c>
      <c r="AC216" s="25">
        <f>IF(T216=0,"",ROUND((X216-Z216)/T216*100,1))</f>
        <v/>
      </c>
      <c r="AD216" s="27" t="inlineStr">
        <is>
          <t>UNKNOWN</t>
        </is>
      </c>
      <c r="AE216" s="28" t="inlineStr">
        <is>
          <t>https://diligence.adm.br/wp-content/plugins/download-attachments/includes/download.php?id=4579</t>
        </is>
      </c>
      <c r="AF216" s="27" t="inlineStr">
        <is>
          <t>p8 r9</t>
        </is>
      </c>
      <c r="AG216" s="27" t="inlineStr">
        <is>
          <t>p8: R$ 642.987,94</t>
        </is>
      </c>
      <c r="AH216" s="27" t="inlineStr">
        <is>
          <t>AJ_LIST</t>
        </is>
      </c>
      <c r="AI216" s="27" t="inlineStr">
        <is>
          <t>2024-06-11</t>
        </is>
      </c>
      <c r="AJ216" s="27" t="inlineStr">
        <is>
          <t>OK_NO_TOTALS</t>
        </is>
      </c>
      <c r="AK216" s="29" t="inlineStr">
        <is>
          <t>0032731-52.2010.8.17.0001</t>
        </is>
      </c>
      <c r="AL216" s="29" t="inlineStr">
        <is>
          <t>TJ</t>
        </is>
      </c>
      <c r="AM216" s="29" t="inlineStr"/>
      <c r="AN216" s="29" t="n">
        <v>2010</v>
      </c>
      <c r="AO216" s="29" t="inlineStr">
        <is>
          <t>16y since filing, no plan document</t>
        </is>
      </c>
      <c r="AP216" s="29" t="inlineStr">
        <is>
          <t>RECIFE</t>
        </is>
      </c>
      <c r="AQ216" s="29" t="inlineStr">
        <is>
          <t>PE</t>
        </is>
      </c>
      <c r="AR216" s="29" t="inlineStr">
        <is>
          <t>Distribuição de energia elétrica</t>
        </is>
      </c>
      <c r="AS216" s="29" t="inlineStr">
        <is>
          <t>DEMAIS</t>
        </is>
      </c>
      <c r="AT216" s="29" t="inlineStr">
        <is>
          <t>LARGE CORP</t>
        </is>
      </c>
      <c r="AU216" s="29" t="inlineStr">
        <is>
          <t>10835932</t>
        </is>
      </c>
      <c r="AV216" s="29" t="n">
        <v>1</v>
      </c>
      <c r="AW216" s="29" t="inlineStr">
        <is>
          <t>ROWS:p8r9 UNRECONCILED_SOURCE VALUE_COL:Crédito_1ª_Lista</t>
        </is>
      </c>
    </row>
    <row r="217">
      <c r="A217" s="15" t="inlineStr">
        <is>
          <t>EVERTON FPS INDUSTRIA E COMERCIO DE PECAS LTDA</t>
        </is>
      </c>
      <c r="B217" s="16" t="n">
        <v>632893.59</v>
      </c>
      <c r="C217" s="17" t="inlineStr">
        <is>
          <t>EVER TON FPS IMPORTACAO E EXPORTACAO LTDA</t>
        </is>
      </c>
      <c r="D217" s="18" t="inlineStr">
        <is>
          <t>NEW</t>
        </is>
      </c>
      <c r="E217" s="19" t="inlineStr"/>
      <c r="F217" s="18" t="inlineStr"/>
      <c r="G217" s="19" t="inlineStr"/>
      <c r="H217" s="18" t="inlineStr"/>
      <c r="I217" s="20" t="inlineStr">
        <is>
          <t>ANTONIO JADIR MIRANDA</t>
        </is>
      </c>
      <c r="J217" s="20" t="inlineStr">
        <is>
          <t>Sócio-Administrador</t>
        </is>
      </c>
      <c r="K217" s="20" t="inlineStr">
        <is>
          <t>(11) 3525-8700</t>
        </is>
      </c>
      <c r="L217" s="20" t="inlineStr">
        <is>
          <t>(11) 3525-8712</t>
        </is>
      </c>
      <c r="M217" s="20" t="inlineStr"/>
      <c r="N217" s="20" t="inlineStr"/>
      <c r="O217" s="20" t="inlineStr"/>
      <c r="P217" s="20" t="inlineStr"/>
      <c r="Q217" s="20" t="inlineStr"/>
      <c r="R217" s="20" t="inlineStr"/>
      <c r="S217" s="20" t="inlineStr"/>
      <c r="T217" s="21" t="n">
        <v>632893.59</v>
      </c>
      <c r="U217" s="31" t="inlineStr">
        <is>
          <t>C</t>
        </is>
      </c>
      <c r="V217" s="23">
        <f>IFERROR(VLOOKUP(U217,Assumptions!$A$7:$D$11,2,FALSE),0)</f>
        <v/>
      </c>
      <c r="W217" s="24">
        <f>MAX(0.5,IFERROR(VLOOKUP(U217,Assumptions!$A$7:$D$11,3,FALSE),3)+IFERROR(VLOOKUP(U217,Assumptions!$A$7:$D$11,4,FALSE),8)/2-IF(AN217="",0,YEAR(TODAY())-AN217))</f>
        <v/>
      </c>
      <c r="X217" s="21">
        <f>T217*V217/(1+Assumptions!$B$3)^W217</f>
        <v/>
      </c>
      <c r="Y217" s="25">
        <f>IF(T217=0,"",ROUND(X217/T217*100,1))</f>
        <v/>
      </c>
      <c r="Z217" s="26">
        <f>X217*Assumptions!$B$4</f>
        <v/>
      </c>
      <c r="AA217" s="25">
        <f>IF(T217=0,"",ROUND(Z217/T217*100,1))</f>
        <v/>
      </c>
      <c r="AB217" s="26">
        <f>X217-Z217</f>
        <v/>
      </c>
      <c r="AC217" s="25">
        <f>IF(T217=0,"",ROUND((X217-Z217)/T217*100,1))</f>
        <v/>
      </c>
      <c r="AD217" s="27" t="inlineStr">
        <is>
          <t>UNKNOWN</t>
        </is>
      </c>
      <c r="AE217" s="28" t="inlineStr">
        <is>
          <t>https://violet-wolf-754008.hostingersite.com/wp-content/uploads/recuperacoes-judiciais/ever-ton/1º-edital.pdf</t>
        </is>
      </c>
      <c r="AF217" s="27" t="inlineStr">
        <is>
          <t>p4 r8</t>
        </is>
      </c>
      <c r="AG217" s="27" t="inlineStr">
        <is>
          <t>p4: R$ 632.893,59</t>
        </is>
      </c>
      <c r="AH217" s="27" t="inlineStr">
        <is>
          <t>QGC</t>
        </is>
      </c>
      <c r="AI217" s="27" t="inlineStr"/>
      <c r="AJ217" s="27" t="inlineStr">
        <is>
          <t>OK_NO_TOTALS</t>
        </is>
      </c>
      <c r="AK217" s="29" t="inlineStr">
        <is>
          <t>1054969-12.2018.8.26.0100</t>
        </is>
      </c>
      <c r="AL217" s="29" t="inlineStr">
        <is>
          <t>TJ</t>
        </is>
      </c>
      <c r="AM217" s="29" t="inlineStr"/>
      <c r="AN217" s="29" t="n">
        <v>2018</v>
      </c>
      <c r="AO217" s="29" t="inlineStr">
        <is>
          <t>8y since filing, no plan document</t>
        </is>
      </c>
      <c r="AP217" s="29" t="inlineStr">
        <is>
          <t>COTIA</t>
        </is>
      </c>
      <c r="AQ217" s="29" t="inlineStr">
        <is>
          <t>SP</t>
        </is>
      </c>
      <c r="AR217" s="29" t="inlineStr">
        <is>
          <t>Fabricação de máquinas e equipamentos para uso industrial específico não especificados anteriormente, peças e acessórios</t>
        </is>
      </c>
      <c r="AS217" s="29" t="inlineStr">
        <is>
          <t>EMPRESA DE PEQUENO PORTE</t>
        </is>
      </c>
      <c r="AT217" s="29" t="inlineStr">
        <is>
          <t>SMALL</t>
        </is>
      </c>
      <c r="AU217" s="29" t="inlineStr">
        <is>
          <t>07243854</t>
        </is>
      </c>
      <c r="AV217" s="29" t="n">
        <v>1</v>
      </c>
      <c r="AW217" s="29" t="inlineStr">
        <is>
          <t>ROWS:p4r8 UNRECONCILED_SOURCE</t>
        </is>
      </c>
    </row>
    <row r="218">
      <c r="A218" s="15" t="inlineStr">
        <is>
          <t>VIBRA ENERGIA S.A</t>
        </is>
      </c>
      <c r="B218" s="16" t="n">
        <v>1607742.88</v>
      </c>
      <c r="C218" s="17" t="inlineStr"/>
      <c r="D218" s="18" t="inlineStr">
        <is>
          <t>NEW</t>
        </is>
      </c>
      <c r="E218" s="19" t="inlineStr"/>
      <c r="F218" s="18" t="inlineStr"/>
      <c r="G218" s="19" t="inlineStr"/>
      <c r="H218" s="18" t="inlineStr"/>
      <c r="I218" s="20" t="inlineStr">
        <is>
          <t>ERNESTO PERES POUSADA JUNIOR</t>
        </is>
      </c>
      <c r="J218" s="20" t="inlineStr">
        <is>
          <t>Presidente</t>
        </is>
      </c>
      <c r="K218" s="20" t="inlineStr">
        <is>
          <t>(21) 2354-3151</t>
        </is>
      </c>
      <c r="L218" s="20" t="inlineStr">
        <is>
          <t>(21) 2354-3146</t>
        </is>
      </c>
      <c r="M218" s="20" t="inlineStr"/>
      <c r="N218" s="20" t="inlineStr"/>
      <c r="O218" s="20" t="inlineStr"/>
      <c r="P218" s="20" t="inlineStr">
        <is>
          <t>DANIEL DRUMOND CAMPOS E SILVA</t>
        </is>
      </c>
      <c r="Q218" s="20" t="inlineStr">
        <is>
          <t>Diretor</t>
        </is>
      </c>
      <c r="R218" s="20" t="inlineStr">
        <is>
          <t>(21) 2354-3146</t>
        </is>
      </c>
      <c r="S218" s="20" t="inlineStr"/>
      <c r="T218" s="21" t="n">
        <v>1607742.88</v>
      </c>
      <c r="U218" s="30" t="inlineStr">
        <is>
          <t>?</t>
        </is>
      </c>
      <c r="V218" s="23">
        <f>IFERROR(VLOOKUP(U218,Assumptions!$A$7:$D$11,2,FALSE),0)</f>
        <v/>
      </c>
      <c r="W218" s="24">
        <f>MAX(0.5,IFERROR(VLOOKUP(U218,Assumptions!$A$7:$D$11,3,FALSE),3)+IFERROR(VLOOKUP(U218,Assumptions!$A$7:$D$11,4,FALSE),8)/2-IF(AN218="",0,YEAR(TODAY())-AN218))</f>
        <v/>
      </c>
      <c r="X218" s="21">
        <f>T218*V218/(1+Assumptions!$B$3)^W218</f>
        <v/>
      </c>
      <c r="Y218" s="25">
        <f>IF(T218=0,"",ROUND(X218/T218*100,1))</f>
        <v/>
      </c>
      <c r="Z218" s="26">
        <f>X218*Assumptions!$B$4</f>
        <v/>
      </c>
      <c r="AA218" s="25">
        <f>IF(T218=0,"",ROUND(Z218/T218*100,1))</f>
        <v/>
      </c>
      <c r="AB218" s="26">
        <f>X218-Z218</f>
        <v/>
      </c>
      <c r="AC218" s="25">
        <f>IF(T218=0,"",ROUND((X218-Z218)/T218*100,1))</f>
        <v/>
      </c>
      <c r="AD218" s="27" t="inlineStr">
        <is>
          <t>UNKNOWN</t>
        </is>
      </c>
      <c r="AE218" s="28" t="inlineStr">
        <is>
          <t>https://ajruiz.com.br/sites/default/files/public/arquivos-processos/2023-11/4_relacao_de_credores_analitica_art._51_iii_da_lre.pdf</t>
        </is>
      </c>
      <c r="AF218" s="27" t="inlineStr">
        <is>
          <t>p3 r43</t>
        </is>
      </c>
      <c r="AG218" s="27" t="inlineStr">
        <is>
          <t>p3: R$ 1.607.742,88</t>
        </is>
      </c>
      <c r="AH218" s="27" t="inlineStr">
        <is>
          <t>UNKNOWN</t>
        </is>
      </c>
      <c r="AI218" s="27" t="inlineStr"/>
      <c r="AJ218" s="27" t="inlineStr">
        <is>
          <t>OK</t>
        </is>
      </c>
      <c r="AK218" s="29" t="inlineStr">
        <is>
          <t>(not printed)</t>
        </is>
      </c>
      <c r="AL218" s="29" t="inlineStr"/>
      <c r="AM218" s="29" t="inlineStr"/>
      <c r="AN218" s="29" t="inlineStr"/>
      <c r="AO218" s="29" t="inlineStr">
        <is>
          <t>RJ case number not identified on the document</t>
        </is>
      </c>
      <c r="AP218" s="29" t="inlineStr">
        <is>
          <t>RIO DE JANEIRO</t>
        </is>
      </c>
      <c r="AQ218" s="29" t="inlineStr">
        <is>
          <t>RJ</t>
        </is>
      </c>
      <c r="AR218" s="29" t="inlineStr">
        <is>
          <t>Comércio atacadista de álcool carburante, biodiesel, gasolina e demais derivados de petróleo, exceto lubrificantes, não realizado por transportador re</t>
        </is>
      </c>
      <c r="AS218" s="29" t="inlineStr">
        <is>
          <t>DEMAIS</t>
        </is>
      </c>
      <c r="AT218" s="29" t="inlineStr">
        <is>
          <t>LARGE CORP</t>
        </is>
      </c>
      <c r="AU218" s="29" t="inlineStr">
        <is>
          <t>34274233</t>
        </is>
      </c>
      <c r="AV218" s="29" t="n">
        <v>1</v>
      </c>
      <c r="AW218" s="29" t="inlineStr">
        <is>
          <t>ROWS:p3r43 CASE_NUMBER_CORRECTED</t>
        </is>
      </c>
    </row>
    <row r="219">
      <c r="A219" s="15" t="inlineStr">
        <is>
          <t>SIEMENS HEALTHCARE DIAGNOSTICOS LTDA.</t>
        </is>
      </c>
      <c r="B219" s="16" t="n">
        <v>438000</v>
      </c>
      <c r="C219" s="17" t="inlineStr">
        <is>
          <t>ASSOCIACAO DE CARIDADE SANTA CASA DE RIO GRANDE</t>
        </is>
      </c>
      <c r="D219" s="18" t="inlineStr">
        <is>
          <t>NEW</t>
        </is>
      </c>
      <c r="E219" s="19" t="inlineStr"/>
      <c r="F219" s="18" t="inlineStr"/>
      <c r="G219" s="19" t="inlineStr"/>
      <c r="H219" s="18" t="inlineStr"/>
      <c r="I219" s="20" t="inlineStr">
        <is>
          <t>ADRIANA SILVA DA COSTA</t>
        </is>
      </c>
      <c r="J219" s="20" t="inlineStr">
        <is>
          <t>Administrador</t>
        </is>
      </c>
      <c r="K219" s="20" t="inlineStr">
        <is>
          <t>(11) 4585-7350</t>
        </is>
      </c>
      <c r="L219" s="20" t="inlineStr"/>
      <c r="M219" s="20" t="inlineStr"/>
      <c r="N219" s="20" t="inlineStr"/>
      <c r="O219" s="20" t="inlineStr"/>
      <c r="P219" s="20" t="inlineStr">
        <is>
          <t>CARLOS ALBERTO DI LORENZO</t>
        </is>
      </c>
      <c r="Q219" s="20" t="inlineStr">
        <is>
          <t>Administrador</t>
        </is>
      </c>
      <c r="R219" s="20" t="inlineStr">
        <is>
          <t>(11) 4585-7350</t>
        </is>
      </c>
      <c r="S219" s="20" t="inlineStr"/>
      <c r="T219" s="21" t="n">
        <v>438000</v>
      </c>
      <c r="U219" s="22" t="inlineStr">
        <is>
          <t>B</t>
        </is>
      </c>
      <c r="V219" s="23">
        <f>IFERROR(VLOOKUP(U219,Assumptions!$A$7:$D$11,2,FALSE),0)</f>
        <v/>
      </c>
      <c r="W219" s="24">
        <f>MAX(0.5,IFERROR(VLOOKUP(U219,Assumptions!$A$7:$D$11,3,FALSE),3)+IFERROR(VLOOKUP(U219,Assumptions!$A$7:$D$11,4,FALSE),8)/2-IF(AN219="",0,YEAR(TODAY())-AN219))</f>
        <v/>
      </c>
      <c r="X219" s="21">
        <f>T219*V219/(1+Assumptions!$B$3)^W219</f>
        <v/>
      </c>
      <c r="Y219" s="25">
        <f>IF(T219=0,"",ROUND(X219/T219*100,1))</f>
        <v/>
      </c>
      <c r="Z219" s="26">
        <f>X219*Assumptions!$B$4</f>
        <v/>
      </c>
      <c r="AA219" s="25">
        <f>IF(T219=0,"",ROUND(Z219/T219*100,1))</f>
        <v/>
      </c>
      <c r="AB219" s="26">
        <f>X219-Z219</f>
        <v/>
      </c>
      <c r="AC219" s="25">
        <f>IF(T219=0,"",ROUND((X219-Z219)/T219*100,1))</f>
        <v/>
      </c>
      <c r="AD219" s="27" t="inlineStr">
        <is>
          <t>ESTIMATED</t>
        </is>
      </c>
      <c r="AE219" s="28" t="inlineStr">
        <is>
          <t>https://scalzilliaj.com.br/sgc/download.php?file=files/processo_documento/processo_documento09120721032023_1_.pdf&amp;nome=15 - Edital do art. 7º, §2º e 53 da Lei 11.101/2005 (segunda lista de credores e recebimento do plano))</t>
        </is>
      </c>
      <c r="AF219" s="27" t="inlineStr">
        <is>
          <t>p29 r50</t>
        </is>
      </c>
      <c r="AG219" s="27" t="inlineStr">
        <is>
          <t>p29: R$ 438.000,00</t>
        </is>
      </c>
      <c r="AH219" s="27" t="inlineStr">
        <is>
          <t>AJ_LIST</t>
        </is>
      </c>
      <c r="AI219" s="27" t="inlineStr">
        <is>
          <t>2023-03-21</t>
        </is>
      </c>
      <c r="AJ219" s="27" t="inlineStr">
        <is>
          <t>OK_NO_TOTALS</t>
        </is>
      </c>
      <c r="AK219" s="29" t="inlineStr">
        <is>
          <t>5012306-16.2022.8.21.0023</t>
        </is>
      </c>
      <c r="AL219" s="29" t="inlineStr">
        <is>
          <t>TJRS</t>
        </is>
      </c>
      <c r="AM219" s="29" t="inlineStr">
        <is>
          <t>ACTIVE</t>
        </is>
      </c>
      <c r="AN219" s="29" t="n">
        <v>2022</v>
      </c>
      <c r="AO219" s="29" t="inlineStr">
        <is>
          <t>live case, no plan document yet</t>
        </is>
      </c>
      <c r="AP219" s="29" t="inlineStr">
        <is>
          <t>SAO PAULO</t>
        </is>
      </c>
      <c r="AQ219" s="29" t="inlineStr">
        <is>
          <t>SP</t>
        </is>
      </c>
      <c r="AR219" s="29" t="inlineStr">
        <is>
          <t>Comércio atacadista de instrumentos e materiais para uso médico, cirúrgico, hospitalar e de laboratórios</t>
        </is>
      </c>
      <c r="AS219" s="29" t="inlineStr">
        <is>
          <t>DEMAIS</t>
        </is>
      </c>
      <c r="AT219" s="29" t="inlineStr">
        <is>
          <t>LARGE CORP</t>
        </is>
      </c>
      <c r="AU219" s="29" t="inlineStr">
        <is>
          <t>01449930</t>
        </is>
      </c>
      <c r="AV219" s="29" t="n">
        <v>1</v>
      </c>
      <c r="AW219" s="29" t="inlineStr">
        <is>
          <t>ROWS:p29r50 UNRECONCILED_SOURCE</t>
        </is>
      </c>
    </row>
    <row r="220">
      <c r="A220" s="15" t="inlineStr">
        <is>
          <t>LINK COMERCIAL IMPORTADORA E EXPORTADORA LTDA</t>
        </is>
      </c>
      <c r="B220" s="16" t="n">
        <v>622086.4</v>
      </c>
      <c r="C220" s="17" t="inlineStr"/>
      <c r="D220" s="18" t="inlineStr">
        <is>
          <t>NEW</t>
        </is>
      </c>
      <c r="E220" s="19" t="inlineStr"/>
      <c r="F220" s="18" t="inlineStr"/>
      <c r="G220" s="19" t="inlineStr"/>
      <c r="H220" s="18" t="inlineStr"/>
      <c r="I220" s="20" t="inlineStr">
        <is>
          <t>ELIAS MARTINS</t>
        </is>
      </c>
      <c r="J220" s="20" t="inlineStr">
        <is>
          <t>Administrador</t>
        </is>
      </c>
      <c r="K220" s="20" t="inlineStr">
        <is>
          <t>(47) 9712-3161</t>
        </is>
      </c>
      <c r="L220" s="20" t="inlineStr"/>
      <c r="M220" s="20" t="inlineStr"/>
      <c r="N220" s="20" t="inlineStr"/>
      <c r="O220" s="20" t="inlineStr"/>
      <c r="P220" s="20" t="inlineStr"/>
      <c r="Q220" s="20" t="inlineStr"/>
      <c r="R220" s="20" t="inlineStr"/>
      <c r="S220" s="20" t="inlineStr"/>
      <c r="T220" s="21" t="n">
        <v>622086.4</v>
      </c>
      <c r="U220" s="31" t="inlineStr">
        <is>
          <t>C</t>
        </is>
      </c>
      <c r="V220" s="23">
        <f>IFERROR(VLOOKUP(U220,Assumptions!$A$7:$D$11,2,FALSE),0)</f>
        <v/>
      </c>
      <c r="W220" s="24">
        <f>MAX(0.5,IFERROR(VLOOKUP(U220,Assumptions!$A$7:$D$11,3,FALSE),3)+IFERROR(VLOOKUP(U220,Assumptions!$A$7:$D$11,4,FALSE),8)/2-IF(AN220="",0,YEAR(TODAY())-AN220))</f>
        <v/>
      </c>
      <c r="X220" s="21">
        <f>T220*V220/(1+Assumptions!$B$3)^W220</f>
        <v/>
      </c>
      <c r="Y220" s="25">
        <f>IF(T220=0,"",ROUND(X220/T220*100,1))</f>
        <v/>
      </c>
      <c r="Z220" s="26">
        <f>X220*Assumptions!$B$4</f>
        <v/>
      </c>
      <c r="AA220" s="25">
        <f>IF(T220=0,"",ROUND(Z220/T220*100,1))</f>
        <v/>
      </c>
      <c r="AB220" s="26">
        <f>X220-Z220</f>
        <v/>
      </c>
      <c r="AC220" s="25">
        <f>IF(T220=0,"",ROUND((X220-Z220)/T220*100,1))</f>
        <v/>
      </c>
      <c r="AD220" s="27" t="inlineStr">
        <is>
          <t>UNKNOWN</t>
        </is>
      </c>
      <c r="AE220" s="28" t="inlineStr">
        <is>
          <t>https://administradorajudicialgs.com.br/wp-content/uploads/2023/08/advogados-sgrott-doc-22-relacao-de-credores-do-administrador-judicial-classe-iii-05-02-14.pdf</t>
        </is>
      </c>
      <c r="AF220" s="27" t="inlineStr">
        <is>
          <t>p4 r4</t>
        </is>
      </c>
      <c r="AG220" s="27" t="inlineStr">
        <is>
          <t>p4: R$ 622.086,40</t>
        </is>
      </c>
      <c r="AH220" s="27" t="inlineStr">
        <is>
          <t>UNKNOWN</t>
        </is>
      </c>
      <c r="AI220" s="27" t="inlineStr"/>
      <c r="AJ220" s="27" t="inlineStr">
        <is>
          <t>OK</t>
        </is>
      </c>
      <c r="AK220" s="29" t="inlineStr">
        <is>
          <t>0022845-08.2013.8.24.0008</t>
        </is>
      </c>
      <c r="AL220" s="29" t="inlineStr">
        <is>
          <t>TJ</t>
        </is>
      </c>
      <c r="AM220" s="29" t="inlineStr"/>
      <c r="AN220" s="29" t="n">
        <v>2013</v>
      </c>
      <c r="AO220" s="29" t="inlineStr">
        <is>
          <t>13y since filing, no plan document</t>
        </is>
      </c>
      <c r="AP220" s="29" t="inlineStr">
        <is>
          <t>POMERODE</t>
        </is>
      </c>
      <c r="AQ220" s="29" t="inlineStr">
        <is>
          <t>SC</t>
        </is>
      </c>
      <c r="AR220" s="29" t="inlineStr">
        <is>
          <t>Comércio atacadista especializado em outros produtos intermediários não especificados anteriormente</t>
        </is>
      </c>
      <c r="AS220" s="29" t="inlineStr">
        <is>
          <t>DEMAIS</t>
        </is>
      </c>
      <c r="AT220" s="29" t="inlineStr">
        <is>
          <t>LARGE CORP</t>
        </is>
      </c>
      <c r="AU220" s="29" t="inlineStr">
        <is>
          <t>06089521</t>
        </is>
      </c>
      <c r="AV220" s="29" t="n">
        <v>1</v>
      </c>
      <c r="AW220" s="29" t="inlineStr">
        <is>
          <t>ROWS:p4r4</t>
        </is>
      </c>
    </row>
    <row r="221">
      <c r="A221" s="15" t="inlineStr">
        <is>
          <t>PESCADO CENTRAL LTDA</t>
        </is>
      </c>
      <c r="B221" s="16" t="n">
        <v>793333.33</v>
      </c>
      <c r="C221" s="17" t="inlineStr">
        <is>
          <t>COMERCIO RACOES BEM BOM LTDA</t>
        </is>
      </c>
      <c r="D221" s="18" t="inlineStr">
        <is>
          <t>NEW</t>
        </is>
      </c>
      <c r="E221" s="19" t="inlineStr"/>
      <c r="F221" s="18" t="inlineStr"/>
      <c r="G221" s="19" t="inlineStr"/>
      <c r="H221" s="18" t="inlineStr"/>
      <c r="I221" s="20" t="inlineStr">
        <is>
          <t>FORTUNATO ANTUNES DE OLIVEIRA</t>
        </is>
      </c>
      <c r="J221" s="20" t="inlineStr">
        <is>
          <t>Sócio-Administrador</t>
        </is>
      </c>
      <c r="K221" s="20" t="inlineStr">
        <is>
          <t>(34) 3293-0600</t>
        </is>
      </c>
      <c r="L221" s="20" t="inlineStr"/>
      <c r="M221" s="20" t="inlineStr"/>
      <c r="N221" s="20" t="inlineStr"/>
      <c r="O221" s="20" t="inlineStr"/>
      <c r="P221" s="20" t="inlineStr"/>
      <c r="Q221" s="20" t="inlineStr"/>
      <c r="R221" s="20" t="inlineStr"/>
      <c r="S221" s="20" t="inlineStr"/>
      <c r="T221" s="21" t="n">
        <v>793333.33</v>
      </c>
      <c r="U221" s="32" t="inlineStr">
        <is>
          <t>A</t>
        </is>
      </c>
      <c r="V221" s="23">
        <f>IFERROR(VLOOKUP(U221,Assumptions!$A$7:$D$11,2,FALSE),0)</f>
        <v/>
      </c>
      <c r="W221" s="24">
        <f>MAX(0.5,IFERROR(VLOOKUP(U221,Assumptions!$A$7:$D$11,3,FALSE),3)+IFERROR(VLOOKUP(U221,Assumptions!$A$7:$D$11,4,FALSE),8)/2-IF(AN221="",0,YEAR(TODAY())-AN221))</f>
        <v/>
      </c>
      <c r="X221" s="21">
        <f>T221*V221/(1+Assumptions!$B$3)^W221</f>
        <v/>
      </c>
      <c r="Y221" s="25">
        <f>IF(T221=0,"",ROUND(X221/T221*100,1))</f>
        <v/>
      </c>
      <c r="Z221" s="26">
        <f>X221*Assumptions!$B$4</f>
        <v/>
      </c>
      <c r="AA221" s="25">
        <f>IF(T221=0,"",ROUND(Z221/T221*100,1))</f>
        <v/>
      </c>
      <c r="AB221" s="26">
        <f>X221-Z221</f>
        <v/>
      </c>
      <c r="AC221" s="25">
        <f>IF(T221=0,"",ROUND((X221-Z221)/T221*100,1))</f>
        <v/>
      </c>
      <c r="AD221" s="27" t="inlineStr">
        <is>
          <t>CONFIRMED</t>
        </is>
      </c>
      <c r="AE221" s="28" t="inlineStr">
        <is>
          <t>https://stenius.com.br/wp-content/uploads/2026/06/EDITAL-GRUPO-3E.pdf</t>
        </is>
      </c>
      <c r="AF221" s="27" t="inlineStr">
        <is>
          <t>p17 r8</t>
        </is>
      </c>
      <c r="AG221" s="27" t="inlineStr">
        <is>
          <t>p17: R$ 793.333,33</t>
        </is>
      </c>
      <c r="AH221" s="27" t="inlineStr">
        <is>
          <t>DEBTOR_LIST</t>
        </is>
      </c>
      <c r="AI221" s="27" t="inlineStr">
        <is>
          <t>2026-06-22</t>
        </is>
      </c>
      <c r="AJ221" s="27" t="inlineStr">
        <is>
          <t>OK_NO_TOTALS</t>
        </is>
      </c>
      <c r="AK221" s="29" t="inlineStr">
        <is>
          <t>5341375-33.2026.8.09.0049</t>
        </is>
      </c>
      <c r="AL221" s="29" t="inlineStr">
        <is>
          <t>TJGO</t>
        </is>
      </c>
      <c r="AM221" s="29" t="inlineStr">
        <is>
          <t>ACTIVE</t>
        </is>
      </c>
      <c r="AN221" s="29" t="n">
        <v>2026</v>
      </c>
      <c r="AO221" s="29" t="inlineStr">
        <is>
          <t>plan/homologation document found</t>
        </is>
      </c>
      <c r="AP221" s="29" t="inlineStr">
        <is>
          <t>IPIACU</t>
        </is>
      </c>
      <c r="AQ221" s="29" t="inlineStr">
        <is>
          <t>MG</t>
        </is>
      </c>
      <c r="AR221" s="29" t="inlineStr">
        <is>
          <t>Fabricação de conservas de peixes, crustáceos e moluscos</t>
        </is>
      </c>
      <c r="AS221" s="29" t="inlineStr">
        <is>
          <t>DEMAIS</t>
        </is>
      </c>
      <c r="AT221" s="29" t="inlineStr">
        <is>
          <t>MID-MARKET</t>
        </is>
      </c>
      <c r="AU221" s="29" t="inlineStr">
        <is>
          <t>32126501</t>
        </is>
      </c>
      <c r="AV221" s="29" t="n">
        <v>1</v>
      </c>
      <c r="AW221" s="29" t="inlineStr">
        <is>
          <t>ROWS:p17r8 UNRECONCILED_SOURCE</t>
        </is>
      </c>
    </row>
    <row r="222">
      <c r="A222" s="15" t="inlineStr">
        <is>
          <t>MILIUM GO1 LTDA</t>
        </is>
      </c>
      <c r="B222" s="16" t="n">
        <v>1057681.86</v>
      </c>
      <c r="C222" s="17" t="inlineStr"/>
      <c r="D222" s="18" t="inlineStr">
        <is>
          <t>NEW</t>
        </is>
      </c>
      <c r="E222" s="19" t="inlineStr"/>
      <c r="F222" s="18" t="inlineStr"/>
      <c r="G222" s="19" t="inlineStr"/>
      <c r="H222" s="18" t="inlineStr"/>
      <c r="I222" s="20" t="inlineStr">
        <is>
          <t>Antonio Fernandes</t>
        </is>
      </c>
      <c r="J222" s="20" t="inlineStr">
        <is>
          <t>Diretor Conselheiro</t>
        </is>
      </c>
      <c r="K222" s="20" t="inlineStr">
        <is>
          <t>(55) 3512-6744</t>
        </is>
      </c>
      <c r="L222" s="20" t="inlineStr">
        <is>
          <t>000000000000</t>
        </is>
      </c>
      <c r="M222" s="20" t="inlineStr"/>
      <c r="N222" s="20" t="inlineStr"/>
      <c r="O222" s="20" t="inlineStr">
        <is>
          <t>eduardo.piazera@milium.com.br</t>
        </is>
      </c>
      <c r="P222" s="20" t="inlineStr">
        <is>
          <t>Eduardo Piazera</t>
        </is>
      </c>
      <c r="Q222" s="20" t="inlineStr">
        <is>
          <t>Legal Director</t>
        </is>
      </c>
      <c r="R222" s="20" t="inlineStr"/>
      <c r="S222" s="20" t="inlineStr">
        <is>
          <t>eduardo.piazera@milium.com.br</t>
        </is>
      </c>
      <c r="T222" s="21" t="n">
        <v>1057681.86</v>
      </c>
      <c r="U222" s="22" t="inlineStr">
        <is>
          <t>B</t>
        </is>
      </c>
      <c r="V222" s="23">
        <f>IFERROR(VLOOKUP(U222,Assumptions!$A$7:$D$11,2,FALSE),0)</f>
        <v/>
      </c>
      <c r="W222" s="24">
        <f>MAX(0.5,IFERROR(VLOOKUP(U222,Assumptions!$A$7:$D$11,3,FALSE),3)+IFERROR(VLOOKUP(U222,Assumptions!$A$7:$D$11,4,FALSE),8)/2-IF(AN222="",0,YEAR(TODAY())-AN222))</f>
        <v/>
      </c>
      <c r="X222" s="21">
        <f>T222*V222/(1+Assumptions!$B$3)^W222</f>
        <v/>
      </c>
      <c r="Y222" s="25">
        <f>IF(T222=0,"",ROUND(X222/T222*100,1))</f>
        <v/>
      </c>
      <c r="Z222" s="26">
        <f>X222*Assumptions!$B$4</f>
        <v/>
      </c>
      <c r="AA222" s="25">
        <f>IF(T222=0,"",ROUND(Z222/T222*100,1))</f>
        <v/>
      </c>
      <c r="AB222" s="26">
        <f>X222-Z222</f>
        <v/>
      </c>
      <c r="AC222" s="25">
        <f>IF(T222=0,"",ROUND((X222-Z222)/T222*100,1))</f>
        <v/>
      </c>
      <c r="AD222" s="27" t="inlineStr">
        <is>
          <t>ESTIMATED</t>
        </is>
      </c>
      <c r="AE222" s="28" t="inlineStr">
        <is>
          <t>https://scalzilliaj.com.br/sgc/download.php?file=files/processo_documento/processo_documento11421222052026_1_.pdf&amp;nome=08. Lista de credores do edital do art. 52, §1º da LREF</t>
        </is>
      </c>
      <c r="AF222" s="27" t="inlineStr">
        <is>
          <t>p4 r3</t>
        </is>
      </c>
      <c r="AG222" s="27" t="inlineStr">
        <is>
          <t>p4: R$ 1.057.681,86</t>
        </is>
      </c>
      <c r="AH222" s="27" t="inlineStr">
        <is>
          <t>UNKNOWN</t>
        </is>
      </c>
      <c r="AI222" s="27" t="inlineStr"/>
      <c r="AJ222" s="27" t="inlineStr">
        <is>
          <t>OK_NO_TOTALS</t>
        </is>
      </c>
      <c r="AK222" s="29" t="inlineStr">
        <is>
          <t>5011369-81.2026.8.09.0093</t>
        </is>
      </c>
      <c r="AL222" s="29" t="inlineStr">
        <is>
          <t>TJGO</t>
        </is>
      </c>
      <c r="AM222" s="29" t="inlineStr">
        <is>
          <t>ACTIVE</t>
        </is>
      </c>
      <c r="AN222" s="29" t="n">
        <v>2026</v>
      </c>
      <c r="AO222" s="29" t="inlineStr">
        <is>
          <t>live case, no plan document yet</t>
        </is>
      </c>
      <c r="AP222" s="29" t="inlineStr">
        <is>
          <t>RIO VERDE</t>
        </is>
      </c>
      <c r="AQ222" s="29" t="inlineStr">
        <is>
          <t>GO</t>
        </is>
      </c>
      <c r="AR222" s="29" t="inlineStr">
        <is>
          <t>Comércio atacadista de defensivos agrícolas, adubos, fertilizantes e corretivos do solo</t>
        </is>
      </c>
      <c r="AS222" s="29" t="inlineStr">
        <is>
          <t>DEMAIS</t>
        </is>
      </c>
      <c r="AT222" s="29" t="inlineStr">
        <is>
          <t>MID-MARKET</t>
        </is>
      </c>
      <c r="AU222" s="29" t="inlineStr">
        <is>
          <t>49802148</t>
        </is>
      </c>
      <c r="AV222" s="29" t="n">
        <v>1</v>
      </c>
      <c r="AW222" s="29" t="inlineStr">
        <is>
          <t>ROWS:p4r3 UNRECONCILED_SOURCE</t>
        </is>
      </c>
    </row>
    <row r="223">
      <c r="A223" s="15" t="inlineStr">
        <is>
          <t>TERRA NOVA AGROINDUSTRIA LTDA</t>
        </is>
      </c>
      <c r="B223" s="16" t="n">
        <v>837280.86</v>
      </c>
      <c r="C223" s="17" t="inlineStr">
        <is>
          <t>Cerealista Sa</t>
        </is>
      </c>
      <c r="D223" s="18" t="inlineStr">
        <is>
          <t>NEW</t>
        </is>
      </c>
      <c r="E223" s="19" t="inlineStr"/>
      <c r="F223" s="18" t="inlineStr"/>
      <c r="G223" s="19" t="inlineStr"/>
      <c r="H223" s="18" t="inlineStr"/>
      <c r="I223" s="20" t="inlineStr">
        <is>
          <t>THALLES DANTAS ROMAO</t>
        </is>
      </c>
      <c r="J223" s="20" t="inlineStr">
        <is>
          <t>Sócio-Administrador</t>
        </is>
      </c>
      <c r="K223" s="20" t="inlineStr">
        <is>
          <t>(65) 3682-9494</t>
        </is>
      </c>
      <c r="L223" s="20" t="inlineStr">
        <is>
          <t>(65) 8152-0065</t>
        </is>
      </c>
      <c r="M223" s="20" t="inlineStr"/>
      <c r="N223" s="20" t="inlineStr"/>
      <c r="O223" s="20" t="inlineStr"/>
      <c r="P223" s="20" t="inlineStr"/>
      <c r="Q223" s="20" t="inlineStr"/>
      <c r="R223" s="20" t="inlineStr"/>
      <c r="S223" s="20" t="inlineStr"/>
      <c r="T223" s="21" t="n">
        <v>837280.86</v>
      </c>
      <c r="U223" s="22" t="inlineStr">
        <is>
          <t>B</t>
        </is>
      </c>
      <c r="V223" s="23">
        <f>IFERROR(VLOOKUP(U223,Assumptions!$A$7:$D$11,2,FALSE),0)</f>
        <v/>
      </c>
      <c r="W223" s="24">
        <f>MAX(0.5,IFERROR(VLOOKUP(U223,Assumptions!$A$7:$D$11,3,FALSE),3)+IFERROR(VLOOKUP(U223,Assumptions!$A$7:$D$11,4,FALSE),8)/2-IF(AN223="",0,YEAR(TODAY())-AN223))</f>
        <v/>
      </c>
      <c r="X223" s="21">
        <f>T223*V223/(1+Assumptions!$B$3)^W223</f>
        <v/>
      </c>
      <c r="Y223" s="25">
        <f>IF(T223=0,"",ROUND(X223/T223*100,1))</f>
        <v/>
      </c>
      <c r="Z223" s="26">
        <f>X223*Assumptions!$B$4</f>
        <v/>
      </c>
      <c r="AA223" s="25">
        <f>IF(T223=0,"",ROUND(Z223/T223*100,1))</f>
        <v/>
      </c>
      <c r="AB223" s="26">
        <f>X223-Z223</f>
        <v/>
      </c>
      <c r="AC223" s="25">
        <f>IF(T223=0,"",ROUND((X223-Z223)/T223*100,1))</f>
        <v/>
      </c>
      <c r="AD223" s="27" t="inlineStr">
        <is>
          <t>ESTIMATED</t>
        </is>
      </c>
      <c r="AE223" s="28" t="inlineStr">
        <is>
          <t>https://ajruiz.com.br/sites/default/files/public/arquivos-processos/2026-01/safrasul_relacao_de_credores_recuperanda.pdf</t>
        </is>
      </c>
      <c r="AF223" s="27" t="inlineStr">
        <is>
          <t>p8 r38</t>
        </is>
      </c>
      <c r="AG223" s="27" t="inlineStr">
        <is>
          <t>p8: R$ 837.280,86</t>
        </is>
      </c>
      <c r="AH223" s="27" t="inlineStr">
        <is>
          <t>AJ_LIST</t>
        </is>
      </c>
      <c r="AI223" s="27" t="inlineStr">
        <is>
          <t>2026-01-14</t>
        </is>
      </c>
      <c r="AJ223" s="27" t="inlineStr">
        <is>
          <t>OK_NO_TOTALS</t>
        </is>
      </c>
      <c r="AK223" s="29" t="inlineStr">
        <is>
          <t>4000167-23.2025.8.26.0373</t>
        </is>
      </c>
      <c r="AL223" s="29" t="inlineStr">
        <is>
          <t>TJSP</t>
        </is>
      </c>
      <c r="AM223" s="29" t="inlineStr">
        <is>
          <t>ACTIVE</t>
        </is>
      </c>
      <c r="AN223" s="29" t="n">
        <v>2025</v>
      </c>
      <c r="AO223" s="29" t="inlineStr">
        <is>
          <t>live case, no plan document yet</t>
        </is>
      </c>
      <c r="AP223" s="29" t="inlineStr">
        <is>
          <t>VARZEA GRANDE</t>
        </is>
      </c>
      <c r="AQ223" s="29" t="inlineStr">
        <is>
          <t>MT</t>
        </is>
      </c>
      <c r="AR223" s="29" t="inlineStr">
        <is>
          <t>Beneficiamento de arroz</t>
        </is>
      </c>
      <c r="AS223" s="29" t="inlineStr">
        <is>
          <t>DEMAIS</t>
        </is>
      </c>
      <c r="AT223" s="29" t="inlineStr">
        <is>
          <t>MID-MARKET</t>
        </is>
      </c>
      <c r="AU223" s="29" t="inlineStr">
        <is>
          <t>07175357</t>
        </is>
      </c>
      <c r="AV223" s="29" t="n">
        <v>1</v>
      </c>
      <c r="AW223" s="29" t="inlineStr">
        <is>
          <t>ROWS:p8r38 UNRECONCILED_SOURCE</t>
        </is>
      </c>
    </row>
    <row r="224">
      <c r="A224" s="15" t="inlineStr">
        <is>
          <t>AGROINDUSTRIAL IRMAOS DALLA COSTA S.A</t>
        </is>
      </c>
      <c r="B224" s="16" t="n">
        <v>535652</v>
      </c>
      <c r="C224" s="17" t="inlineStr">
        <is>
          <t>ADVOCACIA WANDERLEI DE PAULA BARRETO</t>
        </is>
      </c>
      <c r="D224" s="18" t="inlineStr">
        <is>
          <t>NEW</t>
        </is>
      </c>
      <c r="E224" s="19" t="inlineStr"/>
      <c r="F224" s="18" t="inlineStr"/>
      <c r="G224" s="19" t="inlineStr"/>
      <c r="H224" s="18" t="inlineStr"/>
      <c r="I224" s="20" t="inlineStr">
        <is>
          <t>IVO ANTONIO DALLA COSTA</t>
        </is>
      </c>
      <c r="J224" s="20" t="inlineStr">
        <is>
          <t>Diretor</t>
        </is>
      </c>
      <c r="K224" s="20" t="inlineStr">
        <is>
          <t>(18) 3265-6500</t>
        </is>
      </c>
      <c r="L224" s="20" t="inlineStr">
        <is>
          <t>(18) 3265-9393</t>
        </is>
      </c>
      <c r="M224" s="20" t="inlineStr"/>
      <c r="N224" s="20" t="inlineStr"/>
      <c r="O224" s="20" t="inlineStr"/>
      <c r="P224" s="20" t="inlineStr">
        <is>
          <t>THIAGO DALLA COSTA</t>
        </is>
      </c>
      <c r="Q224" s="20" t="inlineStr">
        <is>
          <t>Diretor</t>
        </is>
      </c>
      <c r="R224" s="20" t="inlineStr">
        <is>
          <t>(18) 3265-9393</t>
        </is>
      </c>
      <c r="S224" s="20" t="inlineStr"/>
      <c r="T224" s="21" t="n">
        <v>535652</v>
      </c>
      <c r="U224" s="22" t="inlineStr">
        <is>
          <t>B</t>
        </is>
      </c>
      <c r="V224" s="23">
        <f>IFERROR(VLOOKUP(U224,Assumptions!$A$7:$D$11,2,FALSE),0)</f>
        <v/>
      </c>
      <c r="W224" s="24">
        <f>MAX(0.5,IFERROR(VLOOKUP(U224,Assumptions!$A$7:$D$11,3,FALSE),3)+IFERROR(VLOOKUP(U224,Assumptions!$A$7:$D$11,4,FALSE),8)/2-IF(AN224="",0,YEAR(TODAY())-AN224))</f>
        <v/>
      </c>
      <c r="X224" s="21">
        <f>T224*V224/(1+Assumptions!$B$3)^W224</f>
        <v/>
      </c>
      <c r="Y224" s="25">
        <f>IF(T224=0,"",ROUND(X224/T224*100,1))</f>
        <v/>
      </c>
      <c r="Z224" s="26">
        <f>X224*Assumptions!$B$4</f>
        <v/>
      </c>
      <c r="AA224" s="25">
        <f>IF(T224=0,"",ROUND(Z224/T224*100,1))</f>
        <v/>
      </c>
      <c r="AB224" s="26">
        <f>X224-Z224</f>
        <v/>
      </c>
      <c r="AC224" s="25">
        <f>IF(T224=0,"",ROUND((X224-Z224)/T224*100,1))</f>
        <v/>
      </c>
      <c r="AD224" s="27" t="inlineStr">
        <is>
          <t>ESTIMATED</t>
        </is>
      </c>
      <c r="AE224" s="28" t="inlineStr">
        <is>
          <t>https://marquesadmjudicial.com.br/sgc/download.php?file=files/processo_documento/processo_documento17040729052024_1_.pdf&amp;nome=Relação Nominal de Credores AJ-Sintética</t>
        </is>
      </c>
      <c r="AF224" s="27" t="inlineStr">
        <is>
          <t>p9 r4; p9 r5</t>
        </is>
      </c>
      <c r="AG224" s="27" t="inlineStr">
        <is>
          <t>p9: R$ 433.316,00; p9: R$ 102.336,00</t>
        </is>
      </c>
      <c r="AH224" s="27" t="inlineStr">
        <is>
          <t>AJ_LIST</t>
        </is>
      </c>
      <c r="AI224" s="27" t="inlineStr">
        <is>
          <t>2024-05-27</t>
        </is>
      </c>
      <c r="AJ224" s="27" t="inlineStr">
        <is>
          <t>QUARANTINED</t>
        </is>
      </c>
      <c r="AK224" s="29" t="inlineStr">
        <is>
          <t>0003971-03.2023.8.16.0119</t>
        </is>
      </c>
      <c r="AL224" s="29" t="inlineStr">
        <is>
          <t>TJPR</t>
        </is>
      </c>
      <c r="AM224" s="29" t="inlineStr">
        <is>
          <t>ACTIVE</t>
        </is>
      </c>
      <c r="AN224" s="29" t="n">
        <v>2023</v>
      </c>
      <c r="AO224" s="29" t="inlineStr">
        <is>
          <t>live case, no plan document yet</t>
        </is>
      </c>
      <c r="AP224" s="29" t="inlineStr">
        <is>
          <t>RANCHARIA</t>
        </is>
      </c>
      <c r="AQ224" s="29" t="inlineStr">
        <is>
          <t>SP</t>
        </is>
      </c>
      <c r="AR224" s="29" t="inlineStr">
        <is>
          <t>Abate de aves</t>
        </is>
      </c>
      <c r="AS224" s="29" t="inlineStr">
        <is>
          <t>DEMAIS</t>
        </is>
      </c>
      <c r="AT224" s="29" t="inlineStr">
        <is>
          <t>LARGE CORP</t>
        </is>
      </c>
      <c r="AU224" s="29" t="inlineStr">
        <is>
          <t>07851247</t>
        </is>
      </c>
      <c r="AV224" s="29" t="n">
        <v>2</v>
      </c>
      <c r="AW224" s="29" t="inlineStr">
        <is>
          <t>PARTIAL_DOC_CLASS_III_RECONCILED ROWS:p9r4,p9r5</t>
        </is>
      </c>
    </row>
    <row r="225">
      <c r="A225" s="15" t="inlineStr">
        <is>
          <t>CIMAR - CIMENTOS DO MARANHAO S.A.</t>
        </is>
      </c>
      <c r="B225" s="16" t="n">
        <v>675124.95</v>
      </c>
      <c r="C225" s="17" t="inlineStr"/>
      <c r="D225" s="18" t="inlineStr">
        <is>
          <t>NEW</t>
        </is>
      </c>
      <c r="E225" s="19" t="inlineStr"/>
      <c r="F225" s="18" t="inlineStr"/>
      <c r="G225" s="19" t="inlineStr"/>
      <c r="H225" s="18" t="inlineStr"/>
      <c r="I225" s="20" t="inlineStr">
        <is>
          <t>JOSE ANTERO DOS SANTOS</t>
        </is>
      </c>
      <c r="J225" s="20" t="inlineStr">
        <is>
          <t>Presidente</t>
        </is>
      </c>
      <c r="K225" s="20" t="inlineStr">
        <is>
          <t>(11) 2360-2033</t>
        </is>
      </c>
      <c r="L225" s="20" t="inlineStr">
        <is>
          <t>(98) 3232-3232</t>
        </is>
      </c>
      <c r="M225" s="20" t="inlineStr"/>
      <c r="N225" s="20" t="inlineStr"/>
      <c r="O225" s="20" t="inlineStr"/>
      <c r="P225" s="20" t="inlineStr">
        <is>
          <t>HUMBERTO JORGE COELHO DE GOUVEA</t>
        </is>
      </c>
      <c r="Q225" s="20" t="inlineStr">
        <is>
          <t>Diretor</t>
        </is>
      </c>
      <c r="R225" s="20" t="inlineStr">
        <is>
          <t>(98) 3232-3232</t>
        </is>
      </c>
      <c r="S225" s="20" t="inlineStr"/>
      <c r="T225" s="21" t="n">
        <v>675124.95</v>
      </c>
      <c r="U225" s="31" t="inlineStr">
        <is>
          <t>C</t>
        </is>
      </c>
      <c r="V225" s="23">
        <f>IFERROR(VLOOKUP(U225,Assumptions!$A$7:$D$11,2,FALSE),0)</f>
        <v/>
      </c>
      <c r="W225" s="24">
        <f>MAX(0.5,IFERROR(VLOOKUP(U225,Assumptions!$A$7:$D$11,3,FALSE),3)+IFERROR(VLOOKUP(U225,Assumptions!$A$7:$D$11,4,FALSE),8)/2-IF(AN225="",0,YEAR(TODAY())-AN225))</f>
        <v/>
      </c>
      <c r="X225" s="21">
        <f>T225*V225/(1+Assumptions!$B$3)^W225</f>
        <v/>
      </c>
      <c r="Y225" s="25">
        <f>IF(T225=0,"",ROUND(X225/T225*100,1))</f>
        <v/>
      </c>
      <c r="Z225" s="26">
        <f>X225*Assumptions!$B$4</f>
        <v/>
      </c>
      <c r="AA225" s="25">
        <f>IF(T225=0,"",ROUND(Z225/T225*100,1))</f>
        <v/>
      </c>
      <c r="AB225" s="26">
        <f>X225-Z225</f>
        <v/>
      </c>
      <c r="AC225" s="25">
        <f>IF(T225=0,"",ROUND((X225-Z225)/T225*100,1))</f>
        <v/>
      </c>
      <c r="AD225" s="27" t="inlineStr">
        <is>
          <t>UNKNOWN</t>
        </is>
      </c>
      <c r="AE225" s="28" t="inlineStr">
        <is>
          <t>https://realbrasil.com.br/wp-content/uploads/2018/06/2_LISTA-DE-CREDORES-DA-RECUPERANDA_ROQUE.pdf</t>
        </is>
      </c>
      <c r="AF225" s="27" t="inlineStr">
        <is>
          <t>p2 r5</t>
        </is>
      </c>
      <c r="AG225" s="27" t="inlineStr">
        <is>
          <t>p2: R$ 675.124,95</t>
        </is>
      </c>
      <c r="AH225" s="27" t="inlineStr">
        <is>
          <t>UNKNOWN</t>
        </is>
      </c>
      <c r="AI225" s="27" t="inlineStr"/>
      <c r="AJ225" s="27" t="inlineStr">
        <is>
          <t>OK</t>
        </is>
      </c>
      <c r="AK225" s="29" t="inlineStr">
        <is>
          <t>0802426-35.2019.8.10.0000</t>
        </is>
      </c>
      <c r="AL225" s="29" t="inlineStr">
        <is>
          <t>TJ</t>
        </is>
      </c>
      <c r="AM225" s="29" t="inlineStr"/>
      <c r="AN225" s="29" t="n">
        <v>2019</v>
      </c>
      <c r="AO225" s="29" t="inlineStr">
        <is>
          <t>7y since filing, no plan document</t>
        </is>
      </c>
      <c r="AP225" s="29" t="inlineStr">
        <is>
          <t>SAO LUIS</t>
        </is>
      </c>
      <c r="AQ225" s="29" t="inlineStr">
        <is>
          <t>MA</t>
        </is>
      </c>
      <c r="AR225" s="29" t="inlineStr">
        <is>
          <t>Fabricação de cimento</t>
        </is>
      </c>
      <c r="AS225" s="29" t="inlineStr">
        <is>
          <t>DEMAIS</t>
        </is>
      </c>
      <c r="AT225" s="29" t="inlineStr">
        <is>
          <t>MID-MARKET</t>
        </is>
      </c>
      <c r="AU225" s="29" t="inlineStr">
        <is>
          <t>15129010</t>
        </is>
      </c>
      <c r="AV225" s="29" t="n">
        <v>1</v>
      </c>
      <c r="AW225" s="29" t="inlineStr">
        <is>
          <t>ROWS:p2r5 VALUE_COL:Saldo_Total</t>
        </is>
      </c>
    </row>
    <row r="226">
      <c r="A226" s="15" t="inlineStr">
        <is>
          <t>TUBOS TIGRE-ADS DO BRASIL LIMITADA</t>
        </is>
      </c>
      <c r="B226" s="16" t="n">
        <v>840995.9399999999</v>
      </c>
      <c r="C226" s="17" t="inlineStr">
        <is>
          <t>CONSTRUTORA ANDRADE GUEDES LDTA – Diligence Administração em Recuperação Judicial e Falência</t>
        </is>
      </c>
      <c r="D226" s="18" t="inlineStr">
        <is>
          <t>NEW</t>
        </is>
      </c>
      <c r="E226" s="19" t="inlineStr"/>
      <c r="F226" s="18" t="inlineStr"/>
      <c r="G226" s="19" t="inlineStr"/>
      <c r="H226" s="18" t="inlineStr"/>
      <c r="I226" s="20" t="inlineStr">
        <is>
          <t>EDUARDO POZZANI REIS</t>
        </is>
      </c>
      <c r="J226" s="20" t="inlineStr">
        <is>
          <t>Administrador</t>
        </is>
      </c>
      <c r="K226" s="20" t="inlineStr">
        <is>
          <t>(19) 8342-0006</t>
        </is>
      </c>
      <c r="L226" s="20" t="inlineStr"/>
      <c r="M226" s="20" t="inlineStr"/>
      <c r="N226" s="20" t="inlineStr"/>
      <c r="O226" s="20" t="inlineStr"/>
      <c r="P226" s="20" t="inlineStr">
        <is>
          <t>GABRIEL FIGUEIREDO NETO</t>
        </is>
      </c>
      <c r="Q226" s="20" t="inlineStr">
        <is>
          <t>Administrador</t>
        </is>
      </c>
      <c r="R226" s="20" t="inlineStr">
        <is>
          <t>(19) 8342-0006</t>
        </is>
      </c>
      <c r="S226" s="20" t="inlineStr"/>
      <c r="T226" s="21" t="n">
        <v>840995.9399999999</v>
      </c>
      <c r="U226" s="31" t="inlineStr">
        <is>
          <t>C</t>
        </is>
      </c>
      <c r="V226" s="23">
        <f>IFERROR(VLOOKUP(U226,Assumptions!$A$7:$D$11,2,FALSE),0)</f>
        <v/>
      </c>
      <c r="W226" s="24">
        <f>MAX(0.5,IFERROR(VLOOKUP(U226,Assumptions!$A$7:$D$11,3,FALSE),3)+IFERROR(VLOOKUP(U226,Assumptions!$A$7:$D$11,4,FALSE),8)/2-IF(AN226="",0,YEAR(TODAY())-AN226))</f>
        <v/>
      </c>
      <c r="X226" s="21">
        <f>T226*V226/(1+Assumptions!$B$3)^W226</f>
        <v/>
      </c>
      <c r="Y226" s="25">
        <f>IF(T226=0,"",ROUND(X226/T226*100,1))</f>
        <v/>
      </c>
      <c r="Z226" s="26">
        <f>X226*Assumptions!$B$4</f>
        <v/>
      </c>
      <c r="AA226" s="25">
        <f>IF(T226=0,"",ROUND(Z226/T226*100,1))</f>
        <v/>
      </c>
      <c r="AB226" s="26">
        <f>X226-Z226</f>
        <v/>
      </c>
      <c r="AC226" s="25">
        <f>IF(T226=0,"",ROUND((X226-Z226)/T226*100,1))</f>
        <v/>
      </c>
      <c r="AD226" s="27" t="inlineStr">
        <is>
          <t>ESTIMATED</t>
        </is>
      </c>
      <c r="AE226" s="28" t="inlineStr">
        <is>
          <t>https://diligence.adm.br/wp-content/plugins/download-attachments/includes/download.php?id=4599</t>
        </is>
      </c>
      <c r="AF226" s="27" t="inlineStr">
        <is>
          <t>p10 r79</t>
        </is>
      </c>
      <c r="AG226" s="27" t="inlineStr">
        <is>
          <t>p10: R$ 840.995,94</t>
        </is>
      </c>
      <c r="AH226" s="27" t="inlineStr">
        <is>
          <t>AJ_LIST</t>
        </is>
      </c>
      <c r="AI226" s="27" t="inlineStr">
        <is>
          <t>2024-06-25</t>
        </is>
      </c>
      <c r="AJ226" s="27" t="inlineStr">
        <is>
          <t>OK_NO_TOTALS</t>
        </is>
      </c>
      <c r="AK226" s="29" t="inlineStr">
        <is>
          <t>0000880-57.2020.8.17.2001</t>
        </is>
      </c>
      <c r="AL226" s="29" t="inlineStr">
        <is>
          <t>TJPE</t>
        </is>
      </c>
      <c r="AM226" s="29" t="inlineStr">
        <is>
          <t>ACTIVE</t>
        </is>
      </c>
      <c r="AN226" s="29" t="n">
        <v>2020</v>
      </c>
      <c r="AO226" s="29" t="inlineStr">
        <is>
          <t>6y since filing, no plan document</t>
        </is>
      </c>
      <c r="AP226" s="29" t="inlineStr">
        <is>
          <t>RIO CLARO</t>
        </is>
      </c>
      <c r="AQ226" s="29" t="inlineStr">
        <is>
          <t>SP</t>
        </is>
      </c>
      <c r="AR226" s="29" t="inlineStr">
        <is>
          <t>Fabricação de tubos e acessórios de material plástico para uso na construção</t>
        </is>
      </c>
      <c r="AS226" s="29" t="inlineStr">
        <is>
          <t>DEMAIS</t>
        </is>
      </c>
      <c r="AT226" s="29" t="inlineStr">
        <is>
          <t>MID-MARKET</t>
        </is>
      </c>
      <c r="AU226" s="29" t="inlineStr">
        <is>
          <t>11069316</t>
        </is>
      </c>
      <c r="AV226" s="29" t="n">
        <v>1</v>
      </c>
      <c r="AW226" s="29" t="inlineStr">
        <is>
          <t>ALT_VALUE:R$840.995,94 ROWS:p10r79 UNRECONCILED_SOURCE VALUE_COL:2ª_Lista</t>
        </is>
      </c>
    </row>
    <row r="227">
      <c r="A227" s="15" t="inlineStr">
        <is>
          <t>CITROTEC INDUSTRIA E COMERCIO LTDA</t>
        </is>
      </c>
      <c r="B227" s="16" t="n">
        <v>820000</v>
      </c>
      <c r="C227" s="17" t="inlineStr">
        <is>
          <t>ATIVOS ADMINISTRAÇÃO JUDICIA</t>
        </is>
      </c>
      <c r="D227" s="18" t="inlineStr">
        <is>
          <t>NEW</t>
        </is>
      </c>
      <c r="E227" s="19" t="inlineStr"/>
      <c r="F227" s="18" t="inlineStr"/>
      <c r="G227" s="19" t="inlineStr"/>
      <c r="H227" s="18" t="inlineStr"/>
      <c r="I227" s="20" t="inlineStr">
        <is>
          <t>Valter Tagliaferro</t>
        </is>
      </c>
      <c r="J227" s="20" t="inlineStr">
        <is>
          <t>Gerente Comercial Técnico</t>
        </is>
      </c>
      <c r="K227" s="20" t="inlineStr">
        <is>
          <t>(16) 3303-9796</t>
        </is>
      </c>
      <c r="L227" s="20" t="inlineStr"/>
      <c r="M227" s="20" t="inlineStr"/>
      <c r="N227" s="20" t="inlineStr">
        <is>
          <t>valter@citrotec.com.br</t>
        </is>
      </c>
      <c r="O227" s="20" t="inlineStr"/>
      <c r="P227" s="20" t="inlineStr">
        <is>
          <t>PAULO HENRIQUE SAMPAIO</t>
        </is>
      </c>
      <c r="Q227" s="20" t="inlineStr">
        <is>
          <t>Administrador</t>
        </is>
      </c>
      <c r="R227" s="20" t="inlineStr">
        <is>
          <t>(16) 3303-9796</t>
        </is>
      </c>
      <c r="S227" s="20" t="inlineStr"/>
      <c r="T227" s="21" t="n">
        <v>820000</v>
      </c>
      <c r="U227" s="22" t="inlineStr">
        <is>
          <t>B</t>
        </is>
      </c>
      <c r="V227" s="23">
        <f>IFERROR(VLOOKUP(U227,Assumptions!$A$7:$D$11,2,FALSE),0)</f>
        <v/>
      </c>
      <c r="W227" s="24">
        <f>MAX(0.5,IFERROR(VLOOKUP(U227,Assumptions!$A$7:$D$11,3,FALSE),3)+IFERROR(VLOOKUP(U227,Assumptions!$A$7:$D$11,4,FALSE),8)/2-IF(AN227="",0,YEAR(TODAY())-AN227))</f>
        <v/>
      </c>
      <c r="X227" s="21">
        <f>T227*V227/(1+Assumptions!$B$3)^W227</f>
        <v/>
      </c>
      <c r="Y227" s="25">
        <f>IF(T227=0,"",ROUND(X227/T227*100,1))</f>
        <v/>
      </c>
      <c r="Z227" s="26">
        <f>X227*Assumptions!$B$4</f>
        <v/>
      </c>
      <c r="AA227" s="25">
        <f>IF(T227=0,"",ROUND(Z227/T227*100,1))</f>
        <v/>
      </c>
      <c r="AB227" s="26">
        <f>X227-Z227</f>
        <v/>
      </c>
      <c r="AC227" s="25">
        <f>IF(T227=0,"",ROUND((X227-Z227)/T227*100,1))</f>
        <v/>
      </c>
      <c r="AD227" s="27" t="inlineStr">
        <is>
          <t>ESTIMATED</t>
        </is>
      </c>
      <c r="AE227" s="28" t="inlineStr">
        <is>
          <t>https://ativosajce.com.br/admin/download.php?file=files/processo_documento/processo_documento13422625032025_1_.pdf&amp;nome=Relação de Credores - Art. 52º § 1º, da Lei nº 11.101/2005 - 25/02/2025</t>
        </is>
      </c>
      <c r="AF227" s="27" t="inlineStr">
        <is>
          <t>p3 r48; p3 r49; p3 r50; p3 r51; p3 r52; p3 r53; p3 r54; p3 r55</t>
        </is>
      </c>
      <c r="AG227" s="27" t="inlineStr">
        <is>
          <t>p3: R$ 360.000,00; p3: R$ 460.000,00; p3: R$ 460.000,00; p3: R$ 460.000,00; p3: R$ 460.000,00; p3: R$ 460.000,00; p3: R$ 460.000,00; p3: R$ 460.000,00</t>
        </is>
      </c>
      <c r="AH227" s="27" t="inlineStr">
        <is>
          <t>UNKNOWN</t>
        </is>
      </c>
      <c r="AI227" s="27" t="inlineStr">
        <is>
          <t>2025-02-28</t>
        </is>
      </c>
      <c r="AJ227" s="27" t="inlineStr">
        <is>
          <t>OK_NO_TOTALS</t>
        </is>
      </c>
      <c r="AK227" s="29" t="inlineStr">
        <is>
          <t>1000119-75.2025.8.26.0354</t>
        </is>
      </c>
      <c r="AL227" s="29" t="inlineStr">
        <is>
          <t>TJSP</t>
        </is>
      </c>
      <c r="AM227" s="29" t="inlineStr">
        <is>
          <t>ACTIVE</t>
        </is>
      </c>
      <c r="AN227" s="29" t="n">
        <v>2025</v>
      </c>
      <c r="AO227" s="29" t="inlineStr">
        <is>
          <t>live case, no plan document yet</t>
        </is>
      </c>
      <c r="AP227" s="29" t="inlineStr">
        <is>
          <t>ARARAQUARA</t>
        </is>
      </c>
      <c r="AQ227" s="29" t="inlineStr">
        <is>
          <t>SP</t>
        </is>
      </c>
      <c r="AR227" s="29" t="inlineStr">
        <is>
          <t>Fabricação de máquinas e equipamentos para as indústrias de alimentos, bebidas e fumo, peças e acessórios</t>
        </is>
      </c>
      <c r="AS227" s="29" t="inlineStr">
        <is>
          <t>DEMAIS</t>
        </is>
      </c>
      <c r="AT227" s="29" t="inlineStr">
        <is>
          <t>MID-MARKET</t>
        </is>
      </c>
      <c r="AU227" s="29" t="inlineStr">
        <is>
          <t>03727941</t>
        </is>
      </c>
      <c r="AV227" s="29" t="n">
        <v>2</v>
      </c>
      <c r="AW227" s="29" t="inlineStr">
        <is>
          <t>ROWS:p3r48,p3r49 UNRECONCILED_SOURCE</t>
        </is>
      </c>
    </row>
    <row r="228">
      <c r="A228" s="15" t="inlineStr">
        <is>
          <t>TESSIN INDUSTRIA E COMERCIO LTDA</t>
        </is>
      </c>
      <c r="B228" s="16" t="n">
        <v>588544.67</v>
      </c>
      <c r="C228" s="17" t="inlineStr"/>
      <c r="D228" s="18" t="inlineStr">
        <is>
          <t>NEW</t>
        </is>
      </c>
      <c r="E228" s="19" t="inlineStr"/>
      <c r="F228" s="18" t="inlineStr"/>
      <c r="G228" s="19" t="inlineStr"/>
      <c r="H228" s="18" t="inlineStr"/>
      <c r="I228" s="20" t="inlineStr">
        <is>
          <t>AMON YAMAGUCHI NISHIKUNI</t>
        </is>
      </c>
      <c r="J228" s="20" t="inlineStr">
        <is>
          <t>Sócio-Administrador</t>
        </is>
      </c>
      <c r="K228" s="20" t="inlineStr">
        <is>
          <t>(11) 4748-3922</t>
        </is>
      </c>
      <c r="L228" s="20" t="inlineStr"/>
      <c r="M228" s="20" t="inlineStr"/>
      <c r="N228" s="20" t="inlineStr"/>
      <c r="O228" s="20" t="inlineStr"/>
      <c r="P228" s="20" t="inlineStr"/>
      <c r="Q228" s="20" t="inlineStr"/>
      <c r="R228" s="20" t="inlineStr"/>
      <c r="S228" s="20" t="inlineStr"/>
      <c r="T228" s="21" t="n">
        <v>588544.67</v>
      </c>
      <c r="U228" s="31" t="inlineStr">
        <is>
          <t>C</t>
        </is>
      </c>
      <c r="V228" s="23">
        <f>IFERROR(VLOOKUP(U228,Assumptions!$A$7:$D$11,2,FALSE),0)</f>
        <v/>
      </c>
      <c r="W228" s="24">
        <f>MAX(0.5,IFERROR(VLOOKUP(U228,Assumptions!$A$7:$D$11,3,FALSE),3)+IFERROR(VLOOKUP(U228,Assumptions!$A$7:$D$11,4,FALSE),8)/2-IF(AN228="",0,YEAR(TODAY())-AN228))</f>
        <v/>
      </c>
      <c r="X228" s="21">
        <f>T228*V228/(1+Assumptions!$B$3)^W228</f>
        <v/>
      </c>
      <c r="Y228" s="25">
        <f>IF(T228=0,"",ROUND(X228/T228*100,1))</f>
        <v/>
      </c>
      <c r="Z228" s="26">
        <f>X228*Assumptions!$B$4</f>
        <v/>
      </c>
      <c r="AA228" s="25">
        <f>IF(T228=0,"",ROUND(Z228/T228*100,1))</f>
        <v/>
      </c>
      <c r="AB228" s="26">
        <f>X228-Z228</f>
        <v/>
      </c>
      <c r="AC228" s="25">
        <f>IF(T228=0,"",ROUND((X228-Z228)/T228*100,1))</f>
        <v/>
      </c>
      <c r="AD228" s="27" t="inlineStr">
        <is>
          <t>UNKNOWN</t>
        </is>
      </c>
      <c r="AE228" s="28" t="inlineStr">
        <is>
          <t>https://administradorajudicialgs.com.br/wp-content/uploads/2023/08/advogados-sgrott-doc-22-relacao-de-credores-do-administrador-judicial-classe-iii-05-02-14.pdf</t>
        </is>
      </c>
      <c r="AF228" s="27" t="inlineStr">
        <is>
          <t>p6 r3</t>
        </is>
      </c>
      <c r="AG228" s="27" t="inlineStr">
        <is>
          <t>p6: R$ 588.544,67</t>
        </is>
      </c>
      <c r="AH228" s="27" t="inlineStr">
        <is>
          <t>UNKNOWN</t>
        </is>
      </c>
      <c r="AI228" s="27" t="inlineStr"/>
      <c r="AJ228" s="27" t="inlineStr">
        <is>
          <t>OK</t>
        </is>
      </c>
      <c r="AK228" s="29" t="inlineStr">
        <is>
          <t>0022845-08.2013.8.24.0008</t>
        </is>
      </c>
      <c r="AL228" s="29" t="inlineStr">
        <is>
          <t>TJ</t>
        </is>
      </c>
      <c r="AM228" s="29" t="inlineStr"/>
      <c r="AN228" s="29" t="n">
        <v>2013</v>
      </c>
      <c r="AO228" s="29" t="inlineStr">
        <is>
          <t>13y since filing, no plan document</t>
        </is>
      </c>
      <c r="AP228" s="29" t="inlineStr">
        <is>
          <t>SUZANO</t>
        </is>
      </c>
      <c r="AQ228" s="29" t="inlineStr">
        <is>
          <t>SP</t>
        </is>
      </c>
      <c r="AR228" s="29" t="inlineStr">
        <is>
          <t>Fabricação de componentes eletrônicos</t>
        </is>
      </c>
      <c r="AS228" s="29" t="inlineStr">
        <is>
          <t>DEMAIS</t>
        </is>
      </c>
      <c r="AT228" s="29" t="inlineStr">
        <is>
          <t>MID-MARKET</t>
        </is>
      </c>
      <c r="AU228" s="29" t="inlineStr">
        <is>
          <t>44412435</t>
        </is>
      </c>
      <c r="AV228" s="29" t="n">
        <v>1</v>
      </c>
      <c r="AW228" s="29" t="inlineStr">
        <is>
          <t>ROWS:p6r3</t>
        </is>
      </c>
    </row>
    <row r="229">
      <c r="A229" s="15" t="inlineStr">
        <is>
          <t>SOLUS PECAS AGRICOLAS LTDA</t>
        </is>
      </c>
      <c r="B229" s="16" t="n">
        <v>798077.09</v>
      </c>
      <c r="C229" s="17" t="inlineStr"/>
      <c r="D229" s="18" t="inlineStr">
        <is>
          <t>NEW</t>
        </is>
      </c>
      <c r="E229" s="19" t="inlineStr"/>
      <c r="F229" s="18" t="inlineStr"/>
      <c r="G229" s="19" t="inlineStr"/>
      <c r="H229" s="18" t="inlineStr"/>
      <c r="I229" s="20" t="inlineStr">
        <is>
          <t>EVANDRO NERI</t>
        </is>
      </c>
      <c r="J229" s="20" t="inlineStr">
        <is>
          <t>Sócio-Administrador</t>
        </is>
      </c>
      <c r="K229" s="20" t="inlineStr">
        <is>
          <t>(04) 6224-1289</t>
        </is>
      </c>
      <c r="L229" s="20" t="inlineStr"/>
      <c r="M229" s="20" t="inlineStr"/>
      <c r="N229" s="20" t="inlineStr"/>
      <c r="O229" s="20" t="inlineStr"/>
      <c r="P229" s="20" t="inlineStr"/>
      <c r="Q229" s="20" t="inlineStr"/>
      <c r="R229" s="20" t="inlineStr"/>
      <c r="S229" s="20" t="inlineStr"/>
      <c r="T229" s="21" t="n">
        <v>798077.09</v>
      </c>
      <c r="U229" s="22" t="inlineStr">
        <is>
          <t>B</t>
        </is>
      </c>
      <c r="V229" s="23">
        <f>IFERROR(VLOOKUP(U229,Assumptions!$A$7:$D$11,2,FALSE),0)</f>
        <v/>
      </c>
      <c r="W229" s="24">
        <f>MAX(0.5,IFERROR(VLOOKUP(U229,Assumptions!$A$7:$D$11,3,FALSE),3)+IFERROR(VLOOKUP(U229,Assumptions!$A$7:$D$11,4,FALSE),8)/2-IF(AN229="",0,YEAR(TODAY())-AN229))</f>
        <v/>
      </c>
      <c r="X229" s="21">
        <f>T229*V229/(1+Assumptions!$B$3)^W229</f>
        <v/>
      </c>
      <c r="Y229" s="25">
        <f>IF(T229=0,"",ROUND(X229/T229*100,1))</f>
        <v/>
      </c>
      <c r="Z229" s="26">
        <f>X229*Assumptions!$B$4</f>
        <v/>
      </c>
      <c r="AA229" s="25">
        <f>IF(T229=0,"",ROUND(Z229/T229*100,1))</f>
        <v/>
      </c>
      <c r="AB229" s="26">
        <f>X229-Z229</f>
        <v/>
      </c>
      <c r="AC229" s="25">
        <f>IF(T229=0,"",ROUND((X229-Z229)/T229*100,1))</f>
        <v/>
      </c>
      <c r="AD229" s="27" t="inlineStr">
        <is>
          <t>UNKNOWN</t>
        </is>
      </c>
      <c r="AE229" s="28" t="inlineStr">
        <is>
          <t>https://credibilita.com.br/wp-content/uploads/2025/09/Relacao-Credores-29.04.2026.pdf</t>
        </is>
      </c>
      <c r="AF229" s="27" t="inlineStr">
        <is>
          <t>p2 r18</t>
        </is>
      </c>
      <c r="AG229" s="27" t="inlineStr">
        <is>
          <t>p2: R$ 798.077,09</t>
        </is>
      </c>
      <c r="AH229" s="27" t="inlineStr">
        <is>
          <t>UNKNOWN</t>
        </is>
      </c>
      <c r="AI229" s="27" t="inlineStr"/>
      <c r="AJ229" s="27" t="inlineStr">
        <is>
          <t>OK_NO_TOTALS</t>
        </is>
      </c>
      <c r="AK229" s="29" t="inlineStr">
        <is>
          <t>5057720-48.2025.8.24.0023</t>
        </is>
      </c>
      <c r="AL229" s="29" t="inlineStr">
        <is>
          <t>TJ</t>
        </is>
      </c>
      <c r="AM229" s="29" t="inlineStr"/>
      <c r="AN229" s="29" t="n">
        <v>2025</v>
      </c>
      <c r="AO229" s="29" t="inlineStr">
        <is>
          <t>live case, no plan document yet</t>
        </is>
      </c>
      <c r="AP229" s="29" t="inlineStr">
        <is>
          <t>PATO BRANCO</t>
        </is>
      </c>
      <c r="AQ229" s="29" t="inlineStr">
        <is>
          <t>PR</t>
        </is>
      </c>
      <c r="AR229" s="29" t="inlineStr">
        <is>
          <t>Fabricação de máquinas e equipamentos para a agricultura e pecuária, peças e acessórios, exceto para irrigação</t>
        </is>
      </c>
      <c r="AS229" s="29" t="inlineStr">
        <is>
          <t>EMPRESA DE PEQUENO PORTE</t>
        </is>
      </c>
      <c r="AT229" s="29" t="inlineStr">
        <is>
          <t>SMALL</t>
        </is>
      </c>
      <c r="AU229" s="29" t="inlineStr">
        <is>
          <t>02149075</t>
        </is>
      </c>
      <c r="AV229" s="29" t="n">
        <v>1</v>
      </c>
      <c r="AW229" s="29" t="inlineStr">
        <is>
          <t>ROWS:p2r18 UNRECONCILED_SOURCE VALUE_COL:Valor_Após_Analise</t>
        </is>
      </c>
    </row>
    <row r="230">
      <c r="A230" s="15" t="inlineStr">
        <is>
          <t>STRATURA ASFALTOS LTDA.</t>
        </is>
      </c>
      <c r="B230" s="16" t="n">
        <v>408408.17</v>
      </c>
      <c r="C230" s="17" t="inlineStr">
        <is>
          <t>CPX DISTRIBUIDORA S.A.</t>
        </is>
      </c>
      <c r="D230" s="18" t="inlineStr">
        <is>
          <t>NEW</t>
        </is>
      </c>
      <c r="E230" s="19" t="inlineStr"/>
      <c r="F230" s="18" t="inlineStr"/>
      <c r="G230" s="19" t="inlineStr"/>
      <c r="H230" s="18" t="inlineStr"/>
      <c r="I230" s="20" t="inlineStr">
        <is>
          <t>CARLOS ALBERTO DE AQUINO PINHEIRO JUNIOR</t>
        </is>
      </c>
      <c r="J230" s="20" t="inlineStr">
        <is>
          <t>Administrador</t>
        </is>
      </c>
      <c r="K230" s="20" t="inlineStr">
        <is>
          <t>(11) 3513-4260</t>
        </is>
      </c>
      <c r="L230" s="20" t="inlineStr"/>
      <c r="M230" s="20" t="inlineStr"/>
      <c r="N230" s="20" t="inlineStr"/>
      <c r="O230" s="20" t="inlineStr"/>
      <c r="P230" s="20" t="inlineStr"/>
      <c r="Q230" s="20" t="inlineStr"/>
      <c r="R230" s="20" t="inlineStr"/>
      <c r="S230" s="20" t="inlineStr"/>
      <c r="T230" s="21" t="n">
        <v>408408.17</v>
      </c>
      <c r="U230" s="22" t="inlineStr">
        <is>
          <t>B</t>
        </is>
      </c>
      <c r="V230" s="23">
        <f>IFERROR(VLOOKUP(U230,Assumptions!$A$7:$D$11,2,FALSE),0)</f>
        <v/>
      </c>
      <c r="W230" s="24">
        <f>MAX(0.5,IFERROR(VLOOKUP(U230,Assumptions!$A$7:$D$11,3,FALSE),3)+IFERROR(VLOOKUP(U230,Assumptions!$A$7:$D$11,4,FALSE),8)/2-IF(AN230="",0,YEAR(TODAY())-AN230))</f>
        <v/>
      </c>
      <c r="X230" s="21">
        <f>T230*V230/(1+Assumptions!$B$3)^W230</f>
        <v/>
      </c>
      <c r="Y230" s="25">
        <f>IF(T230=0,"",ROUND(X230/T230*100,1))</f>
        <v/>
      </c>
      <c r="Z230" s="26">
        <f>X230*Assumptions!$B$4</f>
        <v/>
      </c>
      <c r="AA230" s="25">
        <f>IF(T230=0,"",ROUND(Z230/T230*100,1))</f>
        <v/>
      </c>
      <c r="AB230" s="26">
        <f>X230-Z230</f>
        <v/>
      </c>
      <c r="AC230" s="25">
        <f>IF(T230=0,"",ROUND((X230-Z230)/T230*100,1))</f>
        <v/>
      </c>
      <c r="AD230" s="27" t="inlineStr">
        <is>
          <t>ESTIMATED</t>
        </is>
      </c>
      <c r="AE230" s="28" t="inlineStr">
        <is>
          <t>https://marquesadmjudicial.com.br/sgc/download.php?file=files/processo_documento/processo_documento16562707032024_1_.pdf&amp;nome=2º Edital-Relação de Credores do art. 7, §2 da LREF e do Plano de Recuperação Judicial</t>
        </is>
      </c>
      <c r="AF230" s="27" t="inlineStr">
        <is>
          <t>p1 r26</t>
        </is>
      </c>
      <c r="AG230" s="27" t="inlineStr">
        <is>
          <t>p1: R$ 408.408,17</t>
        </is>
      </c>
      <c r="AH230" s="27" t="inlineStr">
        <is>
          <t>AJ_LIST</t>
        </is>
      </c>
      <c r="AI230" s="27" t="inlineStr">
        <is>
          <t>2022-11-17</t>
        </is>
      </c>
      <c r="AJ230" s="27" t="inlineStr">
        <is>
          <t>OK_NO_TOTALS</t>
        </is>
      </c>
      <c r="AK230" s="29" t="inlineStr">
        <is>
          <t>0037411-27.2022.8.16.0021</t>
        </is>
      </c>
      <c r="AL230" s="29" t="inlineStr">
        <is>
          <t>TJPR</t>
        </is>
      </c>
      <c r="AM230" s="29" t="inlineStr">
        <is>
          <t>ACTIVE</t>
        </is>
      </c>
      <c r="AN230" s="29" t="n">
        <v>2022</v>
      </c>
      <c r="AO230" s="29" t="inlineStr">
        <is>
          <t>live case, no plan document yet</t>
        </is>
      </c>
      <c r="AP230" s="29" t="inlineStr">
        <is>
          <t>SAO PAULO</t>
        </is>
      </c>
      <c r="AQ230" s="29" t="inlineStr">
        <is>
          <t>SP</t>
        </is>
      </c>
      <c r="AR230" s="29" t="inlineStr">
        <is>
          <t>Serviços combinados de escritório e apoio administrativo</t>
        </is>
      </c>
      <c r="AS230" s="29" t="inlineStr">
        <is>
          <t>DEMAIS</t>
        </is>
      </c>
      <c r="AT230" s="29" t="inlineStr">
        <is>
          <t>LARGE CORP</t>
        </is>
      </c>
      <c r="AU230" s="29" t="inlineStr">
        <is>
          <t>59128553</t>
        </is>
      </c>
      <c r="AV230" s="29" t="n">
        <v>1</v>
      </c>
      <c r="AW230" s="29" t="inlineStr">
        <is>
          <t>ROWS:p1r26 UNRECONCILED_SOURCE</t>
        </is>
      </c>
    </row>
    <row r="231">
      <c r="A231" s="15" t="inlineStr">
        <is>
          <t>LICHT COMERCIO IMPORTACAO E EXPORTACAO LTDA</t>
        </is>
      </c>
      <c r="B231" s="16" t="n">
        <v>583200</v>
      </c>
      <c r="C231" s="17" t="inlineStr"/>
      <c r="D231" s="18" t="inlineStr">
        <is>
          <t>NEW</t>
        </is>
      </c>
      <c r="E231" s="19" t="inlineStr"/>
      <c r="F231" s="18" t="inlineStr"/>
      <c r="G231" s="19" t="inlineStr"/>
      <c r="H231" s="18" t="inlineStr"/>
      <c r="I231" s="20" t="inlineStr">
        <is>
          <t>RODRIGO ABEL TENORIO</t>
        </is>
      </c>
      <c r="J231" s="20" t="inlineStr">
        <is>
          <t>Sócio-Administrador</t>
        </is>
      </c>
      <c r="K231" s="20" t="inlineStr">
        <is>
          <t>(11) 2724-2007</t>
        </is>
      </c>
      <c r="L231" s="20" t="inlineStr"/>
      <c r="M231" s="20" t="inlineStr"/>
      <c r="N231" s="20" t="inlineStr"/>
      <c r="O231" s="20" t="inlineStr"/>
      <c r="P231" s="20" t="inlineStr"/>
      <c r="Q231" s="20" t="inlineStr"/>
      <c r="R231" s="20" t="inlineStr"/>
      <c r="S231" s="20" t="inlineStr"/>
      <c r="T231" s="21" t="n">
        <v>583200</v>
      </c>
      <c r="U231" s="31" t="inlineStr">
        <is>
          <t>C</t>
        </is>
      </c>
      <c r="V231" s="23">
        <f>IFERROR(VLOOKUP(U231,Assumptions!$A$7:$D$11,2,FALSE),0)</f>
        <v/>
      </c>
      <c r="W231" s="24">
        <f>MAX(0.5,IFERROR(VLOOKUP(U231,Assumptions!$A$7:$D$11,3,FALSE),3)+IFERROR(VLOOKUP(U231,Assumptions!$A$7:$D$11,4,FALSE),8)/2-IF(AN231="",0,YEAR(TODAY())-AN231))</f>
        <v/>
      </c>
      <c r="X231" s="21">
        <f>T231*V231/(1+Assumptions!$B$3)^W231</f>
        <v/>
      </c>
      <c r="Y231" s="25">
        <f>IF(T231=0,"",ROUND(X231/T231*100,1))</f>
        <v/>
      </c>
      <c r="Z231" s="26">
        <f>X231*Assumptions!$B$4</f>
        <v/>
      </c>
      <c r="AA231" s="25">
        <f>IF(T231=0,"",ROUND(Z231/T231*100,1))</f>
        <v/>
      </c>
      <c r="AB231" s="26">
        <f>X231-Z231</f>
        <v/>
      </c>
      <c r="AC231" s="25">
        <f>IF(T231=0,"",ROUND((X231-Z231)/T231*100,1))</f>
        <v/>
      </c>
      <c r="AD231" s="27" t="inlineStr">
        <is>
          <t>UNKNOWN</t>
        </is>
      </c>
      <c r="AE231" s="28" t="inlineStr">
        <is>
          <t>https://ajruiz.com.br/sites/default/files/public/arquivos-processos/2024-04/relacao_de_credores_recuperanda_1.pdf</t>
        </is>
      </c>
      <c r="AF231" s="27" t="inlineStr">
        <is>
          <t>p8 r1; p8 r2; p8 r3; p8 r4; p8 r5; p8 r6; p8 r7; p8 r8; p8 r9</t>
        </is>
      </c>
      <c r="AG231" s="27" t="inlineStr">
        <is>
          <t>p8: R$ 70.000,00; p8: R$ 196.000,00; p8: R$ 1.500,00; p8: R$ 52.500,00; p8: R$ 58.800,00; p8: R$ 182.000,00; p8: R$ 196.000,00; p8: R$ 196.000,00; p8: R$ 22.400,00</t>
        </is>
      </c>
      <c r="AH231" s="27" t="inlineStr">
        <is>
          <t>QGC</t>
        </is>
      </c>
      <c r="AI231" s="27" t="inlineStr">
        <is>
          <t>2024-01-31</t>
        </is>
      </c>
      <c r="AJ231" s="27" t="inlineStr">
        <is>
          <t>OK</t>
        </is>
      </c>
      <c r="AK231" s="29" t="inlineStr">
        <is>
          <t>0000148-67.1996.8.24.0079</t>
        </is>
      </c>
      <c r="AL231" s="29" t="inlineStr">
        <is>
          <t>TJ</t>
        </is>
      </c>
      <c r="AM231" s="29" t="inlineStr"/>
      <c r="AN231" s="29" t="n">
        <v>1996</v>
      </c>
      <c r="AO231" s="29" t="inlineStr">
        <is>
          <t>30y since filing, no plan document</t>
        </is>
      </c>
      <c r="AP231" s="29" t="inlineStr">
        <is>
          <t>RIBEIRAO PRETO</t>
        </is>
      </c>
      <c r="AQ231" s="29" t="inlineStr">
        <is>
          <t>SP</t>
        </is>
      </c>
      <c r="AR231" s="29" t="inlineStr">
        <is>
          <t>Serviços combinados de escritório e apoio administrativo</t>
        </is>
      </c>
      <c r="AS231" s="29" t="inlineStr">
        <is>
          <t>DEMAIS</t>
        </is>
      </c>
      <c r="AT231" s="29" t="inlineStr">
        <is>
          <t>MID-MARKET</t>
        </is>
      </c>
      <c r="AU231" s="29" t="inlineStr">
        <is>
          <t>40777556</t>
        </is>
      </c>
      <c r="AV231" s="29" t="n">
        <v>7</v>
      </c>
      <c r="AW231" s="29" t="inlineStr">
        <is>
          <t>ROWS:p8r1,p8r2,p8r3,p8r4,p8r5,p8r6,p8r9</t>
        </is>
      </c>
    </row>
    <row r="232">
      <c r="A232" s="15" t="inlineStr">
        <is>
          <t>MOVEIS SAO CARLOS LTDA</t>
        </is>
      </c>
      <c r="B232" s="16" t="n">
        <v>813501.86</v>
      </c>
      <c r="C232" s="17" t="inlineStr">
        <is>
          <t>aludida empresa</t>
        </is>
      </c>
      <c r="D232" s="18" t="inlineStr">
        <is>
          <t>NEW</t>
        </is>
      </c>
      <c r="E232" s="19" t="inlineStr"/>
      <c r="F232" s="18" t="inlineStr"/>
      <c r="G232" s="19" t="inlineStr"/>
      <c r="H232" s="18" t="inlineStr"/>
      <c r="I232" s="20" t="inlineStr">
        <is>
          <t>Guilherme Brito</t>
        </is>
      </c>
      <c r="J232" s="20" t="inlineStr">
        <is>
          <t>Administrative Director</t>
        </is>
      </c>
      <c r="K232" s="20" t="inlineStr">
        <is>
          <t>(87) 3838-1279</t>
        </is>
      </c>
      <c r="L232" s="20" t="inlineStr"/>
      <c r="M232" s="20" t="inlineStr"/>
      <c r="N232" s="20" t="inlineStr">
        <is>
          <t>guilhermebrito@moveissaocarlos.com.br</t>
        </is>
      </c>
      <c r="O232" s="20" t="inlineStr">
        <is>
          <t>danielecocati@moveissaocarlos.com.br</t>
        </is>
      </c>
      <c r="P232" s="20" t="inlineStr">
        <is>
          <t>Daniele Cocati</t>
        </is>
      </c>
      <c r="Q232" s="20" t="inlineStr">
        <is>
          <t>Financial Assistant</t>
        </is>
      </c>
      <c r="R232" s="20" t="inlineStr"/>
      <c r="S232" s="20" t="inlineStr">
        <is>
          <t>danielecocati@moveissaocarlos.com.br</t>
        </is>
      </c>
      <c r="T232" s="21" t="n">
        <v>813501.86</v>
      </c>
      <c r="U232" s="31" t="inlineStr">
        <is>
          <t>C</t>
        </is>
      </c>
      <c r="V232" s="23">
        <f>IFERROR(VLOOKUP(U232,Assumptions!$A$7:$D$11,2,FALSE),0)</f>
        <v/>
      </c>
      <c r="W232" s="24">
        <f>MAX(0.5,IFERROR(VLOOKUP(U232,Assumptions!$A$7:$D$11,3,FALSE),3)+IFERROR(VLOOKUP(U232,Assumptions!$A$7:$D$11,4,FALSE),8)/2-IF(AN232="",0,YEAR(TODAY())-AN232))</f>
        <v/>
      </c>
      <c r="X232" s="21">
        <f>T232*V232/(1+Assumptions!$B$3)^W232</f>
        <v/>
      </c>
      <c r="Y232" s="25">
        <f>IF(T232=0,"",ROUND(X232/T232*100,1))</f>
        <v/>
      </c>
      <c r="Z232" s="26">
        <f>X232*Assumptions!$B$4</f>
        <v/>
      </c>
      <c r="AA232" s="25">
        <f>IF(T232=0,"",ROUND(Z232/T232*100,1))</f>
        <v/>
      </c>
      <c r="AB232" s="26">
        <f>X232-Z232</f>
        <v/>
      </c>
      <c r="AC232" s="25">
        <f>IF(T232=0,"",ROUND((X232-Z232)/T232*100,1))</f>
        <v/>
      </c>
      <c r="AD232" s="27" t="inlineStr">
        <is>
          <t>ESTIMATED</t>
        </is>
      </c>
      <c r="AE232" s="28" t="inlineStr">
        <is>
          <t>https://recuperacaojudicial.squarespace.com/s/RJ-Credimoveis-QGC-01082025.pdf</t>
        </is>
      </c>
      <c r="AF232" s="27" t="inlineStr">
        <is>
          <t>p16 r25</t>
        </is>
      </c>
      <c r="AG232" s="27" t="inlineStr">
        <is>
          <t>p16: R$ 813.501,86</t>
        </is>
      </c>
      <c r="AH232" s="27" t="inlineStr">
        <is>
          <t>QGC</t>
        </is>
      </c>
      <c r="AI232" s="27" t="inlineStr">
        <is>
          <t>2026-01-28</t>
        </is>
      </c>
      <c r="AJ232" s="27" t="inlineStr">
        <is>
          <t>OK</t>
        </is>
      </c>
      <c r="AK232" s="29" t="inlineStr">
        <is>
          <t>0007565-40.2020.8.17.2370</t>
        </is>
      </c>
      <c r="AL232" s="29" t="inlineStr">
        <is>
          <t>TJPE</t>
        </is>
      </c>
      <c r="AM232" s="29" t="inlineStr">
        <is>
          <t>ACTIVE</t>
        </is>
      </c>
      <c r="AN232" s="29" t="n">
        <v>2020</v>
      </c>
      <c r="AO232" s="29" t="inlineStr">
        <is>
          <t>6y since filing, no plan document</t>
        </is>
      </c>
      <c r="AP232" s="29" t="inlineStr">
        <is>
          <t>AFOGADOS DA INGAZEIRA</t>
        </is>
      </c>
      <c r="AQ232" s="29" t="inlineStr">
        <is>
          <t>PE</t>
        </is>
      </c>
      <c r="AR232" s="29" t="inlineStr">
        <is>
          <t>Fabricação de móveis com predominância de madeira</t>
        </is>
      </c>
      <c r="AS232" s="29" t="inlineStr">
        <is>
          <t>DEMAIS</t>
        </is>
      </c>
      <c r="AT232" s="29" t="inlineStr">
        <is>
          <t>MID-MARKET</t>
        </is>
      </c>
      <c r="AU232" s="29" t="inlineStr">
        <is>
          <t>40887838</t>
        </is>
      </c>
      <c r="AV232" s="29" t="n">
        <v>1</v>
      </c>
      <c r="AW232" s="29" t="inlineStr">
        <is>
          <t>ROWS:p16r25</t>
        </is>
      </c>
    </row>
    <row r="233">
      <c r="A233" s="15" t="inlineStr">
        <is>
          <t>BRF S.A.</t>
        </is>
      </c>
      <c r="B233" s="16" t="n">
        <v>741289.9</v>
      </c>
      <c r="C233" s="17" t="inlineStr">
        <is>
          <t>COMERCIO RACOES BEM BOM LTDA</t>
        </is>
      </c>
      <c r="D233" s="18" t="inlineStr">
        <is>
          <t>NEW</t>
        </is>
      </c>
      <c r="E233" s="19" t="inlineStr"/>
      <c r="F233" s="18" t="inlineStr"/>
      <c r="G233" s="19" t="inlineStr"/>
      <c r="H233" s="18" t="inlineStr"/>
      <c r="I233" s="20" t="inlineStr">
        <is>
          <t>MIGUEL DE SOUZA GULARTE</t>
        </is>
      </c>
      <c r="J233" s="20" t="inlineStr">
        <is>
          <t>Presidente</t>
        </is>
      </c>
      <c r="K233" s="20" t="inlineStr">
        <is>
          <t>(47) 3249-4100</t>
        </is>
      </c>
      <c r="L233" s="20" t="inlineStr"/>
      <c r="M233" s="20" t="inlineStr"/>
      <c r="N233" s="20" t="inlineStr"/>
      <c r="O233" s="20" t="inlineStr"/>
      <c r="P233" s="20" t="inlineStr">
        <is>
          <t>ARTEMIO LISTONI</t>
        </is>
      </c>
      <c r="Q233" s="20" t="inlineStr">
        <is>
          <t>Diretor</t>
        </is>
      </c>
      <c r="R233" s="20" t="inlineStr">
        <is>
          <t>(47) 3249-4100</t>
        </is>
      </c>
      <c r="S233" s="20" t="inlineStr"/>
      <c r="T233" s="21" t="n">
        <v>741289.9</v>
      </c>
      <c r="U233" s="32" t="inlineStr">
        <is>
          <t>A</t>
        </is>
      </c>
      <c r="V233" s="23">
        <f>IFERROR(VLOOKUP(U233,Assumptions!$A$7:$D$11,2,FALSE),0)</f>
        <v/>
      </c>
      <c r="W233" s="24">
        <f>MAX(0.5,IFERROR(VLOOKUP(U233,Assumptions!$A$7:$D$11,3,FALSE),3)+IFERROR(VLOOKUP(U233,Assumptions!$A$7:$D$11,4,FALSE),8)/2-IF(AN233="",0,YEAR(TODAY())-AN233))</f>
        <v/>
      </c>
      <c r="X233" s="21">
        <f>T233*V233/(1+Assumptions!$B$3)^W233</f>
        <v/>
      </c>
      <c r="Y233" s="25">
        <f>IF(T233=0,"",ROUND(X233/T233*100,1))</f>
        <v/>
      </c>
      <c r="Z233" s="26">
        <f>X233*Assumptions!$B$4</f>
        <v/>
      </c>
      <c r="AA233" s="25">
        <f>IF(T233=0,"",ROUND(Z233/T233*100,1))</f>
        <v/>
      </c>
      <c r="AB233" s="26">
        <f>X233-Z233</f>
        <v/>
      </c>
      <c r="AC233" s="25">
        <f>IF(T233=0,"",ROUND((X233-Z233)/T233*100,1))</f>
        <v/>
      </c>
      <c r="AD233" s="27" t="inlineStr">
        <is>
          <t>CONFIRMED</t>
        </is>
      </c>
      <c r="AE233" s="28" t="inlineStr">
        <is>
          <t>https://stenius.com.br/wp-content/uploads/2026/06/EDITAL-GRUPO-3E.pdf</t>
        </is>
      </c>
      <c r="AF233" s="27" t="inlineStr">
        <is>
          <t>p11 r11</t>
        </is>
      </c>
      <c r="AG233" s="27" t="inlineStr">
        <is>
          <t>p11: R$ 741.289,90</t>
        </is>
      </c>
      <c r="AH233" s="27" t="inlineStr">
        <is>
          <t>DEBTOR_LIST</t>
        </is>
      </c>
      <c r="AI233" s="27" t="inlineStr">
        <is>
          <t>2026-06-22</t>
        </is>
      </c>
      <c r="AJ233" s="27" t="inlineStr">
        <is>
          <t>OK_NO_TOTALS</t>
        </is>
      </c>
      <c r="AK233" s="29" t="inlineStr">
        <is>
          <t>5341375-33.2026.8.09.0049</t>
        </is>
      </c>
      <c r="AL233" s="29" t="inlineStr">
        <is>
          <t>TJGO</t>
        </is>
      </c>
      <c r="AM233" s="29" t="inlineStr">
        <is>
          <t>ACTIVE</t>
        </is>
      </c>
      <c r="AN233" s="29" t="n">
        <v>2026</v>
      </c>
      <c r="AO233" s="29" t="inlineStr">
        <is>
          <t>plan/homologation document found</t>
        </is>
      </c>
      <c r="AP233" s="29" t="inlineStr">
        <is>
          <t>ITAJAI</t>
        </is>
      </c>
      <c r="AQ233" s="29" t="inlineStr">
        <is>
          <t>SC</t>
        </is>
      </c>
      <c r="AR233" s="29" t="inlineStr">
        <is>
          <t>Abate de aves</t>
        </is>
      </c>
      <c r="AS233" s="29" t="inlineStr">
        <is>
          <t>DEMAIS</t>
        </is>
      </c>
      <c r="AT233" s="29" t="inlineStr">
        <is>
          <t>LARGE CORP</t>
        </is>
      </c>
      <c r="AU233" s="29" t="inlineStr">
        <is>
          <t>01838723</t>
        </is>
      </c>
      <c r="AV233" s="29" t="n">
        <v>1</v>
      </c>
      <c r="AW233" s="29" t="inlineStr">
        <is>
          <t>ROWS:p11r11 UNRECONCILED_SOURCE</t>
        </is>
      </c>
    </row>
    <row r="234">
      <c r="A234" s="15" t="inlineStr">
        <is>
          <t>WALDMAN COMERCIO IMPORTACAO E EXPORTACAO LTDA</t>
        </is>
      </c>
      <c r="B234" s="16" t="n">
        <v>628894.45</v>
      </c>
      <c r="C234" s="17" t="inlineStr">
        <is>
          <t>ATIVOS ADMINISTRAÇÃO JUDICIA</t>
        </is>
      </c>
      <c r="D234" s="18" t="inlineStr">
        <is>
          <t>NEW</t>
        </is>
      </c>
      <c r="E234" s="19" t="inlineStr"/>
      <c r="F234" s="18" t="inlineStr"/>
      <c r="G234" s="19" t="inlineStr"/>
      <c r="H234" s="18" t="inlineStr"/>
      <c r="I234" s="20" t="inlineStr">
        <is>
          <t>EVERTON WALDMAN</t>
        </is>
      </c>
      <c r="J234" s="20" t="inlineStr">
        <is>
          <t>Sócio-Administrador</t>
        </is>
      </c>
      <c r="K234" s="20" t="inlineStr">
        <is>
          <t>(11) 2199-2999</t>
        </is>
      </c>
      <c r="L234" s="20" t="inlineStr"/>
      <c r="M234" s="20" t="inlineStr"/>
      <c r="N234" s="20" t="inlineStr"/>
      <c r="O234" s="20" t="inlineStr"/>
      <c r="P234" s="20" t="inlineStr">
        <is>
          <t>JULIANO WALDMAN</t>
        </is>
      </c>
      <c r="Q234" s="20" t="inlineStr">
        <is>
          <t>Sócio-Administrador</t>
        </is>
      </c>
      <c r="R234" s="20" t="inlineStr">
        <is>
          <t>(11) 2199-2999</t>
        </is>
      </c>
      <c r="S234" s="20" t="inlineStr"/>
      <c r="T234" s="21" t="n">
        <v>628894.45</v>
      </c>
      <c r="U234" s="22" t="inlineStr">
        <is>
          <t>B</t>
        </is>
      </c>
      <c r="V234" s="23">
        <f>IFERROR(VLOOKUP(U234,Assumptions!$A$7:$D$11,2,FALSE),0)</f>
        <v/>
      </c>
      <c r="W234" s="24">
        <f>MAX(0.5,IFERROR(VLOOKUP(U234,Assumptions!$A$7:$D$11,3,FALSE),3)+IFERROR(VLOOKUP(U234,Assumptions!$A$7:$D$11,4,FALSE),8)/2-IF(AN234="",0,YEAR(TODAY())-AN234))</f>
        <v/>
      </c>
      <c r="X234" s="21">
        <f>T234*V234/(1+Assumptions!$B$3)^W234</f>
        <v/>
      </c>
      <c r="Y234" s="25">
        <f>IF(T234=0,"",ROUND(X234/T234*100,1))</f>
        <v/>
      </c>
      <c r="Z234" s="26">
        <f>X234*Assumptions!$B$4</f>
        <v/>
      </c>
      <c r="AA234" s="25">
        <f>IF(T234=0,"",ROUND(Z234/T234*100,1))</f>
        <v/>
      </c>
      <c r="AB234" s="26">
        <f>X234-Z234</f>
        <v/>
      </c>
      <c r="AC234" s="25">
        <f>IF(T234=0,"",ROUND((X234-Z234)/T234*100,1))</f>
        <v/>
      </c>
      <c r="AD234" s="27" t="inlineStr">
        <is>
          <t>ESTIMATED</t>
        </is>
      </c>
      <c r="AE234" s="28" t="inlineStr">
        <is>
          <t>https://ativosajce.com.br/admin/download.php?file=files/processo_documento/processo_documento18543908052025_1_.pdf&amp;nome=Relação de Credores - art. 52, §1º da Lei 11.101/05 - 27/01/2025</t>
        </is>
      </c>
      <c r="AF234" s="27" t="inlineStr">
        <is>
          <t>p3 r12; p3 r28</t>
        </is>
      </c>
      <c r="AG234" s="27" t="inlineStr">
        <is>
          <t>p3: R$ 75.600,00; p3: R$ 553.294,45</t>
        </is>
      </c>
      <c r="AH234" s="27" t="inlineStr">
        <is>
          <t>UNKNOWN</t>
        </is>
      </c>
      <c r="AI234" s="27" t="inlineStr"/>
      <c r="AJ234" s="27" t="inlineStr">
        <is>
          <t>OK_NO_TOTALS</t>
        </is>
      </c>
      <c r="AK234" s="29" t="inlineStr">
        <is>
          <t>1001174-80.2024.8.26.0359</t>
        </is>
      </c>
      <c r="AL234" s="29" t="inlineStr">
        <is>
          <t>TJSP</t>
        </is>
      </c>
      <c r="AM234" s="29" t="inlineStr">
        <is>
          <t>ACTIVE</t>
        </is>
      </c>
      <c r="AN234" s="29" t="n">
        <v>2024</v>
      </c>
      <c r="AO234" s="29" t="inlineStr">
        <is>
          <t>live case, no plan document yet</t>
        </is>
      </c>
      <c r="AP234" s="29" t="inlineStr">
        <is>
          <t>BARUERI</t>
        </is>
      </c>
      <c r="AQ234" s="29" t="inlineStr">
        <is>
          <t>SP</t>
        </is>
      </c>
      <c r="AR234" s="29" t="inlineStr">
        <is>
          <t>Comércio atacadista de outros equipamentos e artigos de uso pessoal e doméstico não especificados anteriormente</t>
        </is>
      </c>
      <c r="AS234" s="29" t="inlineStr">
        <is>
          <t>DEMAIS</t>
        </is>
      </c>
      <c r="AT234" s="29" t="inlineStr">
        <is>
          <t>MID-MARKET</t>
        </is>
      </c>
      <c r="AU234" s="29" t="inlineStr">
        <is>
          <t>71800296</t>
        </is>
      </c>
      <c r="AV234" s="29" t="n">
        <v>2</v>
      </c>
      <c r="AW234" s="29" t="inlineStr">
        <is>
          <t>ROWS:p3r12,p3r28 UNRECONCILED_SOURCE VALUE_COL:Valor_Do_Créidto</t>
        </is>
      </c>
    </row>
    <row r="235">
      <c r="A235" s="15" t="inlineStr">
        <is>
          <t>COMPANHIA ENERGETICA DE PERNAMBUCO</t>
        </is>
      </c>
      <c r="B235" s="16" t="n">
        <v>628007.87</v>
      </c>
      <c r="C235" s="17" t="inlineStr">
        <is>
          <t>DIVINA INDUSTRIA DE COURO LTDA - EM RECUPERACAO JUDICIAL</t>
        </is>
      </c>
      <c r="D235" s="18" t="inlineStr">
        <is>
          <t>NEW</t>
        </is>
      </c>
      <c r="E235" s="19" t="inlineStr"/>
      <c r="F235" s="18" t="inlineStr"/>
      <c r="G235" s="19" t="inlineStr"/>
      <c r="H235" s="18" t="inlineStr"/>
      <c r="I235" s="20" t="inlineStr">
        <is>
          <t>SAULO CABRAL E SILVA</t>
        </is>
      </c>
      <c r="J235" s="20" t="inlineStr">
        <is>
          <t>Presidente</t>
        </is>
      </c>
      <c r="K235" s="20" t="inlineStr">
        <is>
          <t>(81) 3217-5226</t>
        </is>
      </c>
      <c r="L235" s="20" t="inlineStr"/>
      <c r="M235" s="20" t="inlineStr"/>
      <c r="N235" s="20" t="inlineStr"/>
      <c r="O235" s="20" t="inlineStr"/>
      <c r="P235" s="20" t="inlineStr">
        <is>
          <t>FABIANO DA ROSA CARVALHO</t>
        </is>
      </c>
      <c r="Q235" s="20" t="inlineStr">
        <is>
          <t>Diretor</t>
        </is>
      </c>
      <c r="R235" s="20" t="inlineStr">
        <is>
          <t>(81) 3217-5226</t>
        </is>
      </c>
      <c r="S235" s="20" t="inlineStr"/>
      <c r="T235" s="21" t="n">
        <v>628007.87</v>
      </c>
      <c r="U235" s="22" t="inlineStr">
        <is>
          <t>B</t>
        </is>
      </c>
      <c r="V235" s="23">
        <f>IFERROR(VLOOKUP(U235,Assumptions!$A$7:$D$11,2,FALSE),0)</f>
        <v/>
      </c>
      <c r="W235" s="24">
        <f>MAX(0.5,IFERROR(VLOOKUP(U235,Assumptions!$A$7:$D$11,3,FALSE),3)+IFERROR(VLOOKUP(U235,Assumptions!$A$7:$D$11,4,FALSE),8)/2-IF(AN235="",0,YEAR(TODAY())-AN235))</f>
        <v/>
      </c>
      <c r="X235" s="21">
        <f>T235*V235/(1+Assumptions!$B$3)^W235</f>
        <v/>
      </c>
      <c r="Y235" s="25">
        <f>IF(T235=0,"",ROUND(X235/T235*100,1))</f>
        <v/>
      </c>
      <c r="Z235" s="26">
        <f>X235*Assumptions!$B$4</f>
        <v/>
      </c>
      <c r="AA235" s="25">
        <f>IF(T235=0,"",ROUND(Z235/T235*100,1))</f>
        <v/>
      </c>
      <c r="AB235" s="26">
        <f>X235-Z235</f>
        <v/>
      </c>
      <c r="AC235" s="25">
        <f>IF(T235=0,"",ROUND((X235-Z235)/T235*100,1))</f>
        <v/>
      </c>
      <c r="AD235" s="27" t="inlineStr">
        <is>
          <t>ESTIMATED</t>
        </is>
      </c>
      <c r="AE235" s="28" t="inlineStr">
        <is>
          <t>https://lrflideres.com.br/wp-content/plugins/download-attachments/includes/download.php?id=6252</t>
        </is>
      </c>
      <c r="AF235" s="27" t="inlineStr">
        <is>
          <t>p2 r63</t>
        </is>
      </c>
      <c r="AG235" s="27" t="inlineStr">
        <is>
          <t>p2: R$ 628.007,87</t>
        </is>
      </c>
      <c r="AH235" s="27" t="inlineStr">
        <is>
          <t>AJ_LIST</t>
        </is>
      </c>
      <c r="AI235" s="27" t="inlineStr">
        <is>
          <t>2024-11-27</t>
        </is>
      </c>
      <c r="AJ235" s="27" t="inlineStr">
        <is>
          <t>QUARANTINED</t>
        </is>
      </c>
      <c r="AK235" s="29" t="inlineStr">
        <is>
          <t>0000721-61.2024.8.17.2620</t>
        </is>
      </c>
      <c r="AL235" s="29" t="inlineStr">
        <is>
          <t>TJPE</t>
        </is>
      </c>
      <c r="AM235" s="29" t="inlineStr">
        <is>
          <t>ACTIVE</t>
        </is>
      </c>
      <c r="AN235" s="29" t="n">
        <v>2024</v>
      </c>
      <c r="AO235" s="29" t="inlineStr">
        <is>
          <t>live case, no plan document yet</t>
        </is>
      </c>
      <c r="AP235" s="29" t="inlineStr">
        <is>
          <t>RECIFE</t>
        </is>
      </c>
      <c r="AQ235" s="29" t="inlineStr">
        <is>
          <t>PE</t>
        </is>
      </c>
      <c r="AR235" s="29" t="inlineStr">
        <is>
          <t>Distribuição de energia elétrica</t>
        </is>
      </c>
      <c r="AS235" s="29" t="inlineStr">
        <is>
          <t>DEMAIS</t>
        </is>
      </c>
      <c r="AT235" s="29" t="inlineStr">
        <is>
          <t>LARGE CORP</t>
        </is>
      </c>
      <c r="AU235" s="29" t="inlineStr">
        <is>
          <t>10835932</t>
        </is>
      </c>
      <c r="AV235" s="29" t="n">
        <v>1</v>
      </c>
      <c r="AW235" s="29" t="inlineStr">
        <is>
          <t>PARTIAL_DOC_CLASS_III_RECONCILED ROWS:p2r63</t>
        </is>
      </c>
    </row>
    <row r="236">
      <c r="A236" s="15" t="inlineStr">
        <is>
          <t>PHARLAB INDUSTRIA FARMACEUTICA S.A</t>
        </is>
      </c>
      <c r="B236" s="16" t="n">
        <v>501630.38</v>
      </c>
      <c r="C236" s="17" t="inlineStr">
        <is>
          <t>VEV COMERCIO DE MEDICAMENTOS LTDA EM RECUPERACAO JUDICIAL</t>
        </is>
      </c>
      <c r="D236" s="18" t="inlineStr">
        <is>
          <t>NEW</t>
        </is>
      </c>
      <c r="E236" s="19" t="inlineStr"/>
      <c r="F236" s="18" t="inlineStr"/>
      <c r="G236" s="19" t="inlineStr"/>
      <c r="H236" s="18" t="inlineStr"/>
      <c r="I236" s="20" t="inlineStr">
        <is>
          <t>Fernando Hauck</t>
        </is>
      </c>
      <c r="J236" s="20" t="inlineStr">
        <is>
          <t>CFO</t>
        </is>
      </c>
      <c r="K236" s="20" t="inlineStr">
        <is>
          <t>(37) 3261-9090</t>
        </is>
      </c>
      <c r="L236" s="20" t="inlineStr"/>
      <c r="M236" s="20" t="inlineStr"/>
      <c r="N236" s="20" t="inlineStr">
        <is>
          <t>fernando.hauck@pharlab.com.br</t>
        </is>
      </c>
      <c r="O236" s="20" t="inlineStr">
        <is>
          <t>suelen.santos@pharlab.com.br</t>
        </is>
      </c>
      <c r="P236" s="20" t="inlineStr">
        <is>
          <t>Suelen Santos</t>
        </is>
      </c>
      <c r="Q236" s="20" t="inlineStr">
        <is>
          <t>Controller Analyst</t>
        </is>
      </c>
      <c r="R236" s="20" t="inlineStr"/>
      <c r="S236" s="20" t="inlineStr">
        <is>
          <t>suelen.santos@pharlab.com.br</t>
        </is>
      </c>
      <c r="T236" s="21" t="n">
        <v>501630.38</v>
      </c>
      <c r="U236" s="22" t="inlineStr">
        <is>
          <t>B</t>
        </is>
      </c>
      <c r="V236" s="23">
        <f>IFERROR(VLOOKUP(U236,Assumptions!$A$7:$D$11,2,FALSE),0)</f>
        <v/>
      </c>
      <c r="W236" s="24">
        <f>MAX(0.5,IFERROR(VLOOKUP(U236,Assumptions!$A$7:$D$11,3,FALSE),3)+IFERROR(VLOOKUP(U236,Assumptions!$A$7:$D$11,4,FALSE),8)/2-IF(AN236="",0,YEAR(TODAY())-AN236))</f>
        <v/>
      </c>
      <c r="X236" s="21">
        <f>T236*V236/(1+Assumptions!$B$3)^W236</f>
        <v/>
      </c>
      <c r="Y236" s="25">
        <f>IF(T236=0,"",ROUND(X236/T236*100,1))</f>
        <v/>
      </c>
      <c r="Z236" s="26">
        <f>X236*Assumptions!$B$4</f>
        <v/>
      </c>
      <c r="AA236" s="25">
        <f>IF(T236=0,"",ROUND(Z236/T236*100,1))</f>
        <v/>
      </c>
      <c r="AB236" s="26">
        <f>X236-Z236</f>
        <v/>
      </c>
      <c r="AC236" s="25">
        <f>IF(T236=0,"",ROUND((X236-Z236)/T236*100,1))</f>
        <v/>
      </c>
      <c r="AD236" s="27" t="inlineStr">
        <is>
          <t>ESTIMATED</t>
        </is>
      </c>
      <c r="AE236" s="28" t="inlineStr">
        <is>
          <t>https://marquesadmjudicial.com.br/sgc/download.php?file=files/processo_documento/processo_documento15293208032024_1_.pdf&amp;nome=Relação Nominal de Credores da AJ-Sintética</t>
        </is>
      </c>
      <c r="AF236" s="27" t="inlineStr">
        <is>
          <t>p30 r4</t>
        </is>
      </c>
      <c r="AG236" s="27" t="inlineStr">
        <is>
          <t>p30: R$ 501.630,38</t>
        </is>
      </c>
      <c r="AH236" s="27" t="inlineStr">
        <is>
          <t>AJ_LIST</t>
        </is>
      </c>
      <c r="AI236" s="27" t="inlineStr">
        <is>
          <t>2023-03-02</t>
        </is>
      </c>
      <c r="AJ236" s="27" t="inlineStr">
        <is>
          <t>QUARANTINED</t>
        </is>
      </c>
      <c r="AK236" s="29" t="inlineStr">
        <is>
          <t>0005010-98.2023.8.16.0001</t>
        </is>
      </c>
      <c r="AL236" s="29" t="inlineStr">
        <is>
          <t>TJPR</t>
        </is>
      </c>
      <c r="AM236" s="29" t="inlineStr">
        <is>
          <t>ACTIVE</t>
        </is>
      </c>
      <c r="AN236" s="29" t="n">
        <v>2023</v>
      </c>
      <c r="AO236" s="29" t="inlineStr">
        <is>
          <t>live case, no plan document yet</t>
        </is>
      </c>
      <c r="AP236" s="29" t="inlineStr">
        <is>
          <t>LAGOA DA PRATA</t>
        </is>
      </c>
      <c r="AQ236" s="29" t="inlineStr">
        <is>
          <t>MG</t>
        </is>
      </c>
      <c r="AR236" s="29" t="inlineStr">
        <is>
          <t>Fabricação de medicamentos alopáticos para uso humano</t>
        </is>
      </c>
      <c r="AS236" s="29" t="inlineStr">
        <is>
          <t>DEMAIS</t>
        </is>
      </c>
      <c r="AT236" s="29" t="inlineStr">
        <is>
          <t>LARGE CORP</t>
        </is>
      </c>
      <c r="AU236" s="29" t="inlineStr">
        <is>
          <t>02501297</t>
        </is>
      </c>
      <c r="AV236" s="29" t="n">
        <v>1</v>
      </c>
      <c r="AW236" s="29" t="inlineStr">
        <is>
          <t>PARTIAL_DOC_CLASS_III_RECONCILED ROWS:p30r4</t>
        </is>
      </c>
    </row>
    <row r="237">
      <c r="A237" s="15" t="inlineStr">
        <is>
          <t>SAO LUIS ADMINISTRADORA DE SHOPPING CENTER LTDA</t>
        </is>
      </c>
      <c r="B237" s="16" t="n">
        <v>398428.76</v>
      </c>
      <c r="C237" s="17" t="inlineStr">
        <is>
          <t>R W CONSTRUCOES LTDA</t>
        </is>
      </c>
      <c r="D237" s="18" t="inlineStr">
        <is>
          <t>NEW</t>
        </is>
      </c>
      <c r="E237" s="19" t="inlineStr"/>
      <c r="F237" s="18" t="inlineStr"/>
      <c r="G237" s="19" t="inlineStr"/>
      <c r="H237" s="18" t="inlineStr"/>
      <c r="I237" s="20" t="inlineStr">
        <is>
          <t>ANGELICA DE MEDEIROS CLAUDINO</t>
        </is>
      </c>
      <c r="J237" s="20" t="inlineStr">
        <is>
          <t>Administrador</t>
        </is>
      </c>
      <c r="K237" s="20" t="inlineStr">
        <is>
          <t>(98) 3313-3760</t>
        </is>
      </c>
      <c r="L237" s="20" t="inlineStr">
        <is>
          <t>(98) 3313-3777</t>
        </is>
      </c>
      <c r="M237" s="20" t="inlineStr"/>
      <c r="N237" s="20" t="inlineStr"/>
      <c r="O237" s="20" t="inlineStr"/>
      <c r="P237" s="20" t="inlineStr">
        <is>
          <t>MIGUEL ETHEL SOBRINHO</t>
        </is>
      </c>
      <c r="Q237" s="20" t="inlineStr">
        <is>
          <t>Administrador</t>
        </is>
      </c>
      <c r="R237" s="20" t="inlineStr">
        <is>
          <t>(98) 3313-3777</t>
        </is>
      </c>
      <c r="S237" s="20" t="inlineStr"/>
      <c r="T237" s="21" t="n">
        <v>398428.76</v>
      </c>
      <c r="U237" s="22" t="inlineStr">
        <is>
          <t>B</t>
        </is>
      </c>
      <c r="V237" s="23">
        <f>IFERROR(VLOOKUP(U237,Assumptions!$A$7:$D$11,2,FALSE),0)</f>
        <v/>
      </c>
      <c r="W237" s="24">
        <f>MAX(0.5,IFERROR(VLOOKUP(U237,Assumptions!$A$7:$D$11,3,FALSE),3)+IFERROR(VLOOKUP(U237,Assumptions!$A$7:$D$11,4,FALSE),8)/2-IF(AN237="",0,YEAR(TODAY())-AN237))</f>
        <v/>
      </c>
      <c r="X237" s="21">
        <f>T237*V237/(1+Assumptions!$B$3)^W237</f>
        <v/>
      </c>
      <c r="Y237" s="25">
        <f>IF(T237=0,"",ROUND(X237/T237*100,1))</f>
        <v/>
      </c>
      <c r="Z237" s="26">
        <f>X237*Assumptions!$B$4</f>
        <v/>
      </c>
      <c r="AA237" s="25">
        <f>IF(T237=0,"",ROUND(Z237/T237*100,1))</f>
        <v/>
      </c>
      <c r="AB237" s="26">
        <f>X237-Z237</f>
        <v/>
      </c>
      <c r="AC237" s="25">
        <f>IF(T237=0,"",ROUND((X237-Z237)/T237*100,1))</f>
        <v/>
      </c>
      <c r="AD237" s="27" t="inlineStr">
        <is>
          <t>ESTIMATED</t>
        </is>
      </c>
      <c r="AE237" s="28" t="inlineStr">
        <is>
          <t>https://lrflideres.com.br/wp-content/plugins/download-attachments/includes/download.php?id=4023</t>
        </is>
      </c>
      <c r="AF237" s="27" t="inlineStr">
        <is>
          <t>p7 r119</t>
        </is>
      </c>
      <c r="AG237" s="27" t="inlineStr">
        <is>
          <t>p7: R$ 398.428,76</t>
        </is>
      </c>
      <c r="AH237" s="27" t="inlineStr">
        <is>
          <t>DEBTOR_LIST</t>
        </is>
      </c>
      <c r="AI237" s="27" t="inlineStr"/>
      <c r="AJ237" s="27" t="inlineStr">
        <is>
          <t>QUARANTINED</t>
        </is>
      </c>
      <c r="AK237" s="29" t="inlineStr">
        <is>
          <t>0002484-82.2022.8.17.2001</t>
        </is>
      </c>
      <c r="AL237" s="29" t="inlineStr">
        <is>
          <t>TJPE</t>
        </is>
      </c>
      <c r="AM237" s="29" t="inlineStr">
        <is>
          <t>ACTIVE</t>
        </is>
      </c>
      <c r="AN237" s="29" t="n">
        <v>2022</v>
      </c>
      <c r="AO237" s="29" t="inlineStr">
        <is>
          <t>live case, no plan document yet</t>
        </is>
      </c>
      <c r="AP237" s="29" t="inlineStr">
        <is>
          <t>SAO LUIS</t>
        </is>
      </c>
      <c r="AQ237" s="29" t="inlineStr">
        <is>
          <t>MA</t>
        </is>
      </c>
      <c r="AR237" s="29" t="inlineStr">
        <is>
          <t>Gestão e administração da propriedade imobiliária</t>
        </is>
      </c>
      <c r="AS237" s="29" t="inlineStr">
        <is>
          <t>DEMAIS</t>
        </is>
      </c>
      <c r="AT237" s="29" t="inlineStr">
        <is>
          <t>MID-MARKET</t>
        </is>
      </c>
      <c r="AU237" s="29" t="inlineStr">
        <is>
          <t>01637668</t>
        </is>
      </c>
      <c r="AV237" s="29" t="n">
        <v>1</v>
      </c>
      <c r="AW237" s="29" t="inlineStr">
        <is>
          <t>PARTIAL_DOC_CLASS_III_RECONCILED ROWS:p7r119</t>
        </is>
      </c>
    </row>
    <row r="238">
      <c r="A238" s="15" t="inlineStr">
        <is>
          <t>GUAIANAS - TRANSPORTES, MINERACAO, TRATAMENTO E REFINO DE OLEO LTDA</t>
        </is>
      </c>
      <c r="B238" s="16" t="n">
        <v>498000</v>
      </c>
      <c r="C238" s="17" t="inlineStr">
        <is>
          <t>ADVOCACIA WANDERLEI DE PAULA BARRETO</t>
        </is>
      </c>
      <c r="D238" s="18" t="inlineStr">
        <is>
          <t>NEW</t>
        </is>
      </c>
      <c r="E238" s="19" t="inlineStr"/>
      <c r="F238" s="18" t="inlineStr"/>
      <c r="G238" s="19" t="inlineStr"/>
      <c r="H238" s="18" t="inlineStr"/>
      <c r="I238" s="20" t="inlineStr">
        <is>
          <t>MARIA LUCIA BRAMBILLA SAMBINI</t>
        </is>
      </c>
      <c r="J238" s="20" t="inlineStr">
        <is>
          <t>Administrador</t>
        </is>
      </c>
      <c r="K238" s="20" t="inlineStr">
        <is>
          <t>(44) 3252-2688</t>
        </is>
      </c>
      <c r="L238" s="20" t="inlineStr"/>
      <c r="M238" s="20" t="inlineStr"/>
      <c r="N238" s="20" t="inlineStr"/>
      <c r="O238" s="20" t="inlineStr"/>
      <c r="P238" s="20" t="inlineStr"/>
      <c r="Q238" s="20" t="inlineStr"/>
      <c r="R238" s="20" t="inlineStr"/>
      <c r="S238" s="20" t="inlineStr"/>
      <c r="T238" s="21" t="n">
        <v>498000</v>
      </c>
      <c r="U238" s="22" t="inlineStr">
        <is>
          <t>B</t>
        </is>
      </c>
      <c r="V238" s="23">
        <f>IFERROR(VLOOKUP(U238,Assumptions!$A$7:$D$11,2,FALSE),0)</f>
        <v/>
      </c>
      <c r="W238" s="24">
        <f>MAX(0.5,IFERROR(VLOOKUP(U238,Assumptions!$A$7:$D$11,3,FALSE),3)+IFERROR(VLOOKUP(U238,Assumptions!$A$7:$D$11,4,FALSE),8)/2-IF(AN238="",0,YEAR(TODAY())-AN238))</f>
        <v/>
      </c>
      <c r="X238" s="21">
        <f>T238*V238/(1+Assumptions!$B$3)^W238</f>
        <v/>
      </c>
      <c r="Y238" s="25">
        <f>IF(T238=0,"",ROUND(X238/T238*100,1))</f>
        <v/>
      </c>
      <c r="Z238" s="26">
        <f>X238*Assumptions!$B$4</f>
        <v/>
      </c>
      <c r="AA238" s="25">
        <f>IF(T238=0,"",ROUND(Z238/T238*100,1))</f>
        <v/>
      </c>
      <c r="AB238" s="26">
        <f>X238-Z238</f>
        <v/>
      </c>
      <c r="AC238" s="25">
        <f>IF(T238=0,"",ROUND((X238-Z238)/T238*100,1))</f>
        <v/>
      </c>
      <c r="AD238" s="27" t="inlineStr">
        <is>
          <t>ESTIMATED</t>
        </is>
      </c>
      <c r="AE238" s="28" t="inlineStr">
        <is>
          <t>https://marquesadmjudicial.com.br/sgc/download.php?file=files/processo_documento/processo_documento17040729052024_1_.pdf&amp;nome=Relação Nominal de Credores AJ-Sintética</t>
        </is>
      </c>
      <c r="AF238" s="27" t="inlineStr">
        <is>
          <t>p11 r15</t>
        </is>
      </c>
      <c r="AG238" s="27" t="inlineStr">
        <is>
          <t>p11: R$ 498.000,00</t>
        </is>
      </c>
      <c r="AH238" s="27" t="inlineStr">
        <is>
          <t>AJ_LIST</t>
        </is>
      </c>
      <c r="AI238" s="27" t="inlineStr">
        <is>
          <t>2024-05-27</t>
        </is>
      </c>
      <c r="AJ238" s="27" t="inlineStr">
        <is>
          <t>QUARANTINED</t>
        </is>
      </c>
      <c r="AK238" s="29" t="inlineStr">
        <is>
          <t>0003971-03.2023.8.16.0119</t>
        </is>
      </c>
      <c r="AL238" s="29" t="inlineStr">
        <is>
          <t>TJPR</t>
        </is>
      </c>
      <c r="AM238" s="29" t="inlineStr">
        <is>
          <t>ACTIVE</t>
        </is>
      </c>
      <c r="AN238" s="29" t="n">
        <v>2023</v>
      </c>
      <c r="AO238" s="29" t="inlineStr">
        <is>
          <t>live case, no plan document yet</t>
        </is>
      </c>
      <c r="AP238" s="29" t="inlineStr">
        <is>
          <t>NOVA ESPERANCA</t>
        </is>
      </c>
      <c r="AQ238" s="29" t="inlineStr">
        <is>
          <t>PR</t>
        </is>
      </c>
      <c r="AR238" s="29" t="inlineStr">
        <is>
          <t>Transporte rodoviário de carga, exceto produtos perigosos e mudanças, intermunicipal, interestadual e internacional</t>
        </is>
      </c>
      <c r="AS238" s="29" t="inlineStr">
        <is>
          <t>DEMAIS</t>
        </is>
      </c>
      <c r="AT238" s="29" t="inlineStr">
        <is>
          <t>MID-MARKET</t>
        </is>
      </c>
      <c r="AU238" s="29" t="inlineStr">
        <is>
          <t>00327501</t>
        </is>
      </c>
      <c r="AV238" s="29" t="n">
        <v>1</v>
      </c>
      <c r="AW238" s="29" t="inlineStr">
        <is>
          <t>PARTIAL_DOC_CLASS_III_RECONCILED ROWS:p11r15</t>
        </is>
      </c>
    </row>
    <row r="239">
      <c r="A239" s="15" t="inlineStr">
        <is>
          <t>PROGER-COMERCIO IMPORTACAO E EXPORTACAO LTDA</t>
        </is>
      </c>
      <c r="B239" s="16" t="n">
        <v>397886.19</v>
      </c>
      <c r="C239" s="17" t="inlineStr">
        <is>
          <t>ASSOCIACAO DE CARIDADE SANTA CASA DE RIO GRANDE</t>
        </is>
      </c>
      <c r="D239" s="18" t="inlineStr">
        <is>
          <t>NEW</t>
        </is>
      </c>
      <c r="E239" s="19" t="inlineStr"/>
      <c r="F239" s="18" t="inlineStr"/>
      <c r="G239" s="19" t="inlineStr"/>
      <c r="H239" s="18" t="inlineStr"/>
      <c r="I239" s="20" t="inlineStr">
        <is>
          <t>Vanise Pereira</t>
        </is>
      </c>
      <c r="J239" s="20" t="inlineStr">
        <is>
          <t>Administrative Manager</t>
        </is>
      </c>
      <c r="K239" s="20" t="inlineStr">
        <is>
          <t>(51) 9606-4995</t>
        </is>
      </c>
      <c r="L239" s="20" t="inlineStr"/>
      <c r="M239" s="20" t="inlineStr"/>
      <c r="N239" s="20" t="inlineStr"/>
      <c r="O239" s="20" t="inlineStr"/>
      <c r="P239" s="20" t="inlineStr"/>
      <c r="Q239" s="20" t="inlineStr"/>
      <c r="R239" s="20" t="inlineStr"/>
      <c r="S239" s="20" t="inlineStr"/>
      <c r="T239" s="21" t="n">
        <v>397886.19</v>
      </c>
      <c r="U239" s="22" t="inlineStr">
        <is>
          <t>B</t>
        </is>
      </c>
      <c r="V239" s="23">
        <f>IFERROR(VLOOKUP(U239,Assumptions!$A$7:$D$11,2,FALSE),0)</f>
        <v/>
      </c>
      <c r="W239" s="24">
        <f>MAX(0.5,IFERROR(VLOOKUP(U239,Assumptions!$A$7:$D$11,3,FALSE),3)+IFERROR(VLOOKUP(U239,Assumptions!$A$7:$D$11,4,FALSE),8)/2-IF(AN239="",0,YEAR(TODAY())-AN239))</f>
        <v/>
      </c>
      <c r="X239" s="21">
        <f>T239*V239/(1+Assumptions!$B$3)^W239</f>
        <v/>
      </c>
      <c r="Y239" s="25">
        <f>IF(T239=0,"",ROUND(X239/T239*100,1))</f>
        <v/>
      </c>
      <c r="Z239" s="26">
        <f>X239*Assumptions!$B$4</f>
        <v/>
      </c>
      <c r="AA239" s="25">
        <f>IF(T239=0,"",ROUND(Z239/T239*100,1))</f>
        <v/>
      </c>
      <c r="AB239" s="26">
        <f>X239-Z239</f>
        <v/>
      </c>
      <c r="AC239" s="25">
        <f>IF(T239=0,"",ROUND((X239-Z239)/T239*100,1))</f>
        <v/>
      </c>
      <c r="AD239" s="27" t="inlineStr">
        <is>
          <t>ESTIMATED</t>
        </is>
      </c>
      <c r="AE239" s="28" t="inlineStr">
        <is>
          <t>https://scalzilliaj.com.br/sgc/download.php?file=files/processo_documento/processo_documento09120721032023_1_.pdf&amp;nome=15 - Edital do art. 7º, §2º e 53 da Lei 11.101/2005 (segunda lista de credores e recebimento do plano))</t>
        </is>
      </c>
      <c r="AF239" s="27" t="inlineStr">
        <is>
          <t>p29 r24</t>
        </is>
      </c>
      <c r="AG239" s="27" t="inlineStr">
        <is>
          <t>p29: R$ 397.886,19</t>
        </is>
      </c>
      <c r="AH239" s="27" t="inlineStr">
        <is>
          <t>AJ_LIST</t>
        </is>
      </c>
      <c r="AI239" s="27" t="inlineStr">
        <is>
          <t>2023-03-21</t>
        </is>
      </c>
      <c r="AJ239" s="27" t="inlineStr">
        <is>
          <t>OK_NO_TOTALS</t>
        </is>
      </c>
      <c r="AK239" s="29" t="inlineStr">
        <is>
          <t>5012306-16.2022.8.21.0023</t>
        </is>
      </c>
      <c r="AL239" s="29" t="inlineStr">
        <is>
          <t>TJRS</t>
        </is>
      </c>
      <c r="AM239" s="29" t="inlineStr">
        <is>
          <t>ACTIVE</t>
        </is>
      </c>
      <c r="AN239" s="29" t="n">
        <v>2022</v>
      </c>
      <c r="AO239" s="29" t="inlineStr">
        <is>
          <t>live case, no plan document yet</t>
        </is>
      </c>
      <c r="AP239" s="29" t="inlineStr">
        <is>
          <t>PORTO ALEGRE</t>
        </is>
      </c>
      <c r="AQ239" s="29" t="inlineStr">
        <is>
          <t>RS</t>
        </is>
      </c>
      <c r="AR239" s="29" t="inlineStr">
        <is>
          <t>Comércio atacadista de instrumentos e materiais para uso médico, cirúrgico, hospitalar e de laboratórios</t>
        </is>
      </c>
      <c r="AS239" s="29" t="inlineStr">
        <is>
          <t>EMPRESA DE PEQUENO PORTE</t>
        </is>
      </c>
      <c r="AT239" s="29" t="inlineStr">
        <is>
          <t>SMALL</t>
        </is>
      </c>
      <c r="AU239" s="29" t="inlineStr">
        <is>
          <t>02017233</t>
        </is>
      </c>
      <c r="AV239" s="29" t="n">
        <v>1</v>
      </c>
      <c r="AW239" s="29" t="inlineStr">
        <is>
          <t>ROWS:p29r24 UNRECONCILED_SOURCE</t>
        </is>
      </c>
    </row>
    <row r="240">
      <c r="A240" s="15" t="inlineStr">
        <is>
          <t>A2 COMERCIO ATACADISTA DE ELETRONICOS LTDA</t>
        </is>
      </c>
      <c r="B240" s="16" t="n">
        <v>788981.8199999999</v>
      </c>
      <c r="C240" s="17" t="inlineStr">
        <is>
          <t>aludida empresa</t>
        </is>
      </c>
      <c r="D240" s="18" t="inlineStr">
        <is>
          <t>NEW</t>
        </is>
      </c>
      <c r="E240" s="19" t="inlineStr"/>
      <c r="F240" s="18" t="inlineStr"/>
      <c r="G240" s="19" t="inlineStr"/>
      <c r="H240" s="18" t="inlineStr"/>
      <c r="I240" s="20" t="inlineStr">
        <is>
          <t>SEBASTIAO ATANAEL DE REZENDE</t>
        </is>
      </c>
      <c r="J240" s="20" t="inlineStr">
        <is>
          <t>Sócio-Administrador</t>
        </is>
      </c>
      <c r="K240" s="20" t="inlineStr">
        <is>
          <t>(87) 3848-3000</t>
        </is>
      </c>
      <c r="L240" s="20" t="inlineStr"/>
      <c r="M240" s="20" t="inlineStr"/>
      <c r="N240" s="20" t="inlineStr"/>
      <c r="O240" s="20" t="inlineStr"/>
      <c r="P240" s="20" t="inlineStr"/>
      <c r="Q240" s="20" t="inlineStr"/>
      <c r="R240" s="20" t="inlineStr"/>
      <c r="S240" s="20" t="inlineStr"/>
      <c r="T240" s="21" t="n">
        <v>788981.8199999999</v>
      </c>
      <c r="U240" s="31" t="inlineStr">
        <is>
          <t>C</t>
        </is>
      </c>
      <c r="V240" s="23">
        <f>IFERROR(VLOOKUP(U240,Assumptions!$A$7:$D$11,2,FALSE),0)</f>
        <v/>
      </c>
      <c r="W240" s="24">
        <f>MAX(0.5,IFERROR(VLOOKUP(U240,Assumptions!$A$7:$D$11,3,FALSE),3)+IFERROR(VLOOKUP(U240,Assumptions!$A$7:$D$11,4,FALSE),8)/2-IF(AN240="",0,YEAR(TODAY())-AN240))</f>
        <v/>
      </c>
      <c r="X240" s="21">
        <f>T240*V240/(1+Assumptions!$B$3)^W240</f>
        <v/>
      </c>
      <c r="Y240" s="25">
        <f>IF(T240=0,"",ROUND(X240/T240*100,1))</f>
        <v/>
      </c>
      <c r="Z240" s="26">
        <f>X240*Assumptions!$B$4</f>
        <v/>
      </c>
      <c r="AA240" s="25">
        <f>IF(T240=0,"",ROUND(Z240/T240*100,1))</f>
        <v/>
      </c>
      <c r="AB240" s="26">
        <f>X240-Z240</f>
        <v/>
      </c>
      <c r="AC240" s="25">
        <f>IF(T240=0,"",ROUND((X240-Z240)/T240*100,1))</f>
        <v/>
      </c>
      <c r="AD240" s="27" t="inlineStr">
        <is>
          <t>ESTIMATED</t>
        </is>
      </c>
      <c r="AE240" s="28" t="inlineStr">
        <is>
          <t>https://recuperacaojudicial.squarespace.com/s/RJ-Credimoveis-QGC-01082025.pdf</t>
        </is>
      </c>
      <c r="AF240" s="27" t="inlineStr">
        <is>
          <t>p15 r2</t>
        </is>
      </c>
      <c r="AG240" s="27" t="inlineStr">
        <is>
          <t>p15: R$ 788.981,82</t>
        </is>
      </c>
      <c r="AH240" s="27" t="inlineStr">
        <is>
          <t>QGC</t>
        </is>
      </c>
      <c r="AI240" s="27" t="inlineStr">
        <is>
          <t>2026-01-28</t>
        </is>
      </c>
      <c r="AJ240" s="27" t="inlineStr">
        <is>
          <t>OK</t>
        </is>
      </c>
      <c r="AK240" s="29" t="inlineStr">
        <is>
          <t>0007565-40.2020.8.17.2370</t>
        </is>
      </c>
      <c r="AL240" s="29" t="inlineStr">
        <is>
          <t>TJPE</t>
        </is>
      </c>
      <c r="AM240" s="29" t="inlineStr">
        <is>
          <t>ACTIVE</t>
        </is>
      </c>
      <c r="AN240" s="29" t="n">
        <v>2020</v>
      </c>
      <c r="AO240" s="29" t="inlineStr">
        <is>
          <t>6y since filing, no plan document</t>
        </is>
      </c>
      <c r="AP240" s="29" t="inlineStr">
        <is>
          <t>CAMPINA GRANDE</t>
        </is>
      </c>
      <c r="AQ240" s="29" t="inlineStr">
        <is>
          <t>PB</t>
        </is>
      </c>
      <c r="AR240" s="29" t="inlineStr">
        <is>
          <t>Comércio atacadista de aparelhos eletrônicos de uso pessoal e doméstico</t>
        </is>
      </c>
      <c r="AS240" s="29" t="inlineStr">
        <is>
          <t>DEMAIS</t>
        </is>
      </c>
      <c r="AT240" s="29" t="inlineStr">
        <is>
          <t>MID-MARKET</t>
        </is>
      </c>
      <c r="AU240" s="29" t="inlineStr">
        <is>
          <t>26910194</t>
        </is>
      </c>
      <c r="AV240" s="29" t="n">
        <v>1</v>
      </c>
      <c r="AW240" s="29" t="inlineStr">
        <is>
          <t>ROWS:p15r2</t>
        </is>
      </c>
    </row>
    <row r="241">
      <c r="A241" s="15" t="inlineStr">
        <is>
          <t>CIAPETRO DISTRIBUIDORA DE COMBUSTIVEIS LTDA</t>
        </is>
      </c>
      <c r="B241" s="16" t="n">
        <v>614493.12</v>
      </c>
      <c r="C241" s="17" t="inlineStr">
        <is>
          <t>D'AGOSTINI &amp; DIDOMENICO LTDA EM RECUPERACAO JUDICIAL</t>
        </is>
      </c>
      <c r="D241" s="18" t="inlineStr">
        <is>
          <t>NEW</t>
        </is>
      </c>
      <c r="E241" s="19" t="inlineStr"/>
      <c r="F241" s="18" t="inlineStr"/>
      <c r="G241" s="19" t="inlineStr"/>
      <c r="H241" s="18" t="inlineStr"/>
      <c r="I241" s="20" t="inlineStr">
        <is>
          <t>MARCELO RODRIGUES DE OLIVEIRA</t>
        </is>
      </c>
      <c r="J241" s="20" t="inlineStr">
        <is>
          <t>Administrador</t>
        </is>
      </c>
      <c r="K241" s="20" t="inlineStr">
        <is>
          <t>(44) 3619-6400</t>
        </is>
      </c>
      <c r="L241" s="20" t="inlineStr"/>
      <c r="M241" s="20" t="inlineStr"/>
      <c r="N241" s="20" t="inlineStr"/>
      <c r="O241" s="20" t="inlineStr"/>
      <c r="P241" s="20" t="inlineStr"/>
      <c r="Q241" s="20" t="inlineStr"/>
      <c r="R241" s="20" t="inlineStr"/>
      <c r="S241" s="20" t="inlineStr"/>
      <c r="T241" s="21" t="n">
        <v>614493.12</v>
      </c>
      <c r="U241" s="22" t="inlineStr">
        <is>
          <t>B</t>
        </is>
      </c>
      <c r="V241" s="23">
        <f>IFERROR(VLOOKUP(U241,Assumptions!$A$7:$D$11,2,FALSE),0)</f>
        <v/>
      </c>
      <c r="W241" s="24">
        <f>MAX(0.5,IFERROR(VLOOKUP(U241,Assumptions!$A$7:$D$11,3,FALSE),3)+IFERROR(VLOOKUP(U241,Assumptions!$A$7:$D$11,4,FALSE),8)/2-IF(AN241="",0,YEAR(TODAY())-AN241))</f>
        <v/>
      </c>
      <c r="X241" s="21">
        <f>T241*V241/(1+Assumptions!$B$3)^W241</f>
        <v/>
      </c>
      <c r="Y241" s="25">
        <f>IF(T241=0,"",ROUND(X241/T241*100,1))</f>
        <v/>
      </c>
      <c r="Z241" s="26">
        <f>X241*Assumptions!$B$4</f>
        <v/>
      </c>
      <c r="AA241" s="25">
        <f>IF(T241=0,"",ROUND(Z241/T241*100,1))</f>
        <v/>
      </c>
      <c r="AB241" s="26">
        <f>X241-Z241</f>
        <v/>
      </c>
      <c r="AC241" s="25">
        <f>IF(T241=0,"",ROUND((X241-Z241)/T241*100,1))</f>
        <v/>
      </c>
      <c r="AD241" s="27" t="inlineStr">
        <is>
          <t>ESTIMATED</t>
        </is>
      </c>
      <c r="AE241" s="28" t="inlineStr">
        <is>
          <t>https://marquesadmjudicial.com.br/sgc/download.php?file=files/processo_documento/processo_documento20014127022025_1_.pdf&amp;nome=Relação Nominal de Credores</t>
        </is>
      </c>
      <c r="AF241" s="27" t="inlineStr">
        <is>
          <t>p4 r12</t>
        </is>
      </c>
      <c r="AG241" s="27" t="inlineStr">
        <is>
          <t>p4: R$ 614.493,12</t>
        </is>
      </c>
      <c r="AH241" s="27" t="inlineStr">
        <is>
          <t>AJ_LIST</t>
        </is>
      </c>
      <c r="AI241" s="27" t="inlineStr">
        <is>
          <t>2024-11-08</t>
        </is>
      </c>
      <c r="AJ241" s="27" t="inlineStr">
        <is>
          <t>QUARANTINED</t>
        </is>
      </c>
      <c r="AK241" s="29" t="inlineStr">
        <is>
          <t>0001943-40.2024.8.16.0115</t>
        </is>
      </c>
      <c r="AL241" s="29" t="inlineStr">
        <is>
          <t>TJPR</t>
        </is>
      </c>
      <c r="AM241" s="29" t="inlineStr">
        <is>
          <t>ACTIVE</t>
        </is>
      </c>
      <c r="AN241" s="29" t="n">
        <v>2024</v>
      </c>
      <c r="AO241" s="29" t="inlineStr">
        <is>
          <t>live case, no plan document yet</t>
        </is>
      </c>
      <c r="AP241" s="29" t="inlineStr">
        <is>
          <t>CIANORTE</t>
        </is>
      </c>
      <c r="AQ241" s="29" t="inlineStr">
        <is>
          <t>PR</t>
        </is>
      </c>
      <c r="AR241" s="29" t="inlineStr">
        <is>
          <t>Comércio atacadista de álcool carburante, biodiesel, gasolina e demais derivados de petróleo, exceto lubrificantes, não realizado por transportador re</t>
        </is>
      </c>
      <c r="AS241" s="29" t="inlineStr">
        <is>
          <t>DEMAIS</t>
        </is>
      </c>
      <c r="AT241" s="29" t="inlineStr">
        <is>
          <t>MID-MARKET</t>
        </is>
      </c>
      <c r="AU241" s="29" t="inlineStr">
        <is>
          <t>01466091</t>
        </is>
      </c>
      <c r="AV241" s="29" t="n">
        <v>1</v>
      </c>
      <c r="AW241" s="29" t="inlineStr">
        <is>
          <t>PARTIAL_DOC_CLASS_III_RECONCILED ROWS:p4r12</t>
        </is>
      </c>
    </row>
    <row r="242">
      <c r="A242" s="15" t="inlineStr">
        <is>
          <t>ITATIAIA ELETRO E MOVEIS S/A</t>
        </is>
      </c>
      <c r="B242" s="16" t="n">
        <v>780425.22</v>
      </c>
      <c r="C242" s="17" t="inlineStr">
        <is>
          <t>aludida empresa</t>
        </is>
      </c>
      <c r="D242" s="18" t="inlineStr">
        <is>
          <t>NEW</t>
        </is>
      </c>
      <c r="E242" s="19" t="inlineStr"/>
      <c r="F242" s="18" t="inlineStr"/>
      <c r="G242" s="19" t="inlineStr"/>
      <c r="H242" s="18" t="inlineStr"/>
      <c r="I242" s="20" t="inlineStr">
        <is>
          <t>VICTOR PENNA COSTA</t>
        </is>
      </c>
      <c r="J242" s="20" t="inlineStr">
        <is>
          <t>Presidente</t>
        </is>
      </c>
      <c r="K242" s="20" t="inlineStr">
        <is>
          <t>(32) 3539-1200</t>
        </is>
      </c>
      <c r="L242" s="20" t="inlineStr"/>
      <c r="M242" s="20" t="inlineStr"/>
      <c r="N242" s="20" t="inlineStr"/>
      <c r="O242" s="20" t="inlineStr"/>
      <c r="P242" s="20" t="inlineStr">
        <is>
          <t>AGNALDO CAZITA LOPES</t>
        </is>
      </c>
      <c r="Q242" s="20" t="inlineStr">
        <is>
          <t>Diretor</t>
        </is>
      </c>
      <c r="R242" s="20" t="inlineStr">
        <is>
          <t>(32) 3539-1200</t>
        </is>
      </c>
      <c r="S242" s="20" t="inlineStr"/>
      <c r="T242" s="21" t="n">
        <v>780425.22</v>
      </c>
      <c r="U242" s="31" t="inlineStr">
        <is>
          <t>C</t>
        </is>
      </c>
      <c r="V242" s="23">
        <f>IFERROR(VLOOKUP(U242,Assumptions!$A$7:$D$11,2,FALSE),0)</f>
        <v/>
      </c>
      <c r="W242" s="24">
        <f>MAX(0.5,IFERROR(VLOOKUP(U242,Assumptions!$A$7:$D$11,3,FALSE),3)+IFERROR(VLOOKUP(U242,Assumptions!$A$7:$D$11,4,FALSE),8)/2-IF(AN242="",0,YEAR(TODAY())-AN242))</f>
        <v/>
      </c>
      <c r="X242" s="21">
        <f>T242*V242/(1+Assumptions!$B$3)^W242</f>
        <v/>
      </c>
      <c r="Y242" s="25">
        <f>IF(T242=0,"",ROUND(X242/T242*100,1))</f>
        <v/>
      </c>
      <c r="Z242" s="26">
        <f>X242*Assumptions!$B$4</f>
        <v/>
      </c>
      <c r="AA242" s="25">
        <f>IF(T242=0,"",ROUND(Z242/T242*100,1))</f>
        <v/>
      </c>
      <c r="AB242" s="26">
        <f>X242-Z242</f>
        <v/>
      </c>
      <c r="AC242" s="25">
        <f>IF(T242=0,"",ROUND((X242-Z242)/T242*100,1))</f>
        <v/>
      </c>
      <c r="AD242" s="27" t="inlineStr">
        <is>
          <t>ESTIMATED</t>
        </is>
      </c>
      <c r="AE242" s="28" t="inlineStr">
        <is>
          <t>https://recuperacaojudicial.squarespace.com/s/RJ-Credimoveis-QGC-01082025.pdf</t>
        </is>
      </c>
      <c r="AF242" s="27" t="inlineStr">
        <is>
          <t>p15 r63</t>
        </is>
      </c>
      <c r="AG242" s="27" t="inlineStr">
        <is>
          <t>p15: R$ 780.425,22</t>
        </is>
      </c>
      <c r="AH242" s="27" t="inlineStr">
        <is>
          <t>QGC</t>
        </is>
      </c>
      <c r="AI242" s="27" t="inlineStr">
        <is>
          <t>2026-01-28</t>
        </is>
      </c>
      <c r="AJ242" s="27" t="inlineStr">
        <is>
          <t>OK</t>
        </is>
      </c>
      <c r="AK242" s="29" t="inlineStr">
        <is>
          <t>0007565-40.2020.8.17.2370</t>
        </is>
      </c>
      <c r="AL242" s="29" t="inlineStr">
        <is>
          <t>TJPE</t>
        </is>
      </c>
      <c r="AM242" s="29" t="inlineStr">
        <is>
          <t>ACTIVE</t>
        </is>
      </c>
      <c r="AN242" s="29" t="n">
        <v>2020</v>
      </c>
      <c r="AO242" s="29" t="inlineStr">
        <is>
          <t>6y since filing, no plan document</t>
        </is>
      </c>
      <c r="AP242" s="29" t="inlineStr">
        <is>
          <t>UBA</t>
        </is>
      </c>
      <c r="AQ242" s="29" t="inlineStr">
        <is>
          <t>MG</t>
        </is>
      </c>
      <c r="AR242" s="29" t="inlineStr">
        <is>
          <t>Fabricação de móveis com predominância de metal</t>
        </is>
      </c>
      <c r="AS242" s="29" t="inlineStr">
        <is>
          <t>DEMAIS</t>
        </is>
      </c>
      <c r="AT242" s="29" t="inlineStr">
        <is>
          <t>LARGE CORP</t>
        </is>
      </c>
      <c r="AU242" s="29" t="inlineStr">
        <is>
          <t>25331521</t>
        </is>
      </c>
      <c r="AV242" s="29" t="n">
        <v>1</v>
      </c>
      <c r="AW242" s="29" t="inlineStr">
        <is>
          <t>ROWS:p15r63</t>
        </is>
      </c>
    </row>
    <row r="243">
      <c r="A243" s="15" t="inlineStr">
        <is>
          <t>ATLAS INDUSTRIA DE ELETRODOMESTICOS LTDA.</t>
        </is>
      </c>
      <c r="B243" s="16" t="n">
        <v>779392.23</v>
      </c>
      <c r="C243" s="17" t="inlineStr">
        <is>
          <t>aludida empresa</t>
        </is>
      </c>
      <c r="D243" s="18" t="inlineStr">
        <is>
          <t>NEW</t>
        </is>
      </c>
      <c r="E243" s="19" t="inlineStr"/>
      <c r="F243" s="18" t="inlineStr"/>
      <c r="G243" s="19" t="inlineStr"/>
      <c r="H243" s="18" t="inlineStr"/>
      <c r="I243" s="20" t="inlineStr">
        <is>
          <t>Edenilson Dalbosco</t>
        </is>
      </c>
      <c r="J243" s="20" t="inlineStr">
        <is>
          <t>Dir. Adm/Financeiro</t>
        </is>
      </c>
      <c r="K243" s="20" t="inlineStr">
        <is>
          <t>(46) 3771-1500</t>
        </is>
      </c>
      <c r="L243" s="20" t="inlineStr">
        <is>
          <t>(46) 3771-5090</t>
        </is>
      </c>
      <c r="M243" s="20" t="inlineStr"/>
      <c r="N243" s="20" t="inlineStr"/>
      <c r="O243" s="20" t="inlineStr">
        <is>
          <t>luciano.vieira@atlas.ind.br</t>
        </is>
      </c>
      <c r="P243" s="20" t="inlineStr">
        <is>
          <t>Luciano Vieira</t>
        </is>
      </c>
      <c r="Q243" s="20" t="inlineStr">
        <is>
          <t>Financial Manager</t>
        </is>
      </c>
      <c r="R243" s="20" t="inlineStr"/>
      <c r="S243" s="20" t="inlineStr">
        <is>
          <t>luciano.vieira@atlas.ind.br</t>
        </is>
      </c>
      <c r="T243" s="21" t="n">
        <v>779392.23</v>
      </c>
      <c r="U243" s="31" t="inlineStr">
        <is>
          <t>C</t>
        </is>
      </c>
      <c r="V243" s="23">
        <f>IFERROR(VLOOKUP(U243,Assumptions!$A$7:$D$11,2,FALSE),0)</f>
        <v/>
      </c>
      <c r="W243" s="24">
        <f>MAX(0.5,IFERROR(VLOOKUP(U243,Assumptions!$A$7:$D$11,3,FALSE),3)+IFERROR(VLOOKUP(U243,Assumptions!$A$7:$D$11,4,FALSE),8)/2-IF(AN243="",0,YEAR(TODAY())-AN243))</f>
        <v/>
      </c>
      <c r="X243" s="21">
        <f>T243*V243/(1+Assumptions!$B$3)^W243</f>
        <v/>
      </c>
      <c r="Y243" s="25">
        <f>IF(T243=0,"",ROUND(X243/T243*100,1))</f>
        <v/>
      </c>
      <c r="Z243" s="26">
        <f>X243*Assumptions!$B$4</f>
        <v/>
      </c>
      <c r="AA243" s="25">
        <f>IF(T243=0,"",ROUND(Z243/T243*100,1))</f>
        <v/>
      </c>
      <c r="AB243" s="26">
        <f>X243-Z243</f>
        <v/>
      </c>
      <c r="AC243" s="25">
        <f>IF(T243=0,"",ROUND((X243-Z243)/T243*100,1))</f>
        <v/>
      </c>
      <c r="AD243" s="27" t="inlineStr">
        <is>
          <t>ESTIMATED</t>
        </is>
      </c>
      <c r="AE243" s="28" t="inlineStr">
        <is>
          <t>https://recuperacaojudicial.squarespace.com/s/RJ-Credimoveis-QGC-01082025.pdf</t>
        </is>
      </c>
      <c r="AF243" s="27" t="inlineStr">
        <is>
          <t>p15 r11</t>
        </is>
      </c>
      <c r="AG243" s="27" t="inlineStr">
        <is>
          <t>p15: R$ 779.392,23</t>
        </is>
      </c>
      <c r="AH243" s="27" t="inlineStr">
        <is>
          <t>QGC</t>
        </is>
      </c>
      <c r="AI243" s="27" t="inlineStr">
        <is>
          <t>2026-01-28</t>
        </is>
      </c>
      <c r="AJ243" s="27" t="inlineStr">
        <is>
          <t>OK</t>
        </is>
      </c>
      <c r="AK243" s="29" t="inlineStr">
        <is>
          <t>0007565-40.2020.8.17.2370</t>
        </is>
      </c>
      <c r="AL243" s="29" t="inlineStr">
        <is>
          <t>TJPE</t>
        </is>
      </c>
      <c r="AM243" s="29" t="inlineStr">
        <is>
          <t>ACTIVE</t>
        </is>
      </c>
      <c r="AN243" s="29" t="n">
        <v>2020</v>
      </c>
      <c r="AO243" s="29" t="inlineStr">
        <is>
          <t>6y since filing, no plan document</t>
        </is>
      </c>
      <c r="AP243" s="29" t="inlineStr">
        <is>
          <t>PATO BRANCO</t>
        </is>
      </c>
      <c r="AQ243" s="29" t="inlineStr">
        <is>
          <t>PR</t>
        </is>
      </c>
      <c r="AR243" s="29" t="inlineStr">
        <is>
          <t>Fabricação de fogões, refrigeradores e máquinas de lavar e secar para uso doméstico, peças e acessórios</t>
        </is>
      </c>
      <c r="AS243" s="29" t="inlineStr">
        <is>
          <t>DEMAIS</t>
        </is>
      </c>
      <c r="AT243" s="29" t="inlineStr">
        <is>
          <t>MID-MARKET</t>
        </is>
      </c>
      <c r="AU243" s="29" t="inlineStr">
        <is>
          <t>78242849</t>
        </is>
      </c>
      <c r="AV243" s="29" t="n">
        <v>1</v>
      </c>
      <c r="AW243" s="29" t="inlineStr">
        <is>
          <t>ROWS:p15r11</t>
        </is>
      </c>
    </row>
    <row r="244">
      <c r="A244" s="15" t="inlineStr">
        <is>
          <t>IPIRANGA PRODUTOS DE PETROLEO S.A.</t>
        </is>
      </c>
      <c r="B244" s="16" t="n">
        <v>608385.4</v>
      </c>
      <c r="C244" s="17" t="inlineStr">
        <is>
          <t>D'AGOSTINI &amp; DIDOMENICO LTDA EM RECUPERACAO JUDICIAL</t>
        </is>
      </c>
      <c r="D244" s="18" t="inlineStr">
        <is>
          <t>NEW</t>
        </is>
      </c>
      <c r="E244" s="19" t="inlineStr"/>
      <c r="F244" s="18" t="inlineStr"/>
      <c r="G244" s="19" t="inlineStr"/>
      <c r="H244" s="18" t="inlineStr"/>
      <c r="I244" s="20" t="inlineStr">
        <is>
          <t>CARLOS FREDERICO RESENDE</t>
        </is>
      </c>
      <c r="J244" s="20" t="inlineStr">
        <is>
          <t>Administrador</t>
        </is>
      </c>
      <c r="K244" s="20" t="inlineStr">
        <is>
          <t>(21) 2574-5858</t>
        </is>
      </c>
      <c r="L244" s="20" t="inlineStr"/>
      <c r="M244" s="20" t="inlineStr"/>
      <c r="N244" s="20" t="inlineStr"/>
      <c r="O244" s="20" t="inlineStr"/>
      <c r="P244" s="20" t="inlineStr">
        <is>
          <t>CRISTIANE SILVA LEITE</t>
        </is>
      </c>
      <c r="Q244" s="20" t="inlineStr">
        <is>
          <t>Diretor</t>
        </is>
      </c>
      <c r="R244" s="20" t="inlineStr">
        <is>
          <t>(21) 2574-5858</t>
        </is>
      </c>
      <c r="S244" s="20" t="inlineStr"/>
      <c r="T244" s="21" t="n">
        <v>608385.4</v>
      </c>
      <c r="U244" s="22" t="inlineStr">
        <is>
          <t>B</t>
        </is>
      </c>
      <c r="V244" s="23">
        <f>IFERROR(VLOOKUP(U244,Assumptions!$A$7:$D$11,2,FALSE),0)</f>
        <v/>
      </c>
      <c r="W244" s="24">
        <f>MAX(0.5,IFERROR(VLOOKUP(U244,Assumptions!$A$7:$D$11,3,FALSE),3)+IFERROR(VLOOKUP(U244,Assumptions!$A$7:$D$11,4,FALSE),8)/2-IF(AN244="",0,YEAR(TODAY())-AN244))</f>
        <v/>
      </c>
      <c r="X244" s="21">
        <f>T244*V244/(1+Assumptions!$B$3)^W244</f>
        <v/>
      </c>
      <c r="Y244" s="25">
        <f>IF(T244=0,"",ROUND(X244/T244*100,1))</f>
        <v/>
      </c>
      <c r="Z244" s="26">
        <f>X244*Assumptions!$B$4</f>
        <v/>
      </c>
      <c r="AA244" s="25">
        <f>IF(T244=0,"",ROUND(Z244/T244*100,1))</f>
        <v/>
      </c>
      <c r="AB244" s="26">
        <f>X244-Z244</f>
        <v/>
      </c>
      <c r="AC244" s="25">
        <f>IF(T244=0,"",ROUND((X244-Z244)/T244*100,1))</f>
        <v/>
      </c>
      <c r="AD244" s="27" t="inlineStr">
        <is>
          <t>ESTIMATED</t>
        </is>
      </c>
      <c r="AE244" s="28" t="inlineStr">
        <is>
          <t>https://marquesadmjudicial.com.br/sgc/download.php?file=files/processo_documento/processo_documento20014127022025_1_.pdf&amp;nome=Relação Nominal de Credores</t>
        </is>
      </c>
      <c r="AF244" s="27" t="inlineStr">
        <is>
          <t>p5 r5</t>
        </is>
      </c>
      <c r="AG244" s="27" t="inlineStr">
        <is>
          <t>p5: R$ 608.385,40</t>
        </is>
      </c>
      <c r="AH244" s="27" t="inlineStr">
        <is>
          <t>AJ_LIST</t>
        </is>
      </c>
      <c r="AI244" s="27" t="inlineStr">
        <is>
          <t>2024-11-08</t>
        </is>
      </c>
      <c r="AJ244" s="27" t="inlineStr">
        <is>
          <t>QUARANTINED</t>
        </is>
      </c>
      <c r="AK244" s="29" t="inlineStr">
        <is>
          <t>0001943-40.2024.8.16.0115</t>
        </is>
      </c>
      <c r="AL244" s="29" t="inlineStr">
        <is>
          <t>TJPR</t>
        </is>
      </c>
      <c r="AM244" s="29" t="inlineStr">
        <is>
          <t>ACTIVE</t>
        </is>
      </c>
      <c r="AN244" s="29" t="n">
        <v>2024</v>
      </c>
      <c r="AO244" s="29" t="inlineStr">
        <is>
          <t>live case, no plan document yet</t>
        </is>
      </c>
      <c r="AP244" s="29" t="inlineStr">
        <is>
          <t>RIO DE JANEIRO</t>
        </is>
      </c>
      <c r="AQ244" s="29" t="inlineStr">
        <is>
          <t>RJ</t>
        </is>
      </c>
      <c r="AR244" s="29" t="inlineStr">
        <is>
          <t>Comércio atacadista de álcool carburante, biodiesel, gasolina e demais derivados de petróleo, exceto lubrificantes, não realizado por transportador re</t>
        </is>
      </c>
      <c r="AS244" s="29" t="inlineStr">
        <is>
          <t>DEMAIS</t>
        </is>
      </c>
      <c r="AT244" s="29" t="inlineStr">
        <is>
          <t>LARGE CORP</t>
        </is>
      </c>
      <c r="AU244" s="29" t="inlineStr">
        <is>
          <t>33337122</t>
        </is>
      </c>
      <c r="AV244" s="29" t="n">
        <v>1</v>
      </c>
      <c r="AW244" s="29" t="inlineStr">
        <is>
          <t>PARTIAL_DOC_CLASS_III_RECONCILED ROWS:p5r5</t>
        </is>
      </c>
    </row>
    <row r="245">
      <c r="A245" s="15" t="inlineStr">
        <is>
          <t>SUL BRASIL IND E COM DE ACESSORIOS PLASTICOS E METALICOS S/A</t>
        </is>
      </c>
      <c r="B245" s="16" t="n">
        <v>555381.14</v>
      </c>
      <c r="C245" s="17" t="inlineStr"/>
      <c r="D245" s="18" t="inlineStr">
        <is>
          <t>NEW</t>
        </is>
      </c>
      <c r="E245" s="19" t="inlineStr"/>
      <c r="F245" s="18" t="inlineStr"/>
      <c r="G245" s="19" t="inlineStr"/>
      <c r="H245" s="18" t="inlineStr"/>
      <c r="I245" s="20" t="inlineStr">
        <is>
          <t>Josemar Santos</t>
        </is>
      </c>
      <c r="J245" s="20" t="inlineStr">
        <is>
          <t>Purchasing Manager</t>
        </is>
      </c>
      <c r="K245" s="20" t="inlineStr">
        <is>
          <t>(49) 3561-1500</t>
        </is>
      </c>
      <c r="L245" s="20" t="inlineStr">
        <is>
          <t>(49) 3561-1514</t>
        </is>
      </c>
      <c r="M245" s="20" t="inlineStr"/>
      <c r="N245" s="20" t="inlineStr">
        <is>
          <t>compras02@sulbrasil.com.br</t>
        </is>
      </c>
      <c r="O245" s="20" t="inlineStr"/>
      <c r="P245" s="20" t="inlineStr">
        <is>
          <t>DEVALCIR ANGELO GOMES</t>
        </is>
      </c>
      <c r="Q245" s="20" t="inlineStr">
        <is>
          <t>Diretor</t>
        </is>
      </c>
      <c r="R245" s="20" t="inlineStr">
        <is>
          <t>(49) 3561-1514</t>
        </is>
      </c>
      <c r="S245" s="20" t="inlineStr"/>
      <c r="T245" s="21" t="n">
        <v>555381.14</v>
      </c>
      <c r="U245" s="31" t="inlineStr">
        <is>
          <t>C</t>
        </is>
      </c>
      <c r="V245" s="23">
        <f>IFERROR(VLOOKUP(U245,Assumptions!$A$7:$D$11,2,FALSE),0)</f>
        <v/>
      </c>
      <c r="W245" s="24">
        <f>MAX(0.5,IFERROR(VLOOKUP(U245,Assumptions!$A$7:$D$11,3,FALSE),3)+IFERROR(VLOOKUP(U245,Assumptions!$A$7:$D$11,4,FALSE),8)/2-IF(AN245="",0,YEAR(TODAY())-AN245))</f>
        <v/>
      </c>
      <c r="X245" s="21">
        <f>T245*V245/(1+Assumptions!$B$3)^W245</f>
        <v/>
      </c>
      <c r="Y245" s="25">
        <f>IF(T245=0,"",ROUND(X245/T245*100,1))</f>
        <v/>
      </c>
      <c r="Z245" s="26">
        <f>X245*Assumptions!$B$4</f>
        <v/>
      </c>
      <c r="AA245" s="25">
        <f>IF(T245=0,"",ROUND(Z245/T245*100,1))</f>
        <v/>
      </c>
      <c r="AB245" s="26">
        <f>X245-Z245</f>
        <v/>
      </c>
      <c r="AC245" s="25">
        <f>IF(T245=0,"",ROUND((X245-Z245)/T245*100,1))</f>
        <v/>
      </c>
      <c r="AD245" s="27" t="inlineStr">
        <is>
          <t>UNKNOWN</t>
        </is>
      </c>
      <c r="AE245" s="28" t="inlineStr">
        <is>
          <t>https://administradorajudicialgs.com.br/wp-content/uploads/2024/12/relacao-de-credores-da-falida.pdf</t>
        </is>
      </c>
      <c r="AF245" s="27" t="inlineStr">
        <is>
          <t>p18 r46</t>
        </is>
      </c>
      <c r="AG245" s="27" t="inlineStr">
        <is>
          <t>p18: R$ 555.381,14</t>
        </is>
      </c>
      <c r="AH245" s="27" t="inlineStr">
        <is>
          <t>UNKNOWN</t>
        </is>
      </c>
      <c r="AI245" s="27" t="inlineStr">
        <is>
          <t>2025-03-25</t>
        </is>
      </c>
      <c r="AJ245" s="27" t="inlineStr">
        <is>
          <t>OK_NO_TOTALS</t>
        </is>
      </c>
      <c r="AK245" s="29" t="inlineStr">
        <is>
          <t>0005010-50.2013.8.24.0026</t>
        </is>
      </c>
      <c r="AL245" s="29" t="inlineStr">
        <is>
          <t>TJ</t>
        </is>
      </c>
      <c r="AM245" s="29" t="inlineStr"/>
      <c r="AN245" s="29" t="n">
        <v>2013</v>
      </c>
      <c r="AO245" s="29" t="inlineStr">
        <is>
          <t>13y since filing, no plan document</t>
        </is>
      </c>
      <c r="AP245" s="29" t="inlineStr">
        <is>
          <t>CACADOR</t>
        </is>
      </c>
      <c r="AQ245" s="29" t="inlineStr">
        <is>
          <t>SC</t>
        </is>
      </c>
      <c r="AR245" s="29" t="inlineStr">
        <is>
          <t>Fabricação de tecidos especiais, inclusive artefatos</t>
        </is>
      </c>
      <c r="AS245" s="29" t="inlineStr">
        <is>
          <t>DEMAIS</t>
        </is>
      </c>
      <c r="AT245" s="29" t="inlineStr">
        <is>
          <t>LARGE CORP</t>
        </is>
      </c>
      <c r="AU245" s="29" t="inlineStr">
        <is>
          <t>83011460</t>
        </is>
      </c>
      <c r="AV245" s="29" t="n">
        <v>1</v>
      </c>
      <c r="AW245" s="29" t="inlineStr">
        <is>
          <t>ROWS:p18r46 UNRECONCILED_SOURCE</t>
        </is>
      </c>
    </row>
    <row r="246">
      <c r="A246" s="15" t="inlineStr">
        <is>
          <t>FRANGOS PIONEIRO INDUSTRIA E COMERCIO DE ALIMENTOS LTDA</t>
        </is>
      </c>
      <c r="B246" s="16" t="n">
        <v>484066.19</v>
      </c>
      <c r="C246" s="17" t="inlineStr">
        <is>
          <t>ADVOCACIA WANDERLEI DE PAULA BARRETO</t>
        </is>
      </c>
      <c r="D246" s="18" t="inlineStr">
        <is>
          <t>NEW</t>
        </is>
      </c>
      <c r="E246" s="19" t="inlineStr"/>
      <c r="F246" s="18" t="inlineStr"/>
      <c r="G246" s="19" t="inlineStr"/>
      <c r="H246" s="18" t="inlineStr"/>
      <c r="I246" s="20" t="inlineStr">
        <is>
          <t>Anderson Zazula</t>
        </is>
      </c>
      <c r="J246" s="20" t="inlineStr">
        <is>
          <t>Gerente Financeiro e Gestão de Resultados</t>
        </is>
      </c>
      <c r="K246" s="20" t="inlineStr">
        <is>
          <t>(43) 3559-8000</t>
        </is>
      </c>
      <c r="L246" s="20" t="inlineStr"/>
      <c r="M246" s="20" t="inlineStr"/>
      <c r="N246" s="20" t="inlineStr">
        <is>
          <t>anderson@grupopioneiro.com.br</t>
        </is>
      </c>
      <c r="O246" s="20" t="inlineStr">
        <is>
          <t>tarcizo@grupopioneiro.com.br</t>
        </is>
      </c>
      <c r="P246" s="20" t="inlineStr">
        <is>
          <t>Tarcizo Santos</t>
        </is>
      </c>
      <c r="Q246" s="20" t="inlineStr">
        <is>
          <t>Director</t>
        </is>
      </c>
      <c r="R246" s="20" t="inlineStr"/>
      <c r="S246" s="20" t="inlineStr">
        <is>
          <t>tarcizo@grupopioneiro.com.br</t>
        </is>
      </c>
      <c r="T246" s="21" t="n">
        <v>484066.19</v>
      </c>
      <c r="U246" s="22" t="inlineStr">
        <is>
          <t>B</t>
        </is>
      </c>
      <c r="V246" s="23">
        <f>IFERROR(VLOOKUP(U246,Assumptions!$A$7:$D$11,2,FALSE),0)</f>
        <v/>
      </c>
      <c r="W246" s="24">
        <f>MAX(0.5,IFERROR(VLOOKUP(U246,Assumptions!$A$7:$D$11,3,FALSE),3)+IFERROR(VLOOKUP(U246,Assumptions!$A$7:$D$11,4,FALSE),8)/2-IF(AN246="",0,YEAR(TODAY())-AN246))</f>
        <v/>
      </c>
      <c r="X246" s="21">
        <f>T246*V246/(1+Assumptions!$B$3)^W246</f>
        <v/>
      </c>
      <c r="Y246" s="25">
        <f>IF(T246=0,"",ROUND(X246/T246*100,1))</f>
        <v/>
      </c>
      <c r="Z246" s="26">
        <f>X246*Assumptions!$B$4</f>
        <v/>
      </c>
      <c r="AA246" s="25">
        <f>IF(T246=0,"",ROUND(Z246/T246*100,1))</f>
        <v/>
      </c>
      <c r="AB246" s="26">
        <f>X246-Z246</f>
        <v/>
      </c>
      <c r="AC246" s="25">
        <f>IF(T246=0,"",ROUND((X246-Z246)/T246*100,1))</f>
        <v/>
      </c>
      <c r="AD246" s="27" t="inlineStr">
        <is>
          <t>ESTIMATED</t>
        </is>
      </c>
      <c r="AE246" s="28" t="inlineStr">
        <is>
          <t>https://marquesadmjudicial.com.br/sgc/download.php?file=files/processo_documento/processo_documento17040729052024_1_.pdf&amp;nome=Relação Nominal de Credores AJ-Sintética</t>
        </is>
      </c>
      <c r="AF246" s="27" t="inlineStr">
        <is>
          <t>p11 r6</t>
        </is>
      </c>
      <c r="AG246" s="27" t="inlineStr">
        <is>
          <t>p11: R$ 484.066,19</t>
        </is>
      </c>
      <c r="AH246" s="27" t="inlineStr">
        <is>
          <t>AJ_LIST</t>
        </is>
      </c>
      <c r="AI246" s="27" t="inlineStr">
        <is>
          <t>2024-05-27</t>
        </is>
      </c>
      <c r="AJ246" s="27" t="inlineStr">
        <is>
          <t>QUARANTINED</t>
        </is>
      </c>
      <c r="AK246" s="29" t="inlineStr">
        <is>
          <t>0003971-03.2023.8.16.0119</t>
        </is>
      </c>
      <c r="AL246" s="29" t="inlineStr">
        <is>
          <t>TJPR</t>
        </is>
      </c>
      <c r="AM246" s="29" t="inlineStr">
        <is>
          <t>ACTIVE</t>
        </is>
      </c>
      <c r="AN246" s="29" t="n">
        <v>2023</v>
      </c>
      <c r="AO246" s="29" t="inlineStr">
        <is>
          <t>live case, no plan document yet</t>
        </is>
      </c>
      <c r="AP246" s="29" t="inlineStr">
        <is>
          <t>JOAQUIM TAVORA</t>
        </is>
      </c>
      <c r="AQ246" s="29" t="inlineStr">
        <is>
          <t>PR</t>
        </is>
      </c>
      <c r="AR246" s="29" t="inlineStr">
        <is>
          <t>Fabricação de produtos de carne</t>
        </is>
      </c>
      <c r="AS246" s="29" t="inlineStr">
        <is>
          <t>DEMAIS</t>
        </is>
      </c>
      <c r="AT246" s="29" t="inlineStr">
        <is>
          <t>LARGE CORP</t>
        </is>
      </c>
      <c r="AU246" s="29" t="inlineStr">
        <is>
          <t>00974731</t>
        </is>
      </c>
      <c r="AV246" s="29" t="n">
        <v>1</v>
      </c>
      <c r="AW246" s="29" t="inlineStr">
        <is>
          <t>PARTIAL_DOC_CLASS_III_RECONCILED ROWS:p11r6</t>
        </is>
      </c>
    </row>
    <row r="247">
      <c r="A247" s="15" t="inlineStr">
        <is>
          <t>MEGA PACK PLASTICOS S.A</t>
        </is>
      </c>
      <c r="B247" s="16" t="n">
        <v>484000</v>
      </c>
      <c r="C247" s="17" t="inlineStr">
        <is>
          <t>civilmente LTDA</t>
        </is>
      </c>
      <c r="D247" s="18" t="inlineStr">
        <is>
          <t>NEW</t>
        </is>
      </c>
      <c r="E247" s="19" t="inlineStr"/>
      <c r="F247" s="18" t="inlineStr"/>
      <c r="G247" s="19" t="inlineStr"/>
      <c r="H247" s="18" t="inlineStr"/>
      <c r="I247" s="20" t="inlineStr">
        <is>
          <t>KLEBER AVILA VIEIRA</t>
        </is>
      </c>
      <c r="J247" s="20" t="inlineStr">
        <is>
          <t>Presidente</t>
        </is>
      </c>
      <c r="K247" s="20" t="inlineStr">
        <is>
          <t>(92) 3301-9001</t>
        </is>
      </c>
      <c r="L247" s="20" t="inlineStr">
        <is>
          <t>(19) 8107-5841</t>
        </is>
      </c>
      <c r="M247" s="20" t="inlineStr"/>
      <c r="N247" s="20" t="inlineStr"/>
      <c r="O247" s="20" t="inlineStr"/>
      <c r="P247" s="20" t="inlineStr"/>
      <c r="Q247" s="20" t="inlineStr"/>
      <c r="R247" s="20" t="inlineStr"/>
      <c r="S247" s="20" t="inlineStr"/>
      <c r="T247" s="21" t="n">
        <v>484000</v>
      </c>
      <c r="U247" s="22" t="inlineStr">
        <is>
          <t>B</t>
        </is>
      </c>
      <c r="V247" s="23">
        <f>IFERROR(VLOOKUP(U247,Assumptions!$A$7:$D$11,2,FALSE),0)</f>
        <v/>
      </c>
      <c r="W247" s="24">
        <f>MAX(0.5,IFERROR(VLOOKUP(U247,Assumptions!$A$7:$D$11,3,FALSE),3)+IFERROR(VLOOKUP(U247,Assumptions!$A$7:$D$11,4,FALSE),8)/2-IF(AN247="",0,YEAR(TODAY())-AN247))</f>
        <v/>
      </c>
      <c r="X247" s="21">
        <f>T247*V247/(1+Assumptions!$B$3)^W247</f>
        <v/>
      </c>
      <c r="Y247" s="25">
        <f>IF(T247=0,"",ROUND(X247/T247*100,1))</f>
        <v/>
      </c>
      <c r="Z247" s="26">
        <f>X247*Assumptions!$B$4</f>
        <v/>
      </c>
      <c r="AA247" s="25">
        <f>IF(T247=0,"",ROUND(Z247/T247*100,1))</f>
        <v/>
      </c>
      <c r="AB247" s="26">
        <f>X247-Z247</f>
        <v/>
      </c>
      <c r="AC247" s="25">
        <f>IF(T247=0,"",ROUND((X247-Z247)/T247*100,1))</f>
        <v/>
      </c>
      <c r="AD247" s="27" t="inlineStr">
        <is>
          <t>ESTIMATED</t>
        </is>
      </c>
      <c r="AE247" s="28" t="inlineStr">
        <is>
          <t>http://recuperacaojudicial.squarespace.com/s/LISTA-DE-CREDORES-CONSOLIDADA-ATE-04102024.pdf</t>
        </is>
      </c>
      <c r="AF247" s="27" t="inlineStr">
        <is>
          <t>p6 r14</t>
        </is>
      </c>
      <c r="AG247" s="27" t="inlineStr">
        <is>
          <t>p6: R$ 484.000,00</t>
        </is>
      </c>
      <c r="AH247" s="27" t="inlineStr">
        <is>
          <t>AJ_LIST</t>
        </is>
      </c>
      <c r="AI247" s="27" t="inlineStr">
        <is>
          <t>2024-10-04</t>
        </is>
      </c>
      <c r="AJ247" s="27" t="inlineStr">
        <is>
          <t>OK</t>
        </is>
      </c>
      <c r="AK247" s="29" t="inlineStr">
        <is>
          <t>0800778-16.2023.8.20.5104</t>
        </is>
      </c>
      <c r="AL247" s="29" t="inlineStr">
        <is>
          <t>TJRN</t>
        </is>
      </c>
      <c r="AM247" s="29" t="inlineStr">
        <is>
          <t>ACTIVE</t>
        </is>
      </c>
      <c r="AN247" s="29" t="n">
        <v>2023</v>
      </c>
      <c r="AO247" s="29" t="inlineStr">
        <is>
          <t>live case, no plan document yet</t>
        </is>
      </c>
      <c r="AP247" s="29" t="inlineStr">
        <is>
          <t>MANAUS</t>
        </is>
      </c>
      <c r="AQ247" s="29" t="inlineStr">
        <is>
          <t>AM</t>
        </is>
      </c>
      <c r="AR247" s="29" t="inlineStr">
        <is>
          <t>Fabricação de laminados planos e tubulares de material plástico</t>
        </is>
      </c>
      <c r="AS247" s="29" t="inlineStr">
        <is>
          <t>DEMAIS</t>
        </is>
      </c>
      <c r="AT247" s="29" t="inlineStr">
        <is>
          <t>MID-MARKET</t>
        </is>
      </c>
      <c r="AU247" s="29" t="inlineStr">
        <is>
          <t>19631376</t>
        </is>
      </c>
      <c r="AV247" s="29" t="n">
        <v>1</v>
      </c>
      <c r="AW247" s="29" t="inlineStr">
        <is>
          <t>ROWS:p6r14 VALUE_COL:Valor_Do_Crédito</t>
        </is>
      </c>
    </row>
    <row r="248">
      <c r="A248" s="15" t="inlineStr">
        <is>
          <t>NUTRIEN SOLUCOES AGRICOLAS LTDA</t>
        </is>
      </c>
      <c r="B248" s="16" t="n">
        <v>944000</v>
      </c>
      <c r="C248" s="17" t="inlineStr"/>
      <c r="D248" s="18" t="inlineStr">
        <is>
          <t>NEW</t>
        </is>
      </c>
      <c r="E248" s="19" t="inlineStr"/>
      <c r="F248" s="18" t="inlineStr"/>
      <c r="G248" s="19" t="inlineStr"/>
      <c r="H248" s="18" t="inlineStr"/>
      <c r="I248" s="20" t="inlineStr">
        <is>
          <t>Thiago Costa</t>
        </is>
      </c>
      <c r="J248" s="20" t="inlineStr">
        <is>
          <t>Gerente Contas a Receber e Centro de Serviços Compartilhados</t>
        </is>
      </c>
      <c r="K248" s="20" t="inlineStr">
        <is>
          <t>(11) 5400-0021</t>
        </is>
      </c>
      <c r="L248" s="20" t="inlineStr"/>
      <c r="M248" s="20" t="inlineStr"/>
      <c r="N248" s="20" t="inlineStr">
        <is>
          <t>thiago.costa@nutrien.com</t>
        </is>
      </c>
      <c r="O248" s="20" t="inlineStr">
        <is>
          <t>emerson.freitas@nutrien.com</t>
        </is>
      </c>
      <c r="P248" s="20" t="inlineStr">
        <is>
          <t>Emerson Freitas</t>
        </is>
      </c>
      <c r="Q248" s="20" t="inlineStr">
        <is>
          <t>Gerente de Tesouraria | Tesouraria Estratégica</t>
        </is>
      </c>
      <c r="R248" s="20" t="inlineStr"/>
      <c r="S248" s="20" t="inlineStr">
        <is>
          <t>emerson.freitas@nutrien.com</t>
        </is>
      </c>
      <c r="T248" s="21" t="n">
        <v>944000</v>
      </c>
      <c r="U248" s="22" t="inlineStr">
        <is>
          <t>B</t>
        </is>
      </c>
      <c r="V248" s="23">
        <f>IFERROR(VLOOKUP(U248,Assumptions!$A$7:$D$11,2,FALSE),0)</f>
        <v/>
      </c>
      <c r="W248" s="24">
        <f>MAX(0.5,IFERROR(VLOOKUP(U248,Assumptions!$A$7:$D$11,3,FALSE),3)+IFERROR(VLOOKUP(U248,Assumptions!$A$7:$D$11,4,FALSE),8)/2-IF(AN248="",0,YEAR(TODAY())-AN248))</f>
        <v/>
      </c>
      <c r="X248" s="21">
        <f>T248*V248/(1+Assumptions!$B$3)^W248</f>
        <v/>
      </c>
      <c r="Y248" s="25">
        <f>IF(T248=0,"",ROUND(X248/T248*100,1))</f>
        <v/>
      </c>
      <c r="Z248" s="26">
        <f>X248*Assumptions!$B$4</f>
        <v/>
      </c>
      <c r="AA248" s="25">
        <f>IF(T248=0,"",ROUND(Z248/T248*100,1))</f>
        <v/>
      </c>
      <c r="AB248" s="26">
        <f>X248-Z248</f>
        <v/>
      </c>
      <c r="AC248" s="25">
        <f>IF(T248=0,"",ROUND((X248-Z248)/T248*100,1))</f>
        <v/>
      </c>
      <c r="AD248" s="27" t="inlineStr">
        <is>
          <t>ESTIMATED</t>
        </is>
      </c>
      <c r="AE248" s="28" t="inlineStr">
        <is>
          <t>https://scalzilliaj.com.br/sgc/download.php?file=files/processo_documento/processo_documento11421222052026_1_.pdf&amp;nome=08. Lista de credores do edital do art. 52, §1º da LREF</t>
        </is>
      </c>
      <c r="AF248" s="27" t="inlineStr">
        <is>
          <t>p4 r4</t>
        </is>
      </c>
      <c r="AG248" s="27" t="inlineStr">
        <is>
          <t>p4: R$ 944.000,00</t>
        </is>
      </c>
      <c r="AH248" s="27" t="inlineStr">
        <is>
          <t>UNKNOWN</t>
        </is>
      </c>
      <c r="AI248" s="27" t="inlineStr"/>
      <c r="AJ248" s="27" t="inlineStr">
        <is>
          <t>OK_NO_TOTALS</t>
        </is>
      </c>
      <c r="AK248" s="29" t="inlineStr">
        <is>
          <t>5011369-81.2026.8.09.0093</t>
        </is>
      </c>
      <c r="AL248" s="29" t="inlineStr">
        <is>
          <t>TJGO</t>
        </is>
      </c>
      <c r="AM248" s="29" t="inlineStr">
        <is>
          <t>ACTIVE</t>
        </is>
      </c>
      <c r="AN248" s="29" t="n">
        <v>2026</v>
      </c>
      <c r="AO248" s="29" t="inlineStr">
        <is>
          <t>live case, no plan document yet</t>
        </is>
      </c>
      <c r="AP248" s="29" t="inlineStr">
        <is>
          <t>SAO PAULO</t>
        </is>
      </c>
      <c r="AQ248" s="29" t="inlineStr">
        <is>
          <t>SP</t>
        </is>
      </c>
      <c r="AR248" s="29" t="inlineStr">
        <is>
          <t>Comércio atacadista de defensivos agrícolas, adubos, fertilizantes e corretivos do solo</t>
        </is>
      </c>
      <c r="AS248" s="29" t="inlineStr">
        <is>
          <t>DEMAIS</t>
        </is>
      </c>
      <c r="AT248" s="29" t="inlineStr">
        <is>
          <t>LARGE CORP</t>
        </is>
      </c>
      <c r="AU248" s="29" t="inlineStr">
        <is>
          <t>88305859</t>
        </is>
      </c>
      <c r="AV248" s="29" t="n">
        <v>1</v>
      </c>
      <c r="AW248" s="29" t="inlineStr">
        <is>
          <t>ROWS:p4r4 UNRECONCILED_SOURCE</t>
        </is>
      </c>
    </row>
    <row r="249">
      <c r="A249" s="15" t="inlineStr">
        <is>
          <t>CHARRUA COMERCIAL AGRICOLA LTDA</t>
        </is>
      </c>
      <c r="B249" s="16" t="n">
        <v>704080</v>
      </c>
      <c r="C249" s="17" t="inlineStr">
        <is>
          <t>COMERCIO RACOES BEM BOM LTDA</t>
        </is>
      </c>
      <c r="D249" s="18" t="inlineStr">
        <is>
          <t>NEW</t>
        </is>
      </c>
      <c r="E249" s="19" t="inlineStr"/>
      <c r="F249" s="18" t="inlineStr"/>
      <c r="G249" s="19" t="inlineStr"/>
      <c r="H249" s="18" t="inlineStr"/>
      <c r="I249" s="20" t="inlineStr">
        <is>
          <t>Giselle Ornelas</t>
        </is>
      </c>
      <c r="J249" s="20" t="inlineStr">
        <is>
          <t>Analista Financeiro Contas a Pagar</t>
        </is>
      </c>
      <c r="K249" s="20" t="inlineStr">
        <is>
          <t>(54) 3311-2615</t>
        </is>
      </c>
      <c r="L249" s="20" t="inlineStr"/>
      <c r="M249" s="20" t="inlineStr"/>
      <c r="N249" s="20" t="inlineStr">
        <is>
          <t>giselle.ornelas@charrua.agr.br</t>
        </is>
      </c>
      <c r="O249" s="20" t="inlineStr"/>
      <c r="P249" s="20" t="inlineStr">
        <is>
          <t>SERGIO EDILBERTO ZIMMERMANN</t>
        </is>
      </c>
      <c r="Q249" s="20" t="inlineStr">
        <is>
          <t>Sócio-Administrador</t>
        </is>
      </c>
      <c r="R249" s="20" t="inlineStr">
        <is>
          <t>(54) 3311-2615</t>
        </is>
      </c>
      <c r="S249" s="20" t="inlineStr"/>
      <c r="T249" s="21" t="n">
        <v>704080</v>
      </c>
      <c r="U249" s="32" t="inlineStr">
        <is>
          <t>A</t>
        </is>
      </c>
      <c r="V249" s="23">
        <f>IFERROR(VLOOKUP(U249,Assumptions!$A$7:$D$11,2,FALSE),0)</f>
        <v/>
      </c>
      <c r="W249" s="24">
        <f>MAX(0.5,IFERROR(VLOOKUP(U249,Assumptions!$A$7:$D$11,3,FALSE),3)+IFERROR(VLOOKUP(U249,Assumptions!$A$7:$D$11,4,FALSE),8)/2-IF(AN249="",0,YEAR(TODAY())-AN249))</f>
        <v/>
      </c>
      <c r="X249" s="21">
        <f>T249*V249/(1+Assumptions!$B$3)^W249</f>
        <v/>
      </c>
      <c r="Y249" s="25">
        <f>IF(T249=0,"",ROUND(X249/T249*100,1))</f>
        <v/>
      </c>
      <c r="Z249" s="26">
        <f>X249*Assumptions!$B$4</f>
        <v/>
      </c>
      <c r="AA249" s="25">
        <f>IF(T249=0,"",ROUND(Z249/T249*100,1))</f>
        <v/>
      </c>
      <c r="AB249" s="26">
        <f>X249-Z249</f>
        <v/>
      </c>
      <c r="AC249" s="25">
        <f>IF(T249=0,"",ROUND((X249-Z249)/T249*100,1))</f>
        <v/>
      </c>
      <c r="AD249" s="27" t="inlineStr">
        <is>
          <t>CONFIRMED</t>
        </is>
      </c>
      <c r="AE249" s="28" t="inlineStr">
        <is>
          <t>https://stenius.com.br/wp-content/uploads/2026/06/EDITAL-GRUPO-3E.pdf</t>
        </is>
      </c>
      <c r="AF249" s="27" t="inlineStr">
        <is>
          <t>p11 r59</t>
        </is>
      </c>
      <c r="AG249" s="27" t="inlineStr">
        <is>
          <t>p11: R$ 704.080,00</t>
        </is>
      </c>
      <c r="AH249" s="27" t="inlineStr">
        <is>
          <t>DEBTOR_LIST</t>
        </is>
      </c>
      <c r="AI249" s="27" t="inlineStr">
        <is>
          <t>2026-06-22</t>
        </is>
      </c>
      <c r="AJ249" s="27" t="inlineStr">
        <is>
          <t>OK_NO_TOTALS</t>
        </is>
      </c>
      <c r="AK249" s="29" t="inlineStr">
        <is>
          <t>5341375-33.2026.8.09.0049</t>
        </is>
      </c>
      <c r="AL249" s="29" t="inlineStr">
        <is>
          <t>TJGO</t>
        </is>
      </c>
      <c r="AM249" s="29" t="inlineStr">
        <is>
          <t>ACTIVE</t>
        </is>
      </c>
      <c r="AN249" s="29" t="n">
        <v>2026</v>
      </c>
      <c r="AO249" s="29" t="inlineStr">
        <is>
          <t>plan/homologation document found</t>
        </is>
      </c>
      <c r="AP249" s="29" t="inlineStr">
        <is>
          <t>FORMOSA</t>
        </is>
      </c>
      <c r="AQ249" s="29" t="inlineStr">
        <is>
          <t>GO</t>
        </is>
      </c>
      <c r="AR249" s="29" t="inlineStr">
        <is>
          <t>Comércio atacadista de defensivos agrícolas, adubos, fertilizantes e corretivos do solo</t>
        </is>
      </c>
      <c r="AS249" s="29" t="inlineStr">
        <is>
          <t>DEMAIS</t>
        </is>
      </c>
      <c r="AT249" s="29" t="inlineStr">
        <is>
          <t>MID-MARKET</t>
        </is>
      </c>
      <c r="AU249" s="29" t="inlineStr">
        <is>
          <t>37031044</t>
        </is>
      </c>
      <c r="AV249" s="29" t="n">
        <v>1</v>
      </c>
      <c r="AW249" s="29" t="inlineStr">
        <is>
          <t>ROWS:p11r59 UNRECONCILED_SOURCE</t>
        </is>
      </c>
    </row>
    <row r="250">
      <c r="A250" s="15" t="inlineStr">
        <is>
          <t>EUCATEX S A INDUSTRIA E COMERCIO</t>
        </is>
      </c>
      <c r="B250" s="16" t="n">
        <v>1400000</v>
      </c>
      <c r="C250" s="17" t="inlineStr"/>
      <c r="D250" s="18" t="inlineStr">
        <is>
          <t>NEW</t>
        </is>
      </c>
      <c r="E250" s="19" t="inlineStr"/>
      <c r="F250" s="18" t="inlineStr"/>
      <c r="G250" s="19" t="inlineStr"/>
      <c r="H250" s="18" t="inlineStr"/>
      <c r="I250" s="20" t="inlineStr">
        <is>
          <t>Carlos Oliveira</t>
        </is>
      </c>
      <c r="J250" s="20" t="inlineStr">
        <is>
          <t>Supervisor de Crédito e Contas a Receber</t>
        </is>
      </c>
      <c r="K250" s="20" t="inlineStr">
        <is>
          <t>(11) 3049-2427</t>
        </is>
      </c>
      <c r="L250" s="20" t="inlineStr"/>
      <c r="M250" s="20" t="inlineStr"/>
      <c r="N250" s="20" t="inlineStr"/>
      <c r="O250" s="20" t="inlineStr"/>
      <c r="P250" s="20" t="inlineStr">
        <is>
          <t>GENILDO DE BRITO</t>
        </is>
      </c>
      <c r="Q250" s="20" t="inlineStr">
        <is>
          <t>Diretor</t>
        </is>
      </c>
      <c r="R250" s="20" t="inlineStr">
        <is>
          <t>(11) 3049-2427</t>
        </is>
      </c>
      <c r="S250" s="20" t="inlineStr"/>
      <c r="T250" s="21" t="n">
        <v>1400000</v>
      </c>
      <c r="U250" s="30" t="inlineStr">
        <is>
          <t>?</t>
        </is>
      </c>
      <c r="V250" s="23">
        <f>IFERROR(VLOOKUP(U250,Assumptions!$A$7:$D$11,2,FALSE),0)</f>
        <v/>
      </c>
      <c r="W250" s="24">
        <f>MAX(0.5,IFERROR(VLOOKUP(U250,Assumptions!$A$7:$D$11,3,FALSE),3)+IFERROR(VLOOKUP(U250,Assumptions!$A$7:$D$11,4,FALSE),8)/2-IF(AN250="",0,YEAR(TODAY())-AN250))</f>
        <v/>
      </c>
      <c r="X250" s="21">
        <f>T250*V250/(1+Assumptions!$B$3)^W250</f>
        <v/>
      </c>
      <c r="Y250" s="25">
        <f>IF(T250=0,"",ROUND(X250/T250*100,1))</f>
        <v/>
      </c>
      <c r="Z250" s="26">
        <f>X250*Assumptions!$B$4</f>
        <v/>
      </c>
      <c r="AA250" s="25">
        <f>IF(T250=0,"",ROUND(Z250/T250*100,1))</f>
        <v/>
      </c>
      <c r="AB250" s="26">
        <f>X250-Z250</f>
        <v/>
      </c>
      <c r="AC250" s="25">
        <f>IF(T250=0,"",ROUND((X250-Z250)/T250*100,1))</f>
        <v/>
      </c>
      <c r="AD250" s="27" t="inlineStr">
        <is>
          <t>UNKNOWN</t>
        </is>
      </c>
      <c r="AE250" s="28" t="inlineStr">
        <is>
          <t>https://ajruiz.com.br/sites/default/files/public/arquivos-processos/2023-11/4_relacao_de_credores_analitica_art._51_iii_da_lre.pdf</t>
        </is>
      </c>
      <c r="AF250" s="27" t="inlineStr">
        <is>
          <t>p3 r6</t>
        </is>
      </c>
      <c r="AG250" s="27" t="inlineStr">
        <is>
          <t>p3: R$ 1.400.000,00</t>
        </is>
      </c>
      <c r="AH250" s="27" t="inlineStr">
        <is>
          <t>UNKNOWN</t>
        </is>
      </c>
      <c r="AI250" s="27" t="inlineStr"/>
      <c r="AJ250" s="27" t="inlineStr">
        <is>
          <t>OK</t>
        </is>
      </c>
      <c r="AK250" s="29" t="inlineStr">
        <is>
          <t>(not printed)</t>
        </is>
      </c>
      <c r="AL250" s="29" t="inlineStr"/>
      <c r="AM250" s="29" t="inlineStr"/>
      <c r="AN250" s="29" t="inlineStr"/>
      <c r="AO250" s="29" t="inlineStr">
        <is>
          <t>RJ case number not identified on the document</t>
        </is>
      </c>
      <c r="AP250" s="29" t="inlineStr">
        <is>
          <t>SAO PAULO</t>
        </is>
      </c>
      <c r="AQ250" s="29" t="inlineStr">
        <is>
          <t>SP</t>
        </is>
      </c>
      <c r="AR250" s="29" t="inlineStr">
        <is>
          <t>Fabricação de madeira laminada e de chapas de madeira compensada, prensada e aglomerada</t>
        </is>
      </c>
      <c r="AS250" s="29" t="inlineStr">
        <is>
          <t>DEMAIS</t>
        </is>
      </c>
      <c r="AT250" s="29" t="inlineStr">
        <is>
          <t>LARGE CORP</t>
        </is>
      </c>
      <c r="AU250" s="29" t="inlineStr">
        <is>
          <t>56643018</t>
        </is>
      </c>
      <c r="AV250" s="29" t="n">
        <v>1</v>
      </c>
      <c r="AW250" s="29" t="inlineStr">
        <is>
          <t>ROWS:p3r6 CASE_NUMBER_CORRECTED</t>
        </is>
      </c>
    </row>
    <row r="251">
      <c r="A251" s="15" t="inlineStr">
        <is>
          <t>ATIVA EMPREENDIMENTOS LTDA</t>
        </is>
      </c>
      <c r="B251" s="16" t="n">
        <v>605635.3199999999</v>
      </c>
      <c r="C251" s="17" t="inlineStr">
        <is>
          <t>Grupo Arnon de Mello — Lindoso e Araujo</t>
        </is>
      </c>
      <c r="D251" s="18" t="inlineStr">
        <is>
          <t>NEW</t>
        </is>
      </c>
      <c r="E251" s="19" t="inlineStr"/>
      <c r="F251" s="18" t="inlineStr"/>
      <c r="G251" s="19" t="inlineStr"/>
      <c r="H251" s="18" t="inlineStr"/>
      <c r="I251" s="20" t="inlineStr">
        <is>
          <t>ARTHUR MALTA DE AMORIM</t>
        </is>
      </c>
      <c r="J251" s="20" t="inlineStr">
        <is>
          <t>Administrador</t>
        </is>
      </c>
      <c r="K251" s="20" t="inlineStr">
        <is>
          <t>(82) 3316-8570</t>
        </is>
      </c>
      <c r="L251" s="20" t="inlineStr"/>
      <c r="M251" s="20" t="inlineStr"/>
      <c r="N251" s="20" t="inlineStr"/>
      <c r="O251" s="20" t="inlineStr"/>
      <c r="P251" s="20" t="inlineStr">
        <is>
          <t>BERNARDO MALTA DE AMORIM</t>
        </is>
      </c>
      <c r="Q251" s="20" t="inlineStr">
        <is>
          <t>Administrador</t>
        </is>
      </c>
      <c r="R251" s="20" t="inlineStr">
        <is>
          <t>(82) 3316-8570</t>
        </is>
      </c>
      <c r="S251" s="20" t="inlineStr"/>
      <c r="T251" s="21" t="n">
        <v>605635.3199999999</v>
      </c>
      <c r="U251" s="31" t="inlineStr">
        <is>
          <t>C</t>
        </is>
      </c>
      <c r="V251" s="23">
        <f>IFERROR(VLOOKUP(U251,Assumptions!$A$7:$D$11,2,FALSE),0)</f>
        <v/>
      </c>
      <c r="W251" s="24">
        <f>MAX(0.5,IFERROR(VLOOKUP(U251,Assumptions!$A$7:$D$11,3,FALSE),3)+IFERROR(VLOOKUP(U251,Assumptions!$A$7:$D$11,4,FALSE),8)/2-IF(AN251="",0,YEAR(TODAY())-AN251))</f>
        <v/>
      </c>
      <c r="X251" s="21">
        <f>T251*V251/(1+Assumptions!$B$3)^W251</f>
        <v/>
      </c>
      <c r="Y251" s="25">
        <f>IF(T251=0,"",ROUND(X251/T251*100,1))</f>
        <v/>
      </c>
      <c r="Z251" s="26">
        <f>X251*Assumptions!$B$4</f>
        <v/>
      </c>
      <c r="AA251" s="25">
        <f>IF(T251=0,"",ROUND(Z251/T251*100,1))</f>
        <v/>
      </c>
      <c r="AB251" s="26">
        <f>X251-Z251</f>
        <v/>
      </c>
      <c r="AC251" s="25">
        <f>IF(T251=0,"",ROUND((X251-Z251)/T251*100,1))</f>
        <v/>
      </c>
      <c r="AD251" s="27" t="inlineStr">
        <is>
          <t>UNKNOWN</t>
        </is>
      </c>
      <c r="AE251" s="28" t="inlineStr">
        <is>
          <t>https://recuperacaojudicial.squarespace.com/s/RJ-Grupo-Arnon-de-Melo-Lista-de-Credores-Consolidada-abril-2022.pdf</t>
        </is>
      </c>
      <c r="AF251" s="27" t="inlineStr">
        <is>
          <t>p7 r17</t>
        </is>
      </c>
      <c r="AG251" s="27" t="inlineStr">
        <is>
          <t>p7: R$ 605.635,32</t>
        </is>
      </c>
      <c r="AH251" s="27" t="inlineStr">
        <is>
          <t>AJ_LIST</t>
        </is>
      </c>
      <c r="AI251" s="27" t="inlineStr"/>
      <c r="AJ251" s="27" t="inlineStr">
        <is>
          <t>OK_NO_TOTALS</t>
        </is>
      </c>
      <c r="AK251" s="29" t="inlineStr">
        <is>
          <t>0700256-03.2019.8.02.0066</t>
        </is>
      </c>
      <c r="AL251" s="29" t="inlineStr">
        <is>
          <t>TJ</t>
        </is>
      </c>
      <c r="AM251" s="29" t="inlineStr"/>
      <c r="AN251" s="29" t="n">
        <v>2019</v>
      </c>
      <c r="AO251" s="29" t="inlineStr">
        <is>
          <t>7y since filing, no plan document</t>
        </is>
      </c>
      <c r="AP251" s="29" t="inlineStr">
        <is>
          <t>MACEIO</t>
        </is>
      </c>
      <c r="AQ251" s="29" t="inlineStr">
        <is>
          <t>AL</t>
        </is>
      </c>
      <c r="AR251" s="29" t="inlineStr">
        <is>
          <t>Construção de edifícios</t>
        </is>
      </c>
      <c r="AS251" s="29" t="inlineStr">
        <is>
          <t>DEMAIS</t>
        </is>
      </c>
      <c r="AT251" s="29" t="inlineStr">
        <is>
          <t>MID-MARKET</t>
        </is>
      </c>
      <c r="AU251" s="29" t="inlineStr">
        <is>
          <t>05399862</t>
        </is>
      </c>
      <c r="AV251" s="29" t="n">
        <v>1</v>
      </c>
      <c r="AW251" s="29" t="inlineStr">
        <is>
          <t>ROWS:p7r17 UNRECONCILED_SOURCE</t>
        </is>
      </c>
    </row>
    <row r="252">
      <c r="A252" s="15" t="inlineStr">
        <is>
          <t>CAUANA INDUSTRIA COMERCIO E REPRESENTACOES LTDA</t>
        </is>
      </c>
      <c r="B252" s="16" t="n">
        <v>374949</v>
      </c>
      <c r="C252" s="17" t="inlineStr">
        <is>
          <t>R W CONSTRUCOES LTDA</t>
        </is>
      </c>
      <c r="D252" s="18" t="inlineStr">
        <is>
          <t>NEW</t>
        </is>
      </c>
      <c r="E252" s="19" t="inlineStr"/>
      <c r="F252" s="18" t="inlineStr"/>
      <c r="G252" s="19" t="inlineStr"/>
      <c r="H252" s="18" t="inlineStr"/>
      <c r="I252" s="20" t="inlineStr">
        <is>
          <t>CLAUDIO NOGUEIRA DINIZ</t>
        </is>
      </c>
      <c r="J252" s="20" t="inlineStr">
        <is>
          <t>Sócio-Administrador</t>
        </is>
      </c>
      <c r="K252" s="20" t="inlineStr">
        <is>
          <t>(31) 2581-0599</t>
        </is>
      </c>
      <c r="L252" s="20" t="inlineStr"/>
      <c r="M252" s="20" t="inlineStr"/>
      <c r="N252" s="20" t="inlineStr"/>
      <c r="O252" s="20" t="inlineStr"/>
      <c r="P252" s="20" t="inlineStr">
        <is>
          <t>MARIANA LARA DINIZ</t>
        </is>
      </c>
      <c r="Q252" s="20" t="inlineStr">
        <is>
          <t>Sócio-Administrador</t>
        </is>
      </c>
      <c r="R252" s="20" t="inlineStr">
        <is>
          <t>(31) 2581-0599</t>
        </is>
      </c>
      <c r="S252" s="20" t="inlineStr"/>
      <c r="T252" s="21" t="n">
        <v>374949</v>
      </c>
      <c r="U252" s="22" t="inlineStr">
        <is>
          <t>B</t>
        </is>
      </c>
      <c r="V252" s="23">
        <f>IFERROR(VLOOKUP(U252,Assumptions!$A$7:$D$11,2,FALSE),0)</f>
        <v/>
      </c>
      <c r="W252" s="24">
        <f>MAX(0.5,IFERROR(VLOOKUP(U252,Assumptions!$A$7:$D$11,3,FALSE),3)+IFERROR(VLOOKUP(U252,Assumptions!$A$7:$D$11,4,FALSE),8)/2-IF(AN252="",0,YEAR(TODAY())-AN252))</f>
        <v/>
      </c>
      <c r="X252" s="21">
        <f>T252*V252/(1+Assumptions!$B$3)^W252</f>
        <v/>
      </c>
      <c r="Y252" s="25">
        <f>IF(T252=0,"",ROUND(X252/T252*100,1))</f>
        <v/>
      </c>
      <c r="Z252" s="26">
        <f>X252*Assumptions!$B$4</f>
        <v/>
      </c>
      <c r="AA252" s="25">
        <f>IF(T252=0,"",ROUND(Z252/T252*100,1))</f>
        <v/>
      </c>
      <c r="AB252" s="26">
        <f>X252-Z252</f>
        <v/>
      </c>
      <c r="AC252" s="25">
        <f>IF(T252=0,"",ROUND((X252-Z252)/T252*100,1))</f>
        <v/>
      </c>
      <c r="AD252" s="27" t="inlineStr">
        <is>
          <t>ESTIMATED</t>
        </is>
      </c>
      <c r="AE252" s="28" t="inlineStr">
        <is>
          <t>https://lrflideres.com.br/wp-content/plugins/download-attachments/includes/download.php?id=4023</t>
        </is>
      </c>
      <c r="AF252" s="27" t="inlineStr">
        <is>
          <t>p4 r62</t>
        </is>
      </c>
      <c r="AG252" s="27" t="inlineStr">
        <is>
          <t>p4: R$ 374.949,00</t>
        </is>
      </c>
      <c r="AH252" s="27" t="inlineStr">
        <is>
          <t>DEBTOR_LIST</t>
        </is>
      </c>
      <c r="AI252" s="27" t="inlineStr"/>
      <c r="AJ252" s="27" t="inlineStr">
        <is>
          <t>QUARANTINED</t>
        </is>
      </c>
      <c r="AK252" s="29" t="inlineStr">
        <is>
          <t>0002484-82.2022.8.17.2001</t>
        </is>
      </c>
      <c r="AL252" s="29" t="inlineStr">
        <is>
          <t>TJPE</t>
        </is>
      </c>
      <c r="AM252" s="29" t="inlineStr">
        <is>
          <t>ACTIVE</t>
        </is>
      </c>
      <c r="AN252" s="29" t="n">
        <v>2022</v>
      </c>
      <c r="AO252" s="29" t="inlineStr">
        <is>
          <t>live case, no plan document yet</t>
        </is>
      </c>
      <c r="AP252" s="29" t="inlineStr">
        <is>
          <t>NOVA LIMA</t>
        </is>
      </c>
      <c r="AQ252" s="29" t="inlineStr">
        <is>
          <t>MG</t>
        </is>
      </c>
      <c r="AR252" s="29" t="inlineStr">
        <is>
          <t>Confecção de peças de vestuário, exceto roupas íntimas e as confeccionadas sob medida</t>
        </is>
      </c>
      <c r="AS252" s="29" t="inlineStr">
        <is>
          <t>MICRO EMPRESA</t>
        </is>
      </c>
      <c r="AT252" s="29" t="inlineStr">
        <is>
          <t>SMALL</t>
        </is>
      </c>
      <c r="AU252" s="29" t="inlineStr">
        <is>
          <t>13726078</t>
        </is>
      </c>
      <c r="AV252" s="29" t="n">
        <v>1</v>
      </c>
      <c r="AW252" s="29" t="inlineStr">
        <is>
          <t>PARTIAL_DOC_CLASS_III_RECONCILED ROWS:p4r62</t>
        </is>
      </c>
    </row>
    <row r="253">
      <c r="A253" s="15" t="inlineStr">
        <is>
          <t>MERCOFRICON S/A</t>
        </is>
      </c>
      <c r="B253" s="16" t="n">
        <v>744752.65</v>
      </c>
      <c r="C253" s="17" t="inlineStr">
        <is>
          <t>aludida empresa</t>
        </is>
      </c>
      <c r="D253" s="18" t="inlineStr">
        <is>
          <t>NEW</t>
        </is>
      </c>
      <c r="E253" s="19" t="inlineStr"/>
      <c r="F253" s="18" t="inlineStr"/>
      <c r="G253" s="19" t="inlineStr"/>
      <c r="H253" s="18" t="inlineStr"/>
      <c r="I253" s="20" t="inlineStr">
        <is>
          <t>RUI MANUEL COUTINHO DE AZEVEDO</t>
        </is>
      </c>
      <c r="J253" s="20" t="inlineStr">
        <is>
          <t>Presidente</t>
        </is>
      </c>
      <c r="K253" s="20" t="inlineStr">
        <is>
          <t>(81) 2121-5047</t>
        </is>
      </c>
      <c r="L253" s="20" t="inlineStr"/>
      <c r="M253" s="20" t="inlineStr"/>
      <c r="N253" s="20" t="inlineStr"/>
      <c r="O253" s="20" t="inlineStr"/>
      <c r="P253" s="20" t="inlineStr">
        <is>
          <t>ARTUR BORGES AZEVEDO</t>
        </is>
      </c>
      <c r="Q253" s="20" t="inlineStr">
        <is>
          <t>Diretor</t>
        </is>
      </c>
      <c r="R253" s="20" t="inlineStr">
        <is>
          <t>(81) 2121-5047</t>
        </is>
      </c>
      <c r="S253" s="20" t="inlineStr"/>
      <c r="T253" s="21" t="n">
        <v>744752.65</v>
      </c>
      <c r="U253" s="31" t="inlineStr">
        <is>
          <t>C</t>
        </is>
      </c>
      <c r="V253" s="23">
        <f>IFERROR(VLOOKUP(U253,Assumptions!$A$7:$D$11,2,FALSE),0)</f>
        <v/>
      </c>
      <c r="W253" s="24">
        <f>MAX(0.5,IFERROR(VLOOKUP(U253,Assumptions!$A$7:$D$11,3,FALSE),3)+IFERROR(VLOOKUP(U253,Assumptions!$A$7:$D$11,4,FALSE),8)/2-IF(AN253="",0,YEAR(TODAY())-AN253))</f>
        <v/>
      </c>
      <c r="X253" s="21">
        <f>T253*V253/(1+Assumptions!$B$3)^W253</f>
        <v/>
      </c>
      <c r="Y253" s="25">
        <f>IF(T253=0,"",ROUND(X253/T253*100,1))</f>
        <v/>
      </c>
      <c r="Z253" s="26">
        <f>X253*Assumptions!$B$4</f>
        <v/>
      </c>
      <c r="AA253" s="25">
        <f>IF(T253=0,"",ROUND(Z253/T253*100,1))</f>
        <v/>
      </c>
      <c r="AB253" s="26">
        <f>X253-Z253</f>
        <v/>
      </c>
      <c r="AC253" s="25">
        <f>IF(T253=0,"",ROUND((X253-Z253)/T253*100,1))</f>
        <v/>
      </c>
      <c r="AD253" s="27" t="inlineStr">
        <is>
          <t>ESTIMATED</t>
        </is>
      </c>
      <c r="AE253" s="28" t="inlineStr">
        <is>
          <t>https://recuperacaojudicial.squarespace.com/s/RJ-Credimoveis-QGC-01082025.pdf</t>
        </is>
      </c>
      <c r="AF253" s="27" t="inlineStr">
        <is>
          <t>p16 r17</t>
        </is>
      </c>
      <c r="AG253" s="27" t="inlineStr">
        <is>
          <t>p16: R$ 744.752,65</t>
        </is>
      </c>
      <c r="AH253" s="27" t="inlineStr">
        <is>
          <t>QGC</t>
        </is>
      </c>
      <c r="AI253" s="27" t="inlineStr">
        <is>
          <t>2026-01-28</t>
        </is>
      </c>
      <c r="AJ253" s="27" t="inlineStr">
        <is>
          <t>OK</t>
        </is>
      </c>
      <c r="AK253" s="29" t="inlineStr">
        <is>
          <t>0007565-40.2020.8.17.2370</t>
        </is>
      </c>
      <c r="AL253" s="29" t="inlineStr">
        <is>
          <t>TJPE</t>
        </is>
      </c>
      <c r="AM253" s="29" t="inlineStr">
        <is>
          <t>ACTIVE</t>
        </is>
      </c>
      <c r="AN253" s="29" t="n">
        <v>2020</v>
      </c>
      <c r="AO253" s="29" t="inlineStr">
        <is>
          <t>6y since filing, no plan document</t>
        </is>
      </c>
      <c r="AP253" s="29" t="inlineStr">
        <is>
          <t>PAULISTA</t>
        </is>
      </c>
      <c r="AQ253" s="29" t="inlineStr">
        <is>
          <t>PE</t>
        </is>
      </c>
      <c r="AR253" s="29" t="inlineStr">
        <is>
          <t>Fabricação de máquinas e aparelhos de refrigeração e ventilação para uso industrial e comercial, peças e acessórios</t>
        </is>
      </c>
      <c r="AS253" s="29" t="inlineStr">
        <is>
          <t>DEMAIS</t>
        </is>
      </c>
      <c r="AT253" s="29" t="inlineStr">
        <is>
          <t>LARGE CORP</t>
        </is>
      </c>
      <c r="AU253" s="29" t="inlineStr">
        <is>
          <t>02802419</t>
        </is>
      </c>
      <c r="AV253" s="29" t="n">
        <v>1</v>
      </c>
      <c r="AW253" s="29" t="inlineStr">
        <is>
          <t>ROWS:p16r17</t>
        </is>
      </c>
    </row>
    <row r="254">
      <c r="A254" s="15" t="inlineStr">
        <is>
          <t>GERDAU ACOS LONGOS S.A.</t>
        </is>
      </c>
      <c r="B254" s="16" t="n">
        <v>1340193.75</v>
      </c>
      <c r="C254" s="17" t="inlineStr">
        <is>
          <t>EGESA ENGENHARIA S/A (Consórcio ETDI)</t>
        </is>
      </c>
      <c r="D254" s="18" t="inlineStr">
        <is>
          <t>NEW</t>
        </is>
      </c>
      <c r="E254" s="19" t="inlineStr"/>
      <c r="F254" s="18" t="inlineStr"/>
      <c r="G254" s="19" t="inlineStr"/>
      <c r="H254" s="18" t="inlineStr"/>
      <c r="I254" s="20" t="inlineStr">
        <is>
          <t>Guilherme Freitas</t>
        </is>
      </c>
      <c r="J254" s="20" t="inlineStr">
        <is>
          <t>Coordenador de Crédito e Cobrança</t>
        </is>
      </c>
      <c r="K254" s="20" t="inlineStr">
        <is>
          <t>(11) 3094-6600</t>
        </is>
      </c>
      <c r="L254" s="20" t="inlineStr"/>
      <c r="M254" s="20" t="inlineStr"/>
      <c r="N254" s="20" t="inlineStr">
        <is>
          <t>guilherme.freitas@gerdau.com.br</t>
        </is>
      </c>
      <c r="O254" s="20" t="inlineStr"/>
      <c r="P254" s="20" t="inlineStr">
        <is>
          <t>Anajara Lopes</t>
        </is>
      </c>
      <c r="Q254" s="20" t="inlineStr">
        <is>
          <t>Chefe de Crédito</t>
        </is>
      </c>
      <c r="R254" s="20" t="inlineStr"/>
      <c r="S254" s="20" t="inlineStr"/>
      <c r="T254" s="21" t="n">
        <v>1340193.75</v>
      </c>
      <c r="U254" s="30" t="inlineStr">
        <is>
          <t>?</t>
        </is>
      </c>
      <c r="V254" s="23">
        <f>IFERROR(VLOOKUP(U254,Assumptions!$A$7:$D$11,2,FALSE),0)</f>
        <v/>
      </c>
      <c r="W254" s="24">
        <f>MAX(0.5,IFERROR(VLOOKUP(U254,Assumptions!$A$7:$D$11,3,FALSE),3)+IFERROR(VLOOKUP(U254,Assumptions!$A$7:$D$11,4,FALSE),8)/2-IF(AN254="",0,YEAR(TODAY())-AN254))</f>
        <v/>
      </c>
      <c r="X254" s="21">
        <f>T254*V254/(1+Assumptions!$B$3)^W254</f>
        <v/>
      </c>
      <c r="Y254" s="25">
        <f>IF(T254=0,"",ROUND(X254/T254*100,1))</f>
        <v/>
      </c>
      <c r="Z254" s="26">
        <f>X254*Assumptions!$B$4</f>
        <v/>
      </c>
      <c r="AA254" s="25">
        <f>IF(T254=0,"",ROUND(Z254/T254*100,1))</f>
        <v/>
      </c>
      <c r="AB254" s="26">
        <f>X254-Z254</f>
        <v/>
      </c>
      <c r="AC254" s="25">
        <f>IF(T254=0,"",ROUND((X254-Z254)/T254*100,1))</f>
        <v/>
      </c>
      <c r="AD254" s="27" t="inlineStr">
        <is>
          <t>UNKNOWN</t>
        </is>
      </c>
      <c r="AE254" s="28" t="inlineStr">
        <is>
          <t>https://scalzilliaj.com.br/sgc/download.php?file=files/processo_documento/processo_documento09514021082025_1_.pdf&amp;nome=04 - Relação de credores das Recuperandas</t>
        </is>
      </c>
      <c r="AF254" s="27" t="inlineStr">
        <is>
          <t>p67 r6; p67 r7; p67 r8</t>
        </is>
      </c>
      <c r="AG254" s="27" t="inlineStr">
        <is>
          <t>p67: R$ 697.078,05; p67: R$ 550.843,32; p67: R$ 92.272,38</t>
        </is>
      </c>
      <c r="AH254" s="27" t="inlineStr">
        <is>
          <t>DEBTOR_LIST</t>
        </is>
      </c>
      <c r="AI254" s="27" t="inlineStr"/>
      <c r="AJ254" s="27" t="inlineStr">
        <is>
          <t>OK</t>
        </is>
      </c>
      <c r="AK254" s="29" t="inlineStr">
        <is>
          <t>(not printed)</t>
        </is>
      </c>
      <c r="AL254" s="29" t="inlineStr"/>
      <c r="AM254" s="29" t="inlineStr"/>
      <c r="AN254" s="29" t="inlineStr"/>
      <c r="AO254" s="29" t="inlineStr">
        <is>
          <t>RJ case number not identified on the document</t>
        </is>
      </c>
      <c r="AP254" s="29" t="inlineStr">
        <is>
          <t>RIO DE JANEIRO</t>
        </is>
      </c>
      <c r="AQ254" s="29" t="inlineStr">
        <is>
          <t>RJ</t>
        </is>
      </c>
      <c r="AR254" s="29" t="inlineStr">
        <is>
          <t>Produção de laminados longos de aço, exceto tubos</t>
        </is>
      </c>
      <c r="AS254" s="29" t="inlineStr">
        <is>
          <t>DEMAIS</t>
        </is>
      </c>
      <c r="AT254" s="29" t="inlineStr">
        <is>
          <t>LARGE CORP</t>
        </is>
      </c>
      <c r="AU254" s="29" t="inlineStr">
        <is>
          <t>07358761</t>
        </is>
      </c>
      <c r="AV254" s="29" t="n">
        <v>3</v>
      </c>
      <c r="AW254" s="29" t="inlineStr">
        <is>
          <t>ROWS:p67r6,p67r7,p67r8 VALUE_COL:Valor_Atualizado CASE_NUMBER_CORRECTED</t>
        </is>
      </c>
    </row>
    <row r="255">
      <c r="A255" s="15" t="inlineStr">
        <is>
          <t>TRANSNETO TRANSPORTE LTDA</t>
        </is>
      </c>
      <c r="B255" s="16" t="n">
        <v>452000.03</v>
      </c>
      <c r="C255" s="17" t="inlineStr">
        <is>
          <t>ADVOCACIA WANDERLEI DE PAULA BARRETO</t>
        </is>
      </c>
      <c r="D255" s="18" t="inlineStr">
        <is>
          <t>NEW</t>
        </is>
      </c>
      <c r="E255" s="19" t="inlineStr"/>
      <c r="F255" s="18" t="inlineStr"/>
      <c r="G255" s="19" t="inlineStr"/>
      <c r="H255" s="18" t="inlineStr"/>
      <c r="I255" s="20" t="inlineStr">
        <is>
          <t>DELVINO SAMBINI NETO</t>
        </is>
      </c>
      <c r="J255" s="20" t="inlineStr">
        <is>
          <t>Administrador</t>
        </is>
      </c>
      <c r="K255" s="20" t="inlineStr">
        <is>
          <t>(44) 9141-6545</t>
        </is>
      </c>
      <c r="L255" s="20" t="inlineStr"/>
      <c r="M255" s="20" t="inlineStr"/>
      <c r="N255" s="20" t="inlineStr"/>
      <c r="O255" s="20" t="inlineStr"/>
      <c r="P255" s="20" t="inlineStr"/>
      <c r="Q255" s="20" t="inlineStr"/>
      <c r="R255" s="20" t="inlineStr"/>
      <c r="S255" s="20" t="inlineStr"/>
      <c r="T255" s="21" t="n">
        <v>452000.03</v>
      </c>
      <c r="U255" s="22" t="inlineStr">
        <is>
          <t>B</t>
        </is>
      </c>
      <c r="V255" s="23">
        <f>IFERROR(VLOOKUP(U255,Assumptions!$A$7:$D$11,2,FALSE),0)</f>
        <v/>
      </c>
      <c r="W255" s="24">
        <f>MAX(0.5,IFERROR(VLOOKUP(U255,Assumptions!$A$7:$D$11,3,FALSE),3)+IFERROR(VLOOKUP(U255,Assumptions!$A$7:$D$11,4,FALSE),8)/2-IF(AN255="",0,YEAR(TODAY())-AN255))</f>
        <v/>
      </c>
      <c r="X255" s="21">
        <f>T255*V255/(1+Assumptions!$B$3)^W255</f>
        <v/>
      </c>
      <c r="Y255" s="25">
        <f>IF(T255=0,"",ROUND(X255/T255*100,1))</f>
        <v/>
      </c>
      <c r="Z255" s="26">
        <f>X255*Assumptions!$B$4</f>
        <v/>
      </c>
      <c r="AA255" s="25">
        <f>IF(T255=0,"",ROUND(Z255/T255*100,1))</f>
        <v/>
      </c>
      <c r="AB255" s="26">
        <f>X255-Z255</f>
        <v/>
      </c>
      <c r="AC255" s="25">
        <f>IF(T255=0,"",ROUND((X255-Z255)/T255*100,1))</f>
        <v/>
      </c>
      <c r="AD255" s="27" t="inlineStr">
        <is>
          <t>ESTIMATED</t>
        </is>
      </c>
      <c r="AE255" s="28" t="inlineStr">
        <is>
          <t>https://marquesadmjudicial.com.br/sgc/download.php?file=files/processo_documento/processo_documento17040729052024_1_.pdf&amp;nome=Relação Nominal de Credores AJ-Sintética</t>
        </is>
      </c>
      <c r="AF255" s="27" t="inlineStr">
        <is>
          <t>p13 r9</t>
        </is>
      </c>
      <c r="AG255" s="27" t="inlineStr">
        <is>
          <t>p13: R$ 452.000,03</t>
        </is>
      </c>
      <c r="AH255" s="27" t="inlineStr">
        <is>
          <t>AJ_LIST</t>
        </is>
      </c>
      <c r="AI255" s="27" t="inlineStr">
        <is>
          <t>2024-05-27</t>
        </is>
      </c>
      <c r="AJ255" s="27" t="inlineStr">
        <is>
          <t>QUARANTINED</t>
        </is>
      </c>
      <c r="AK255" s="29" t="inlineStr">
        <is>
          <t>0003971-03.2023.8.16.0119</t>
        </is>
      </c>
      <c r="AL255" s="29" t="inlineStr">
        <is>
          <t>TJPR</t>
        </is>
      </c>
      <c r="AM255" s="29" t="inlineStr">
        <is>
          <t>ACTIVE</t>
        </is>
      </c>
      <c r="AN255" s="29" t="n">
        <v>2023</v>
      </c>
      <c r="AO255" s="29" t="inlineStr">
        <is>
          <t>live case, no plan document yet</t>
        </is>
      </c>
      <c r="AP255" s="29" t="inlineStr">
        <is>
          <t>MARINGA</t>
        </is>
      </c>
      <c r="AQ255" s="29" t="inlineStr">
        <is>
          <t>PR</t>
        </is>
      </c>
      <c r="AR255" s="29" t="inlineStr">
        <is>
          <t>Transporte rodoviário de carga, exceto produtos perigosos e mudanças, intermunicipal, interestadual e internacional</t>
        </is>
      </c>
      <c r="AS255" s="29" t="inlineStr">
        <is>
          <t>DEMAIS</t>
        </is>
      </c>
      <c r="AT255" s="29" t="inlineStr">
        <is>
          <t>MID-MARKET</t>
        </is>
      </c>
      <c r="AU255" s="29" t="inlineStr">
        <is>
          <t>18548852</t>
        </is>
      </c>
      <c r="AV255" s="29" t="n">
        <v>1</v>
      </c>
      <c r="AW255" s="29" t="inlineStr">
        <is>
          <t>PARTIAL_DOC_CLASS_III_RECONCILED ROWS:p13r9</t>
        </is>
      </c>
    </row>
    <row r="256">
      <c r="A256" s="15" t="inlineStr">
        <is>
          <t>ROBERT BOSCH LIMITADA</t>
        </is>
      </c>
      <c r="B256" s="16" t="n">
        <v>503949.11</v>
      </c>
      <c r="C256" s="17" t="inlineStr"/>
      <c r="D256" s="18" t="inlineStr">
        <is>
          <t>NEW</t>
        </is>
      </c>
      <c r="E256" s="19" t="inlineStr"/>
      <c r="F256" s="18" t="inlineStr"/>
      <c r="G256" s="19" t="inlineStr"/>
      <c r="H256" s="18" t="inlineStr"/>
      <c r="I256" s="20" t="inlineStr">
        <is>
          <t>ANDRE AUGUSTO GARCEZ BERTOLIN</t>
        </is>
      </c>
      <c r="J256" s="20" t="inlineStr">
        <is>
          <t>Administrador</t>
        </is>
      </c>
      <c r="K256" s="20" t="inlineStr">
        <is>
          <t>(19) 2103-1954</t>
        </is>
      </c>
      <c r="L256" s="20" t="inlineStr"/>
      <c r="M256" s="20" t="inlineStr"/>
      <c r="N256" s="20" t="inlineStr"/>
      <c r="O256" s="20" t="inlineStr"/>
      <c r="P256" s="20" t="inlineStr">
        <is>
          <t>EDUARDO GASTON DIAZ PEREZ</t>
        </is>
      </c>
      <c r="Q256" s="20" t="inlineStr">
        <is>
          <t>Administrador</t>
        </is>
      </c>
      <c r="R256" s="20" t="inlineStr">
        <is>
          <t>(19) 2103-1954</t>
        </is>
      </c>
      <c r="S256" s="20" t="inlineStr"/>
      <c r="T256" s="21" t="n">
        <v>503949.11</v>
      </c>
      <c r="U256" s="31" t="inlineStr">
        <is>
          <t>C</t>
        </is>
      </c>
      <c r="V256" s="23">
        <f>IFERROR(VLOOKUP(U256,Assumptions!$A$7:$D$11,2,FALSE),0)</f>
        <v/>
      </c>
      <c r="W256" s="24">
        <f>MAX(0.5,IFERROR(VLOOKUP(U256,Assumptions!$A$7:$D$11,3,FALSE),3)+IFERROR(VLOOKUP(U256,Assumptions!$A$7:$D$11,4,FALSE),8)/2-IF(AN256="",0,YEAR(TODAY())-AN256))</f>
        <v/>
      </c>
      <c r="X256" s="21">
        <f>T256*V256/(1+Assumptions!$B$3)^W256</f>
        <v/>
      </c>
      <c r="Y256" s="25">
        <f>IF(T256=0,"",ROUND(X256/T256*100,1))</f>
        <v/>
      </c>
      <c r="Z256" s="26">
        <f>X256*Assumptions!$B$4</f>
        <v/>
      </c>
      <c r="AA256" s="25">
        <f>IF(T256=0,"",ROUND(Z256/T256*100,1))</f>
        <v/>
      </c>
      <c r="AB256" s="26">
        <f>X256-Z256</f>
        <v/>
      </c>
      <c r="AC256" s="25">
        <f>IF(T256=0,"",ROUND((X256-Z256)/T256*100,1))</f>
        <v/>
      </c>
      <c r="AD256" s="27" t="inlineStr">
        <is>
          <t>UNKNOWN</t>
        </is>
      </c>
      <c r="AE256" s="28" t="inlineStr">
        <is>
          <t>https://realbrasil.com.br/wp-content/uploads/2019/02/LISTA-DE-CREDORES-DA-RECUPERANDA.pdf</t>
        </is>
      </c>
      <c r="AF256" s="27" t="inlineStr">
        <is>
          <t>p9 r15</t>
        </is>
      </c>
      <c r="AG256" s="27" t="inlineStr">
        <is>
          <t>p9: R$ 503.949,11</t>
        </is>
      </c>
      <c r="AH256" s="27" t="inlineStr">
        <is>
          <t>UNKNOWN</t>
        </is>
      </c>
      <c r="AI256" s="27" t="inlineStr"/>
      <c r="AJ256" s="27" t="inlineStr">
        <is>
          <t>OK_NO_TOTALS</t>
        </is>
      </c>
      <c r="AK256" s="29" t="inlineStr">
        <is>
          <t>0010193-34.2013.8.19.0028</t>
        </is>
      </c>
      <c r="AL256" s="29" t="inlineStr">
        <is>
          <t>TJ</t>
        </is>
      </c>
      <c r="AM256" s="29" t="inlineStr"/>
      <c r="AN256" s="29" t="n">
        <v>2013</v>
      </c>
      <c r="AO256" s="29" t="inlineStr">
        <is>
          <t>13y since filing, no plan document</t>
        </is>
      </c>
      <c r="AP256" s="29" t="inlineStr">
        <is>
          <t>CAMPINAS</t>
        </is>
      </c>
      <c r="AQ256" s="29" t="inlineStr">
        <is>
          <t>SP</t>
        </is>
      </c>
      <c r="AR256" s="29" t="inlineStr">
        <is>
          <t>Fabricação de peças e acessórios para o sistema motor de veículos automotores</t>
        </is>
      </c>
      <c r="AS256" s="29" t="inlineStr">
        <is>
          <t>DEMAIS</t>
        </is>
      </c>
      <c r="AT256" s="29" t="inlineStr">
        <is>
          <t>LARGE CORP</t>
        </is>
      </c>
      <c r="AU256" s="29" t="inlineStr">
        <is>
          <t>45990181</t>
        </is>
      </c>
      <c r="AV256" s="29" t="n">
        <v>1</v>
      </c>
      <c r="AW256" s="29" t="inlineStr">
        <is>
          <t>ROWS:p9r15 UNRECONCILED_SOURCE</t>
        </is>
      </c>
    </row>
    <row r="257">
      <c r="A257" s="15" t="inlineStr">
        <is>
          <t>CARGILL AGRICOLA S A</t>
        </is>
      </c>
      <c r="B257" s="16" t="n">
        <v>852353.71</v>
      </c>
      <c r="C257" s="17" t="inlineStr"/>
      <c r="D257" s="18" t="inlineStr">
        <is>
          <t>NEW</t>
        </is>
      </c>
      <c r="E257" s="19" t="inlineStr"/>
      <c r="F257" s="18" t="inlineStr"/>
      <c r="G257" s="19" t="inlineStr"/>
      <c r="H257" s="18" t="inlineStr"/>
      <c r="I257" s="20" t="inlineStr">
        <is>
          <t>PAULO HUMBERTO ALVES DE SOUSA</t>
        </is>
      </c>
      <c r="J257" s="20" t="inlineStr">
        <is>
          <t>Presidente</t>
        </is>
      </c>
      <c r="K257" s="20" t="inlineStr">
        <is>
          <t>(11) 5099-3311</t>
        </is>
      </c>
      <c r="L257" s="20" t="inlineStr"/>
      <c r="M257" s="20" t="inlineStr"/>
      <c r="N257" s="20" t="inlineStr"/>
      <c r="O257" s="20" t="inlineStr"/>
      <c r="P257" s="20" t="inlineStr">
        <is>
          <t>ANDREA WANDERLEY DOS ANJOS</t>
        </is>
      </c>
      <c r="Q257" s="20" t="inlineStr">
        <is>
          <t>Diretor</t>
        </is>
      </c>
      <c r="R257" s="20" t="inlineStr">
        <is>
          <t>(11) 5099-3311</t>
        </is>
      </c>
      <c r="S257" s="20" t="inlineStr"/>
      <c r="T257" s="21" t="n">
        <v>852353.71</v>
      </c>
      <c r="U257" s="22" t="inlineStr">
        <is>
          <t>B</t>
        </is>
      </c>
      <c r="V257" s="23">
        <f>IFERROR(VLOOKUP(U257,Assumptions!$A$7:$D$11,2,FALSE),0)</f>
        <v/>
      </c>
      <c r="W257" s="24">
        <f>MAX(0.5,IFERROR(VLOOKUP(U257,Assumptions!$A$7:$D$11,3,FALSE),3)+IFERROR(VLOOKUP(U257,Assumptions!$A$7:$D$11,4,FALSE),8)/2-IF(AN257="",0,YEAR(TODAY())-AN257))</f>
        <v/>
      </c>
      <c r="X257" s="21">
        <f>T257*V257/(1+Assumptions!$B$3)^W257</f>
        <v/>
      </c>
      <c r="Y257" s="25">
        <f>IF(T257=0,"",ROUND(X257/T257*100,1))</f>
        <v/>
      </c>
      <c r="Z257" s="26">
        <f>X257*Assumptions!$B$4</f>
        <v/>
      </c>
      <c r="AA257" s="25">
        <f>IF(T257=0,"",ROUND(Z257/T257*100,1))</f>
        <v/>
      </c>
      <c r="AB257" s="26">
        <f>X257-Z257</f>
        <v/>
      </c>
      <c r="AC257" s="25">
        <f>IF(T257=0,"",ROUND((X257-Z257)/T257*100,1))</f>
        <v/>
      </c>
      <c r="AD257" s="27" t="inlineStr">
        <is>
          <t>ESTIMATED</t>
        </is>
      </c>
      <c r="AE257" s="28" t="inlineStr">
        <is>
          <t>https://scalzilliaj.com.br/sgc/download.php?file=files/processo_documento/processo_documento11421222052026_1_.pdf&amp;nome=08. Lista de credores do edital do art. 52, §1º da LREF</t>
        </is>
      </c>
      <c r="AF257" s="27" t="inlineStr">
        <is>
          <t>p4 r5</t>
        </is>
      </c>
      <c r="AG257" s="27" t="inlineStr">
        <is>
          <t>p4: R$ 852.353,71</t>
        </is>
      </c>
      <c r="AH257" s="27" t="inlineStr">
        <is>
          <t>UNKNOWN</t>
        </is>
      </c>
      <c r="AI257" s="27" t="inlineStr"/>
      <c r="AJ257" s="27" t="inlineStr">
        <is>
          <t>OK_NO_TOTALS</t>
        </is>
      </c>
      <c r="AK257" s="29" t="inlineStr">
        <is>
          <t>5011369-81.2026.8.09.0093</t>
        </is>
      </c>
      <c r="AL257" s="29" t="inlineStr">
        <is>
          <t>TJGO</t>
        </is>
      </c>
      <c r="AM257" s="29" t="inlineStr">
        <is>
          <t>ACTIVE</t>
        </is>
      </c>
      <c r="AN257" s="29" t="n">
        <v>2026</v>
      </c>
      <c r="AO257" s="29" t="inlineStr">
        <is>
          <t>live case, no plan document yet</t>
        </is>
      </c>
      <c r="AP257" s="29" t="inlineStr">
        <is>
          <t>SAO PAULO</t>
        </is>
      </c>
      <c r="AQ257" s="29" t="inlineStr">
        <is>
          <t>SP</t>
        </is>
      </c>
      <c r="AR257" s="29" t="inlineStr">
        <is>
          <t>Fabricação de óleos vegetais refinados, exceto óleo de milho</t>
        </is>
      </c>
      <c r="AS257" s="29" t="inlineStr">
        <is>
          <t>DEMAIS</t>
        </is>
      </c>
      <c r="AT257" s="29" t="inlineStr">
        <is>
          <t>LARGE CORP</t>
        </is>
      </c>
      <c r="AU257" s="29" t="inlineStr">
        <is>
          <t>60498706</t>
        </is>
      </c>
      <c r="AV257" s="29" t="n">
        <v>1</v>
      </c>
      <c r="AW257" s="29" t="inlineStr">
        <is>
          <t>ROWS:p4r5 UNRECONCILED_SOURCE</t>
        </is>
      </c>
    </row>
    <row r="258">
      <c r="A258" s="15" t="inlineStr">
        <is>
          <t>EQUATORIAL ALAGOAS DISTRIBUIDORA DE ENERGIA S.A.</t>
        </is>
      </c>
      <c r="B258" s="16" t="n">
        <v>558539.73</v>
      </c>
      <c r="C258" s="17" t="inlineStr">
        <is>
          <t>Grupo Arnon de Mello — Lindoso e Araujo</t>
        </is>
      </c>
      <c r="D258" s="18" t="inlineStr">
        <is>
          <t>NEW</t>
        </is>
      </c>
      <c r="E258" s="19" t="inlineStr"/>
      <c r="F258" s="18" t="inlineStr"/>
      <c r="G258" s="19" t="inlineStr"/>
      <c r="H258" s="18" t="inlineStr"/>
      <c r="I258" s="20" t="inlineStr">
        <is>
          <t>SERGIO RICARDO DE ANDRADE OLIVEIRA</t>
        </is>
      </c>
      <c r="J258" s="20" t="inlineStr">
        <is>
          <t>Presidente</t>
        </is>
      </c>
      <c r="K258" s="20" t="inlineStr">
        <is>
          <t>000000000000</t>
        </is>
      </c>
      <c r="L258" s="20" t="inlineStr"/>
      <c r="M258" s="20" t="inlineStr"/>
      <c r="N258" s="20" t="inlineStr"/>
      <c r="O258" s="20" t="inlineStr"/>
      <c r="P258" s="20" t="inlineStr">
        <is>
          <t>CRISTIANO DE LIMA LOGRADO</t>
        </is>
      </c>
      <c r="Q258" s="20" t="inlineStr">
        <is>
          <t>Diretor</t>
        </is>
      </c>
      <c r="R258" s="20" t="inlineStr">
        <is>
          <t>000000000000</t>
        </is>
      </c>
      <c r="S258" s="20" t="inlineStr"/>
      <c r="T258" s="21" t="n">
        <v>558539.73</v>
      </c>
      <c r="U258" s="31" t="inlineStr">
        <is>
          <t>C</t>
        </is>
      </c>
      <c r="V258" s="23">
        <f>IFERROR(VLOOKUP(U258,Assumptions!$A$7:$D$11,2,FALSE),0)</f>
        <v/>
      </c>
      <c r="W258" s="24">
        <f>MAX(0.5,IFERROR(VLOOKUP(U258,Assumptions!$A$7:$D$11,3,FALSE),3)+IFERROR(VLOOKUP(U258,Assumptions!$A$7:$D$11,4,FALSE),8)/2-IF(AN258="",0,YEAR(TODAY())-AN258))</f>
        <v/>
      </c>
      <c r="X258" s="21">
        <f>T258*V258/(1+Assumptions!$B$3)^W258</f>
        <v/>
      </c>
      <c r="Y258" s="25">
        <f>IF(T258=0,"",ROUND(X258/T258*100,1))</f>
        <v/>
      </c>
      <c r="Z258" s="26">
        <f>X258*Assumptions!$B$4</f>
        <v/>
      </c>
      <c r="AA258" s="25">
        <f>IF(T258=0,"",ROUND(Z258/T258*100,1))</f>
        <v/>
      </c>
      <c r="AB258" s="26">
        <f>X258-Z258</f>
        <v/>
      </c>
      <c r="AC258" s="25">
        <f>IF(T258=0,"",ROUND((X258-Z258)/T258*100,1))</f>
        <v/>
      </c>
      <c r="AD258" s="27" t="inlineStr">
        <is>
          <t>UNKNOWN</t>
        </is>
      </c>
      <c r="AE258" s="28" t="inlineStr">
        <is>
          <t>https://recuperacaojudicial.squarespace.com/s/RJ-Grupo-Arnon-de-Melo-Lista-de-Credores-Consolidada-abril-2022.pdf</t>
        </is>
      </c>
      <c r="AF258" s="27" t="inlineStr">
        <is>
          <t>p7 r46</t>
        </is>
      </c>
      <c r="AG258" s="27" t="inlineStr">
        <is>
          <t>p7: R$ 558.539,73</t>
        </is>
      </c>
      <c r="AH258" s="27" t="inlineStr">
        <is>
          <t>AJ_LIST</t>
        </is>
      </c>
      <c r="AI258" s="27" t="inlineStr"/>
      <c r="AJ258" s="27" t="inlineStr">
        <is>
          <t>OK_NO_TOTALS</t>
        </is>
      </c>
      <c r="AK258" s="29" t="inlineStr">
        <is>
          <t>0700256-03.2019.8.02.0066</t>
        </is>
      </c>
      <c r="AL258" s="29" t="inlineStr">
        <is>
          <t>TJ</t>
        </is>
      </c>
      <c r="AM258" s="29" t="inlineStr"/>
      <c r="AN258" s="29" t="n">
        <v>2019</v>
      </c>
      <c r="AO258" s="29" t="inlineStr">
        <is>
          <t>7y since filing, no plan document</t>
        </is>
      </c>
      <c r="AP258" s="29" t="inlineStr">
        <is>
          <t>MACEIO</t>
        </is>
      </c>
      <c r="AQ258" s="29" t="inlineStr">
        <is>
          <t>AL</t>
        </is>
      </c>
      <c r="AR258" s="29" t="inlineStr">
        <is>
          <t>Distribuição de energia elétrica</t>
        </is>
      </c>
      <c r="AS258" s="29" t="inlineStr">
        <is>
          <t>DEMAIS</t>
        </is>
      </c>
      <c r="AT258" s="29" t="inlineStr">
        <is>
          <t>LARGE CORP</t>
        </is>
      </c>
      <c r="AU258" s="29" t="inlineStr">
        <is>
          <t>12272084</t>
        </is>
      </c>
      <c r="AV258" s="29" t="n">
        <v>1</v>
      </c>
      <c r="AW258" s="29" t="inlineStr">
        <is>
          <t>ROWS:p7r46 UNRECONCILED_SOURCE</t>
        </is>
      </c>
    </row>
    <row r="259">
      <c r="A259" s="15" t="inlineStr">
        <is>
          <t>MAID OLEOS E GORDURAS LTDA</t>
        </is>
      </c>
      <c r="B259" s="16" t="n">
        <v>434952</v>
      </c>
      <c r="C259" s="17" t="inlineStr">
        <is>
          <t>ADVOCACIA WANDERLEI DE PAULA BARRETO</t>
        </is>
      </c>
      <c r="D259" s="18" t="inlineStr">
        <is>
          <t>NEW</t>
        </is>
      </c>
      <c r="E259" s="19" t="inlineStr"/>
      <c r="F259" s="18" t="inlineStr"/>
      <c r="G259" s="19" t="inlineStr"/>
      <c r="H259" s="18" t="inlineStr"/>
      <c r="I259" s="20" t="inlineStr">
        <is>
          <t>IDENILDE CASTURINA LEAL</t>
        </is>
      </c>
      <c r="J259" s="20" t="inlineStr">
        <is>
          <t>Sócio-Administrador</t>
        </is>
      </c>
      <c r="K259" s="20" t="inlineStr">
        <is>
          <t>(44) 9868-0056</t>
        </is>
      </c>
      <c r="L259" s="20" t="inlineStr">
        <is>
          <t>(44) 9868-0013</t>
        </is>
      </c>
      <c r="M259" s="20" t="inlineStr"/>
      <c r="N259" s="20" t="inlineStr"/>
      <c r="O259" s="20" t="inlineStr"/>
      <c r="P259" s="20" t="inlineStr"/>
      <c r="Q259" s="20" t="inlineStr"/>
      <c r="R259" s="20" t="inlineStr"/>
      <c r="S259" s="20" t="inlineStr"/>
      <c r="T259" s="21" t="n">
        <v>434952</v>
      </c>
      <c r="U259" s="22" t="inlineStr">
        <is>
          <t>B</t>
        </is>
      </c>
      <c r="V259" s="23">
        <f>IFERROR(VLOOKUP(U259,Assumptions!$A$7:$D$11,2,FALSE),0)</f>
        <v/>
      </c>
      <c r="W259" s="24">
        <f>MAX(0.5,IFERROR(VLOOKUP(U259,Assumptions!$A$7:$D$11,3,FALSE),3)+IFERROR(VLOOKUP(U259,Assumptions!$A$7:$D$11,4,FALSE),8)/2-IF(AN259="",0,YEAR(TODAY())-AN259))</f>
        <v/>
      </c>
      <c r="X259" s="21">
        <f>T259*V259/(1+Assumptions!$B$3)^W259</f>
        <v/>
      </c>
      <c r="Y259" s="25">
        <f>IF(T259=0,"",ROUND(X259/T259*100,1))</f>
        <v/>
      </c>
      <c r="Z259" s="26">
        <f>X259*Assumptions!$B$4</f>
        <v/>
      </c>
      <c r="AA259" s="25">
        <f>IF(T259=0,"",ROUND(Z259/T259*100,1))</f>
        <v/>
      </c>
      <c r="AB259" s="26">
        <f>X259-Z259</f>
        <v/>
      </c>
      <c r="AC259" s="25">
        <f>IF(T259=0,"",ROUND((X259-Z259)/T259*100,1))</f>
        <v/>
      </c>
      <c r="AD259" s="27" t="inlineStr">
        <is>
          <t>ESTIMATED</t>
        </is>
      </c>
      <c r="AE259" s="28" t="inlineStr">
        <is>
          <t>https://marquesadmjudicial.com.br/sgc/download.php?file=files/processo_documento/processo_documento17040729052024_1_.pdf&amp;nome=Relação Nominal de Credores AJ-Sintética</t>
        </is>
      </c>
      <c r="AF259" s="27" t="inlineStr">
        <is>
          <t>p12 r7</t>
        </is>
      </c>
      <c r="AG259" s="27" t="inlineStr">
        <is>
          <t>p12: R$ 434.952,00</t>
        </is>
      </c>
      <c r="AH259" s="27" t="inlineStr">
        <is>
          <t>AJ_LIST</t>
        </is>
      </c>
      <c r="AI259" s="27" t="inlineStr">
        <is>
          <t>2024-05-27</t>
        </is>
      </c>
      <c r="AJ259" s="27" t="inlineStr">
        <is>
          <t>QUARANTINED</t>
        </is>
      </c>
      <c r="AK259" s="29" t="inlineStr">
        <is>
          <t>0003971-03.2023.8.16.0119</t>
        </is>
      </c>
      <c r="AL259" s="29" t="inlineStr">
        <is>
          <t>TJPR</t>
        </is>
      </c>
      <c r="AM259" s="29" t="inlineStr">
        <is>
          <t>ACTIVE</t>
        </is>
      </c>
      <c r="AN259" s="29" t="n">
        <v>2023</v>
      </c>
      <c r="AO259" s="29" t="inlineStr">
        <is>
          <t>live case, no plan document yet</t>
        </is>
      </c>
      <c r="AP259" s="29" t="inlineStr">
        <is>
          <t>PARANACITY</t>
        </is>
      </c>
      <c r="AQ259" s="29" t="inlineStr">
        <is>
          <t>PR</t>
        </is>
      </c>
      <c r="AR259" s="29" t="inlineStr">
        <is>
          <t>Fabricação de produtos diversos não especificados anteriormente</t>
        </is>
      </c>
      <c r="AS259" s="29" t="inlineStr">
        <is>
          <t>DEMAIS</t>
        </is>
      </c>
      <c r="AT259" s="29" t="inlineStr">
        <is>
          <t>MID-MARKET</t>
        </is>
      </c>
      <c r="AU259" s="29" t="inlineStr">
        <is>
          <t>17205148</t>
        </is>
      </c>
      <c r="AV259" s="29" t="n">
        <v>1</v>
      </c>
      <c r="AW259" s="29" t="inlineStr">
        <is>
          <t>PARTIAL_DOC_CLASS_III_RECONCILED ROWS:p12r7</t>
        </is>
      </c>
    </row>
    <row r="260">
      <c r="A260" s="15" t="inlineStr">
        <is>
          <t>TBM - TEXTIL BEZERRA DE MENEZES S/A</t>
        </is>
      </c>
      <c r="B260" s="16" t="n">
        <v>497707.51</v>
      </c>
      <c r="C260" s="17" t="inlineStr">
        <is>
          <t>BANCO BRADESCO S.A.</t>
        </is>
      </c>
      <c r="D260" s="18" t="inlineStr">
        <is>
          <t>NEW</t>
        </is>
      </c>
      <c r="E260" s="19" t="inlineStr"/>
      <c r="F260" s="18" t="inlineStr"/>
      <c r="G260" s="19" t="inlineStr"/>
      <c r="H260" s="18" t="inlineStr"/>
      <c r="I260" s="20" t="inlineStr">
        <is>
          <t>IVAN RODRIGUES BEZERRA</t>
        </is>
      </c>
      <c r="J260" s="20" t="inlineStr">
        <is>
          <t>Presidente</t>
        </is>
      </c>
      <c r="K260" s="20" t="inlineStr">
        <is>
          <t>(85) 4012-9140</t>
        </is>
      </c>
      <c r="L260" s="20" t="inlineStr"/>
      <c r="M260" s="20" t="inlineStr"/>
      <c r="N260" s="20" t="inlineStr"/>
      <c r="O260" s="20" t="inlineStr"/>
      <c r="P260" s="20" t="inlineStr">
        <is>
          <t>IVAN JOSE BEZERRA DE MENEZES</t>
        </is>
      </c>
      <c r="Q260" s="20" t="inlineStr">
        <is>
          <t>Diretor</t>
        </is>
      </c>
      <c r="R260" s="20" t="inlineStr">
        <is>
          <t>(85) 4012-9140</t>
        </is>
      </c>
      <c r="S260" s="20" t="inlineStr"/>
      <c r="T260" s="21" t="n">
        <v>497707.51</v>
      </c>
      <c r="U260" s="31" t="inlineStr">
        <is>
          <t>C</t>
        </is>
      </c>
      <c r="V260" s="23">
        <f>IFERROR(VLOOKUP(U260,Assumptions!$A$7:$D$11,2,FALSE),0)</f>
        <v/>
      </c>
      <c r="W260" s="24">
        <f>MAX(0.5,IFERROR(VLOOKUP(U260,Assumptions!$A$7:$D$11,3,FALSE),3)+IFERROR(VLOOKUP(U260,Assumptions!$A$7:$D$11,4,FALSE),8)/2-IF(AN260="",0,YEAR(TODAY())-AN260))</f>
        <v/>
      </c>
      <c r="X260" s="21">
        <f>T260*V260/(1+Assumptions!$B$3)^W260</f>
        <v/>
      </c>
      <c r="Y260" s="25">
        <f>IF(T260=0,"",ROUND(X260/T260*100,1))</f>
        <v/>
      </c>
      <c r="Z260" s="26">
        <f>X260*Assumptions!$B$4</f>
        <v/>
      </c>
      <c r="AA260" s="25">
        <f>IF(T260=0,"",ROUND(Z260/T260*100,1))</f>
        <v/>
      </c>
      <c r="AB260" s="26">
        <f>X260-Z260</f>
        <v/>
      </c>
      <c r="AC260" s="25">
        <f>IF(T260=0,"",ROUND((X260-Z260)/T260*100,1))</f>
        <v/>
      </c>
      <c r="AD260" s="27" t="inlineStr">
        <is>
          <t>UNKNOWN</t>
        </is>
      </c>
      <c r="AE260" s="28" t="inlineStr">
        <is>
          <t>https://administradorajudicialgs.com.br/wp-content/uploads/2023/08/doc-06-relacao-credores-do-administrador-judicial-10-02-2015.pdf</t>
        </is>
      </c>
      <c r="AF260" s="27" t="inlineStr">
        <is>
          <t>p2 r40</t>
        </is>
      </c>
      <c r="AG260" s="27" t="inlineStr">
        <is>
          <t>p2: R$ 497.707,51</t>
        </is>
      </c>
      <c r="AH260" s="27" t="inlineStr">
        <is>
          <t>AJ_LIST</t>
        </is>
      </c>
      <c r="AI260" s="27" t="inlineStr"/>
      <c r="AJ260" s="27" t="inlineStr">
        <is>
          <t>QUARANTINED</t>
        </is>
      </c>
      <c r="AK260" s="29" t="inlineStr">
        <is>
          <t>0302174-63.2015.8.24.0025</t>
        </is>
      </c>
      <c r="AL260" s="29" t="inlineStr">
        <is>
          <t>TJ</t>
        </is>
      </c>
      <c r="AM260" s="29" t="inlineStr"/>
      <c r="AN260" s="29" t="n">
        <v>2015</v>
      </c>
      <c r="AO260" s="29" t="inlineStr">
        <is>
          <t>11y since filing, no plan document</t>
        </is>
      </c>
      <c r="AP260" s="29" t="inlineStr">
        <is>
          <t>FORTALEZA</t>
        </is>
      </c>
      <c r="AQ260" s="29" t="inlineStr">
        <is>
          <t>CE</t>
        </is>
      </c>
      <c r="AR260" s="29" t="inlineStr">
        <is>
          <t>Preparação e fiação de fibras de algodão</t>
        </is>
      </c>
      <c r="AS260" s="29" t="inlineStr">
        <is>
          <t>DEMAIS</t>
        </is>
      </c>
      <c r="AT260" s="29" t="inlineStr">
        <is>
          <t>MID-MARKET</t>
        </is>
      </c>
      <c r="AU260" s="29" t="inlineStr">
        <is>
          <t>07671092</t>
        </is>
      </c>
      <c r="AV260" s="29" t="n">
        <v>1</v>
      </c>
      <c r="AW260" s="29" t="inlineStr">
        <is>
          <t>PARTIAL_DOC_CLASS_III_RECONCILED ROWS:p2r40</t>
        </is>
      </c>
    </row>
    <row r="261">
      <c r="A261" s="15" t="inlineStr">
        <is>
          <t>COBB-VANTRESS BRASIL LTDA</t>
        </is>
      </c>
      <c r="B261" s="16" t="n">
        <v>497078.85</v>
      </c>
      <c r="C261" s="17" t="inlineStr">
        <is>
          <t>AGROPECUÁRIA SERROTE REDONDO – LRF Líderes em Recuperação Judicial e Falência</t>
        </is>
      </c>
      <c r="D261" s="18" t="inlineStr">
        <is>
          <t>NEW</t>
        </is>
      </c>
      <c r="E261" s="19" t="inlineStr"/>
      <c r="F261" s="18" t="inlineStr"/>
      <c r="G261" s="19" t="inlineStr"/>
      <c r="H261" s="18" t="inlineStr"/>
      <c r="I261" s="20" t="inlineStr">
        <is>
          <t>RODRIGO FERREIRA SIQUEIRA DE MELLO</t>
        </is>
      </c>
      <c r="J261" s="20" t="inlineStr">
        <is>
          <t>Administrador</t>
        </is>
      </c>
      <c r="K261" s="20" t="inlineStr"/>
      <c r="L261" s="20" t="inlineStr"/>
      <c r="M261" s="20" t="inlineStr"/>
      <c r="N261" s="20" t="inlineStr"/>
      <c r="O261" s="20" t="inlineStr"/>
      <c r="P261" s="20" t="inlineStr"/>
      <c r="Q261" s="20" t="inlineStr"/>
      <c r="R261" s="20" t="inlineStr"/>
      <c r="S261" s="20" t="inlineStr"/>
      <c r="T261" s="21" t="n">
        <v>497078.85</v>
      </c>
      <c r="U261" s="31" t="inlineStr">
        <is>
          <t>C</t>
        </is>
      </c>
      <c r="V261" s="23">
        <f>IFERROR(VLOOKUP(U261,Assumptions!$A$7:$D$11,2,FALSE),0)</f>
        <v/>
      </c>
      <c r="W261" s="24">
        <f>MAX(0.5,IFERROR(VLOOKUP(U261,Assumptions!$A$7:$D$11,3,FALSE),3)+IFERROR(VLOOKUP(U261,Assumptions!$A$7:$D$11,4,FALSE),8)/2-IF(AN261="",0,YEAR(TODAY())-AN261))</f>
        <v/>
      </c>
      <c r="X261" s="21">
        <f>T261*V261/(1+Assumptions!$B$3)^W261</f>
        <v/>
      </c>
      <c r="Y261" s="25">
        <f>IF(T261=0,"",ROUND(X261/T261*100,1))</f>
        <v/>
      </c>
      <c r="Z261" s="26">
        <f>X261*Assumptions!$B$4</f>
        <v/>
      </c>
      <c r="AA261" s="25">
        <f>IF(T261=0,"",ROUND(Z261/T261*100,1))</f>
        <v/>
      </c>
      <c r="AB261" s="26">
        <f>X261-Z261</f>
        <v/>
      </c>
      <c r="AC261" s="25">
        <f>IF(T261=0,"",ROUND((X261-Z261)/T261*100,1))</f>
        <v/>
      </c>
      <c r="AD261" s="27" t="inlineStr">
        <is>
          <t>UNKNOWN</t>
        </is>
      </c>
      <c r="AE261" s="28" t="inlineStr">
        <is>
          <t>https://lrflideres.com.br/wp-content/plugins/download-attachments/includes/download.php?id=5001</t>
        </is>
      </c>
      <c r="AF261" s="27" t="inlineStr">
        <is>
          <t>p1 r23</t>
        </is>
      </c>
      <c r="AG261" s="27" t="inlineStr">
        <is>
          <t>p1: R$ 497.078,85</t>
        </is>
      </c>
      <c r="AH261" s="27" t="inlineStr">
        <is>
          <t>UNKNOWN</t>
        </is>
      </c>
      <c r="AI261" s="27" t="inlineStr"/>
      <c r="AJ261" s="27" t="inlineStr">
        <is>
          <t>OK</t>
        </is>
      </c>
      <c r="AK261" s="29" t="inlineStr">
        <is>
          <t>0000206-69.2013.8.17.1340</t>
        </is>
      </c>
      <c r="AL261" s="29" t="inlineStr">
        <is>
          <t>TJ</t>
        </is>
      </c>
      <c r="AM261" s="29" t="inlineStr"/>
      <c r="AN261" s="29" t="n">
        <v>2013</v>
      </c>
      <c r="AO261" s="29" t="inlineStr">
        <is>
          <t>13y since filing, no plan document</t>
        </is>
      </c>
      <c r="AP261" s="29" t="inlineStr">
        <is>
          <t>GUAPIACU</t>
        </is>
      </c>
      <c r="AQ261" s="29" t="inlineStr">
        <is>
          <t>SP</t>
        </is>
      </c>
      <c r="AR261" s="29" t="inlineStr">
        <is>
          <t>Produção de pintos de um dia</t>
        </is>
      </c>
      <c r="AS261" s="29" t="inlineStr">
        <is>
          <t>DEMAIS</t>
        </is>
      </c>
      <c r="AT261" s="29" t="inlineStr">
        <is>
          <t>LARGE CORP</t>
        </is>
      </c>
      <c r="AU261" s="29" t="inlineStr">
        <is>
          <t>00466591</t>
        </is>
      </c>
      <c r="AV261" s="29" t="n">
        <v>1</v>
      </c>
      <c r="AW261" s="29" t="inlineStr">
        <is>
          <t>ALT_VALUE:497.078,85 ROWS:p1r23 VALUE_COL:Valor_Atualizado</t>
        </is>
      </c>
    </row>
    <row r="262">
      <c r="A262" s="15" t="inlineStr">
        <is>
          <t>MEDILAR IMPORTACAO E DISTRIBUICAO DE PRODUTOS MEDICO HOSPITALARES S/A</t>
        </is>
      </c>
      <c r="B262" s="16" t="n">
        <v>346408.09</v>
      </c>
      <c r="C262" s="17" t="inlineStr">
        <is>
          <t>ASSOCIACAO DE CARIDADE SANTA CASA DE RIO GRANDE</t>
        </is>
      </c>
      <c r="D262" s="18" t="inlineStr">
        <is>
          <t>NEW</t>
        </is>
      </c>
      <c r="E262" s="19" t="inlineStr"/>
      <c r="F262" s="18" t="inlineStr"/>
      <c r="G262" s="19" t="inlineStr"/>
      <c r="H262" s="18" t="inlineStr"/>
      <c r="I262" s="20" t="inlineStr">
        <is>
          <t>ADRIANA WILKE MARQUES</t>
        </is>
      </c>
      <c r="J262" s="20" t="inlineStr">
        <is>
          <t>Diretor</t>
        </is>
      </c>
      <c r="K262" s="20" t="inlineStr">
        <is>
          <t>(51) 3718-7600</t>
        </is>
      </c>
      <c r="L262" s="20" t="inlineStr"/>
      <c r="M262" s="20" t="inlineStr"/>
      <c r="N262" s="20" t="inlineStr"/>
      <c r="O262" s="20" t="inlineStr"/>
      <c r="P262" s="20" t="inlineStr">
        <is>
          <t>FERNANDO AUGUSTO THEISEN</t>
        </is>
      </c>
      <c r="Q262" s="20" t="inlineStr">
        <is>
          <t>Diretor</t>
        </is>
      </c>
      <c r="R262" s="20" t="inlineStr">
        <is>
          <t>(51) 3718-7600</t>
        </is>
      </c>
      <c r="S262" s="20" t="inlineStr"/>
      <c r="T262" s="21" t="n">
        <v>346408.09</v>
      </c>
      <c r="U262" s="22" t="inlineStr">
        <is>
          <t>B</t>
        </is>
      </c>
      <c r="V262" s="23">
        <f>IFERROR(VLOOKUP(U262,Assumptions!$A$7:$D$11,2,FALSE),0)</f>
        <v/>
      </c>
      <c r="W262" s="24">
        <f>MAX(0.5,IFERROR(VLOOKUP(U262,Assumptions!$A$7:$D$11,3,FALSE),3)+IFERROR(VLOOKUP(U262,Assumptions!$A$7:$D$11,4,FALSE),8)/2-IF(AN262="",0,YEAR(TODAY())-AN262))</f>
        <v/>
      </c>
      <c r="X262" s="21">
        <f>T262*V262/(1+Assumptions!$B$3)^W262</f>
        <v/>
      </c>
      <c r="Y262" s="25">
        <f>IF(T262=0,"",ROUND(X262/T262*100,1))</f>
        <v/>
      </c>
      <c r="Z262" s="26">
        <f>X262*Assumptions!$B$4</f>
        <v/>
      </c>
      <c r="AA262" s="25">
        <f>IF(T262=0,"",ROUND(Z262/T262*100,1))</f>
        <v/>
      </c>
      <c r="AB262" s="26">
        <f>X262-Z262</f>
        <v/>
      </c>
      <c r="AC262" s="25">
        <f>IF(T262=0,"",ROUND((X262-Z262)/T262*100,1))</f>
        <v/>
      </c>
      <c r="AD262" s="27" t="inlineStr">
        <is>
          <t>ESTIMATED</t>
        </is>
      </c>
      <c r="AE262" s="28" t="inlineStr">
        <is>
          <t>https://scalzilliaj.com.br/sgc/download.php?file=files/processo_documento/processo_documento09120721032023_1_.pdf&amp;nome=15 - Edital do art. 7º, §2º e 53 da Lei 11.101/2005 (segunda lista de credores e recebimento do plano))</t>
        </is>
      </c>
      <c r="AF262" s="27" t="inlineStr">
        <is>
          <t>p28 r50</t>
        </is>
      </c>
      <c r="AG262" s="27" t="inlineStr">
        <is>
          <t>p28: R$ 346.408,09</t>
        </is>
      </c>
      <c r="AH262" s="27" t="inlineStr">
        <is>
          <t>AJ_LIST</t>
        </is>
      </c>
      <c r="AI262" s="27" t="inlineStr">
        <is>
          <t>2023-03-21</t>
        </is>
      </c>
      <c r="AJ262" s="27" t="inlineStr">
        <is>
          <t>OK_NO_TOTALS</t>
        </is>
      </c>
      <c r="AK262" s="29" t="inlineStr">
        <is>
          <t>5012306-16.2022.8.21.0023</t>
        </is>
      </c>
      <c r="AL262" s="29" t="inlineStr">
        <is>
          <t>TJRS</t>
        </is>
      </c>
      <c r="AM262" s="29" t="inlineStr">
        <is>
          <t>ACTIVE</t>
        </is>
      </c>
      <c r="AN262" s="29" t="n">
        <v>2022</v>
      </c>
      <c r="AO262" s="29" t="inlineStr">
        <is>
          <t>live case, no plan document yet</t>
        </is>
      </c>
      <c r="AP262" s="29" t="inlineStr">
        <is>
          <t>VERA CRUZ</t>
        </is>
      </c>
      <c r="AQ262" s="29" t="inlineStr">
        <is>
          <t>RS</t>
        </is>
      </c>
      <c r="AR262" s="29" t="inlineStr">
        <is>
          <t>Comércio atacadista de medicamentos e drogas de uso humano</t>
        </is>
      </c>
      <c r="AS262" s="29" t="inlineStr">
        <is>
          <t>DEMAIS</t>
        </is>
      </c>
      <c r="AT262" s="29" t="inlineStr">
        <is>
          <t>LARGE CORP</t>
        </is>
      </c>
      <c r="AU262" s="29" t="inlineStr">
        <is>
          <t>07752236</t>
        </is>
      </c>
      <c r="AV262" s="29" t="n">
        <v>1</v>
      </c>
      <c r="AW262" s="29" t="inlineStr">
        <is>
          <t>ROWS:p28r50 UNRECONCILED_SOURCE</t>
        </is>
      </c>
    </row>
    <row r="263">
      <c r="A263" s="15" t="inlineStr">
        <is>
          <t>VEREDA ALIMENTOS LTDA</t>
        </is>
      </c>
      <c r="B263" s="16" t="n">
        <v>634021.16</v>
      </c>
      <c r="C263" s="17" t="inlineStr">
        <is>
          <t>COMERCIO RACOES BEM BOM LTDA</t>
        </is>
      </c>
      <c r="D263" s="18" t="inlineStr">
        <is>
          <t>NEW</t>
        </is>
      </c>
      <c r="E263" s="19" t="inlineStr"/>
      <c r="F263" s="18" t="inlineStr"/>
      <c r="G263" s="19" t="inlineStr"/>
      <c r="H263" s="18" t="inlineStr"/>
      <c r="I263" s="20" t="inlineStr">
        <is>
          <t>Rogerio Rocha</t>
        </is>
      </c>
      <c r="J263" s="20" t="inlineStr">
        <is>
          <t>Sales Manager</t>
        </is>
      </c>
      <c r="K263" s="20" t="inlineStr">
        <is>
          <t>(62) 8147-9122</t>
        </is>
      </c>
      <c r="L263" s="20" t="inlineStr"/>
      <c r="M263" s="20" t="inlineStr"/>
      <c r="N263" s="20" t="inlineStr">
        <is>
          <t>rogerio@vereda.com</t>
        </is>
      </c>
      <c r="O263" s="20" t="inlineStr"/>
      <c r="P263" s="20" t="inlineStr"/>
      <c r="Q263" s="20" t="inlineStr"/>
      <c r="R263" s="20" t="inlineStr"/>
      <c r="S263" s="20" t="inlineStr"/>
      <c r="T263" s="21" t="n">
        <v>634021.16</v>
      </c>
      <c r="U263" s="32" t="inlineStr">
        <is>
          <t>A</t>
        </is>
      </c>
      <c r="V263" s="23">
        <f>IFERROR(VLOOKUP(U263,Assumptions!$A$7:$D$11,2,FALSE),0)</f>
        <v/>
      </c>
      <c r="W263" s="24">
        <f>MAX(0.5,IFERROR(VLOOKUP(U263,Assumptions!$A$7:$D$11,3,FALSE),3)+IFERROR(VLOOKUP(U263,Assumptions!$A$7:$D$11,4,FALSE),8)/2-IF(AN263="",0,YEAR(TODAY())-AN263))</f>
        <v/>
      </c>
      <c r="X263" s="21">
        <f>T263*V263/(1+Assumptions!$B$3)^W263</f>
        <v/>
      </c>
      <c r="Y263" s="25">
        <f>IF(T263=0,"",ROUND(X263/T263*100,1))</f>
        <v/>
      </c>
      <c r="Z263" s="26">
        <f>X263*Assumptions!$B$4</f>
        <v/>
      </c>
      <c r="AA263" s="25">
        <f>IF(T263=0,"",ROUND(Z263/T263*100,1))</f>
        <v/>
      </c>
      <c r="AB263" s="26">
        <f>X263-Z263</f>
        <v/>
      </c>
      <c r="AC263" s="25">
        <f>IF(T263=0,"",ROUND((X263-Z263)/T263*100,1))</f>
        <v/>
      </c>
      <c r="AD263" s="27" t="inlineStr">
        <is>
          <t>CONFIRMED</t>
        </is>
      </c>
      <c r="AE263" s="28" t="inlineStr">
        <is>
          <t>https://stenius.com.br/wp-content/uploads/2026/06/EDITAL-GRUPO-3E.pdf</t>
        </is>
      </c>
      <c r="AF263" s="27" t="inlineStr">
        <is>
          <t>p9 r11</t>
        </is>
      </c>
      <c r="AG263" s="27" t="inlineStr">
        <is>
          <t>p9: R$ 634.021,16</t>
        </is>
      </c>
      <c r="AH263" s="27" t="inlineStr">
        <is>
          <t>DEBTOR_LIST</t>
        </is>
      </c>
      <c r="AI263" s="27" t="inlineStr">
        <is>
          <t>2026-06-22</t>
        </is>
      </c>
      <c r="AJ263" s="27" t="inlineStr">
        <is>
          <t>OK_NO_TOTALS</t>
        </is>
      </c>
      <c r="AK263" s="29" t="inlineStr">
        <is>
          <t>5341375-33.2026.8.09.0049</t>
        </is>
      </c>
      <c r="AL263" s="29" t="inlineStr">
        <is>
          <t>TJGO</t>
        </is>
      </c>
      <c r="AM263" s="29" t="inlineStr">
        <is>
          <t>ACTIVE</t>
        </is>
      </c>
      <c r="AN263" s="29" t="n">
        <v>2026</v>
      </c>
      <c r="AO263" s="29" t="inlineStr">
        <is>
          <t>plan/homologation document found</t>
        </is>
      </c>
      <c r="AP263" s="29" t="inlineStr">
        <is>
          <t>GOIANESIA</t>
        </is>
      </c>
      <c r="AQ263" s="29" t="inlineStr">
        <is>
          <t>GO</t>
        </is>
      </c>
      <c r="AR263" s="29" t="inlineStr">
        <is>
          <t>Frigorífico - abate de bovinos</t>
        </is>
      </c>
      <c r="AS263" s="29" t="inlineStr">
        <is>
          <t>DEMAIS</t>
        </is>
      </c>
      <c r="AT263" s="29" t="inlineStr">
        <is>
          <t>MID-MARKET</t>
        </is>
      </c>
      <c r="AU263" s="29" t="inlineStr">
        <is>
          <t>04454667</t>
        </is>
      </c>
      <c r="AV263" s="29" t="n">
        <v>1</v>
      </c>
      <c r="AW263" s="29" t="inlineStr">
        <is>
          <t>ROWS:p9r11 UNRECONCILED_SOURCE</t>
        </is>
      </c>
    </row>
    <row r="264">
      <c r="A264" s="15" t="inlineStr">
        <is>
          <t>PEDREIRA ARAGUAIA LTDA</t>
        </is>
      </c>
      <c r="B264" s="16" t="n">
        <v>1261848.82</v>
      </c>
      <c r="C264" s="17" t="inlineStr">
        <is>
          <t>EGESA ENGENHARIA S/A (Consórcio ETDI)</t>
        </is>
      </c>
      <c r="D264" s="18" t="inlineStr">
        <is>
          <t>NEW</t>
        </is>
      </c>
      <c r="E264" s="19" t="inlineStr"/>
      <c r="F264" s="18" t="inlineStr"/>
      <c r="G264" s="19" t="inlineStr"/>
      <c r="H264" s="18" t="inlineStr"/>
      <c r="I264" s="20" t="inlineStr">
        <is>
          <t>NASSIM MAMED JUNIOR</t>
        </is>
      </c>
      <c r="J264" s="20" t="inlineStr">
        <is>
          <t>Administrador</t>
        </is>
      </c>
      <c r="K264" s="20" t="inlineStr">
        <is>
          <t>(62) 3284-8484</t>
        </is>
      </c>
      <c r="L264" s="20" t="inlineStr"/>
      <c r="M264" s="20" t="inlineStr"/>
      <c r="N264" s="20" t="inlineStr"/>
      <c r="O264" s="20" t="inlineStr"/>
      <c r="P264" s="20" t="inlineStr"/>
      <c r="Q264" s="20" t="inlineStr"/>
      <c r="R264" s="20" t="inlineStr"/>
      <c r="S264" s="20" t="inlineStr"/>
      <c r="T264" s="21" t="n">
        <v>1261848.82</v>
      </c>
      <c r="U264" s="30" t="inlineStr">
        <is>
          <t>?</t>
        </is>
      </c>
      <c r="V264" s="23">
        <f>IFERROR(VLOOKUP(U264,Assumptions!$A$7:$D$11,2,FALSE),0)</f>
        <v/>
      </c>
      <c r="W264" s="24">
        <f>MAX(0.5,IFERROR(VLOOKUP(U264,Assumptions!$A$7:$D$11,3,FALSE),3)+IFERROR(VLOOKUP(U264,Assumptions!$A$7:$D$11,4,FALSE),8)/2-IF(AN264="",0,YEAR(TODAY())-AN264))</f>
        <v/>
      </c>
      <c r="X264" s="21">
        <f>T264*V264/(1+Assumptions!$B$3)^W264</f>
        <v/>
      </c>
      <c r="Y264" s="25">
        <f>IF(T264=0,"",ROUND(X264/T264*100,1))</f>
        <v/>
      </c>
      <c r="Z264" s="26">
        <f>X264*Assumptions!$B$4</f>
        <v/>
      </c>
      <c r="AA264" s="25">
        <f>IF(T264=0,"",ROUND(Z264/T264*100,1))</f>
        <v/>
      </c>
      <c r="AB264" s="26">
        <f>X264-Z264</f>
        <v/>
      </c>
      <c r="AC264" s="25">
        <f>IF(T264=0,"",ROUND((X264-Z264)/T264*100,1))</f>
        <v/>
      </c>
      <c r="AD264" s="27" t="inlineStr">
        <is>
          <t>UNKNOWN</t>
        </is>
      </c>
      <c r="AE264" s="28" t="inlineStr">
        <is>
          <t>https://scalzilliaj.com.br/sgc/download.php?file=files/processo_documento/processo_documento09514021082025_1_.pdf&amp;nome=04 - Relação de credores das Recuperandas</t>
        </is>
      </c>
      <c r="AF264" s="27" t="inlineStr">
        <is>
          <t>p71 r6</t>
        </is>
      </c>
      <c r="AG264" s="27" t="inlineStr">
        <is>
          <t>p71: R$ 1.261.848,82</t>
        </is>
      </c>
      <c r="AH264" s="27" t="inlineStr">
        <is>
          <t>DEBTOR_LIST</t>
        </is>
      </c>
      <c r="AI264" s="27" t="inlineStr"/>
      <c r="AJ264" s="27" t="inlineStr">
        <is>
          <t>OK</t>
        </is>
      </c>
      <c r="AK264" s="29" t="inlineStr">
        <is>
          <t>(not printed)</t>
        </is>
      </c>
      <c r="AL264" s="29" t="inlineStr"/>
      <c r="AM264" s="29" t="inlineStr"/>
      <c r="AN264" s="29" t="inlineStr"/>
      <c r="AO264" s="29" t="inlineStr">
        <is>
          <t>RJ case number not identified on the document</t>
        </is>
      </c>
      <c r="AP264" s="29" t="inlineStr">
        <is>
          <t>APARECIDA DE GOIANIA</t>
        </is>
      </c>
      <c r="AQ264" s="29" t="inlineStr">
        <is>
          <t>GO</t>
        </is>
      </c>
      <c r="AR264" s="29" t="inlineStr">
        <is>
          <t>Extração e britamento de pedras e outros materiais para construção e beneficiamento associado</t>
        </is>
      </c>
      <c r="AS264" s="29" t="inlineStr">
        <is>
          <t>DEMAIS</t>
        </is>
      </c>
      <c r="AT264" s="29" t="inlineStr">
        <is>
          <t>MID-MARKET</t>
        </is>
      </c>
      <c r="AU264" s="29" t="inlineStr">
        <is>
          <t>00052803</t>
        </is>
      </c>
      <c r="AV264" s="29" t="n">
        <v>1</v>
      </c>
      <c r="AW264" s="29" t="inlineStr">
        <is>
          <t>ROWS:p71r6 VALUE_COL:Valor_Atualizado CASE_NUMBER_CORRECTED</t>
        </is>
      </c>
    </row>
    <row r="265">
      <c r="A265" s="15" t="inlineStr">
        <is>
          <t>CAIRU INDUSTRIA DE BICICLETAS LTDA</t>
        </is>
      </c>
      <c r="B265" s="16" t="n">
        <v>680366.63</v>
      </c>
      <c r="C265" s="17" t="inlineStr">
        <is>
          <t>aludida empresa</t>
        </is>
      </c>
      <c r="D265" s="18" t="inlineStr">
        <is>
          <t>NEW</t>
        </is>
      </c>
      <c r="E265" s="19" t="inlineStr"/>
      <c r="F265" s="18" t="inlineStr"/>
      <c r="G265" s="19" t="inlineStr"/>
      <c r="H265" s="18" t="inlineStr"/>
      <c r="I265" s="20" t="inlineStr">
        <is>
          <t>Valdeni Silva</t>
        </is>
      </c>
      <c r="J265" s="20" t="inlineStr">
        <is>
          <t>Gestor</t>
        </is>
      </c>
      <c r="K265" s="20" t="inlineStr">
        <is>
          <t>(69) 3451-0500</t>
        </is>
      </c>
      <c r="L265" s="20" t="inlineStr">
        <is>
          <t>(69) 8142-0004</t>
        </is>
      </c>
      <c r="M265" s="20" t="inlineStr"/>
      <c r="N265" s="20" t="inlineStr"/>
      <c r="O265" s="20" t="inlineStr"/>
      <c r="P265" s="20" t="inlineStr">
        <is>
          <t>EUGENIO ODILON RIBEIRO</t>
        </is>
      </c>
      <c r="Q265" s="20" t="inlineStr">
        <is>
          <t>Sócio-Administrador</t>
        </is>
      </c>
      <c r="R265" s="20" t="inlineStr">
        <is>
          <t>(69) 8142-0004</t>
        </is>
      </c>
      <c r="S265" s="20" t="inlineStr"/>
      <c r="T265" s="21" t="n">
        <v>680366.63</v>
      </c>
      <c r="U265" s="31" t="inlineStr">
        <is>
          <t>C</t>
        </is>
      </c>
      <c r="V265" s="23">
        <f>IFERROR(VLOOKUP(U265,Assumptions!$A$7:$D$11,2,FALSE),0)</f>
        <v/>
      </c>
      <c r="W265" s="24">
        <f>MAX(0.5,IFERROR(VLOOKUP(U265,Assumptions!$A$7:$D$11,3,FALSE),3)+IFERROR(VLOOKUP(U265,Assumptions!$A$7:$D$11,4,FALSE),8)/2-IF(AN265="",0,YEAR(TODAY())-AN265))</f>
        <v/>
      </c>
      <c r="X265" s="21">
        <f>T265*V265/(1+Assumptions!$B$3)^W265</f>
        <v/>
      </c>
      <c r="Y265" s="25">
        <f>IF(T265=0,"",ROUND(X265/T265*100,1))</f>
        <v/>
      </c>
      <c r="Z265" s="26">
        <f>X265*Assumptions!$B$4</f>
        <v/>
      </c>
      <c r="AA265" s="25">
        <f>IF(T265=0,"",ROUND(Z265/T265*100,1))</f>
        <v/>
      </c>
      <c r="AB265" s="26">
        <f>X265-Z265</f>
        <v/>
      </c>
      <c r="AC265" s="25">
        <f>IF(T265=0,"",ROUND((X265-Z265)/T265*100,1))</f>
        <v/>
      </c>
      <c r="AD265" s="27" t="inlineStr">
        <is>
          <t>ESTIMATED</t>
        </is>
      </c>
      <c r="AE265" s="28" t="inlineStr">
        <is>
          <t>https://recuperacaojudicial.squarespace.com/s/RJ-Credimoveis-QGC-01082025.pdf</t>
        </is>
      </c>
      <c r="AF265" s="27" t="inlineStr">
        <is>
          <t>p15 r27</t>
        </is>
      </c>
      <c r="AG265" s="27" t="inlineStr">
        <is>
          <t>p15: R$ 680.366,63</t>
        </is>
      </c>
      <c r="AH265" s="27" t="inlineStr">
        <is>
          <t>QGC</t>
        </is>
      </c>
      <c r="AI265" s="27" t="inlineStr">
        <is>
          <t>2026-01-28</t>
        </is>
      </c>
      <c r="AJ265" s="27" t="inlineStr">
        <is>
          <t>OK</t>
        </is>
      </c>
      <c r="AK265" s="29" t="inlineStr">
        <is>
          <t>0007565-40.2020.8.17.2370</t>
        </is>
      </c>
      <c r="AL265" s="29" t="inlineStr">
        <is>
          <t>TJPE</t>
        </is>
      </c>
      <c r="AM265" s="29" t="inlineStr">
        <is>
          <t>ACTIVE</t>
        </is>
      </c>
      <c r="AN265" s="29" t="n">
        <v>2020</v>
      </c>
      <c r="AO265" s="29" t="inlineStr">
        <is>
          <t>6y since filing, no plan document</t>
        </is>
      </c>
      <c r="AP265" s="29" t="inlineStr">
        <is>
          <t>PIMENTA BUENO</t>
        </is>
      </c>
      <c r="AQ265" s="29" t="inlineStr">
        <is>
          <t>RO</t>
        </is>
      </c>
      <c r="AR265" s="29" t="inlineStr">
        <is>
          <t>Fabricação de bicicletas e triciclos não-motorizados, peças e acessórios</t>
        </is>
      </c>
      <c r="AS265" s="29" t="inlineStr">
        <is>
          <t>DEMAIS</t>
        </is>
      </c>
      <c r="AT265" s="29" t="inlineStr">
        <is>
          <t>MID-MARKET</t>
        </is>
      </c>
      <c r="AU265" s="29" t="inlineStr">
        <is>
          <t>10288920</t>
        </is>
      </c>
      <c r="AV265" s="29" t="n">
        <v>1</v>
      </c>
      <c r="AW265" s="29" t="inlineStr">
        <is>
          <t>ROWS:p15r27</t>
        </is>
      </c>
    </row>
    <row r="266">
      <c r="A266" s="15" t="inlineStr">
        <is>
          <t>SUECA ROLAMENTOS E SOLUCOES INDUSTRIAIS LTDA</t>
        </is>
      </c>
      <c r="B266" s="16" t="n">
        <v>657691.6</v>
      </c>
      <c r="C266" s="17" t="inlineStr"/>
      <c r="D266" s="18" t="inlineStr">
        <is>
          <t>NEW</t>
        </is>
      </c>
      <c r="E266" s="19" t="inlineStr"/>
      <c r="F266" s="18" t="inlineStr"/>
      <c r="G266" s="19" t="inlineStr"/>
      <c r="H266" s="18" t="inlineStr"/>
      <c r="I266" s="20" t="inlineStr">
        <is>
          <t>Hamiltom Malagues</t>
        </is>
      </c>
      <c r="J266" s="20" t="inlineStr">
        <is>
          <t>Encarregado de Compras</t>
        </is>
      </c>
      <c r="K266" s="20" t="inlineStr">
        <is>
          <t>(51) 3337-8477</t>
        </is>
      </c>
      <c r="L266" s="20" t="inlineStr"/>
      <c r="M266" s="20" t="inlineStr"/>
      <c r="N266" s="20" t="inlineStr">
        <is>
          <t>hamiltom@sueca.com.br</t>
        </is>
      </c>
      <c r="O266" s="20" t="inlineStr"/>
      <c r="P266" s="20" t="inlineStr"/>
      <c r="Q266" s="20" t="inlineStr"/>
      <c r="R266" s="20" t="inlineStr"/>
      <c r="S266" s="20" t="inlineStr"/>
      <c r="T266" s="21" t="n">
        <v>657691.6</v>
      </c>
      <c r="U266" s="22" t="inlineStr">
        <is>
          <t>B</t>
        </is>
      </c>
      <c r="V266" s="23">
        <f>IFERROR(VLOOKUP(U266,Assumptions!$A$7:$D$11,2,FALSE),0)</f>
        <v/>
      </c>
      <c r="W266" s="24">
        <f>MAX(0.5,IFERROR(VLOOKUP(U266,Assumptions!$A$7:$D$11,3,FALSE),3)+IFERROR(VLOOKUP(U266,Assumptions!$A$7:$D$11,4,FALSE),8)/2-IF(AN266="",0,YEAR(TODAY())-AN266))</f>
        <v/>
      </c>
      <c r="X266" s="21">
        <f>T266*V266/(1+Assumptions!$B$3)^W266</f>
        <v/>
      </c>
      <c r="Y266" s="25">
        <f>IF(T266=0,"",ROUND(X266/T266*100,1))</f>
        <v/>
      </c>
      <c r="Z266" s="26">
        <f>X266*Assumptions!$B$4</f>
        <v/>
      </c>
      <c r="AA266" s="25">
        <f>IF(T266=0,"",ROUND(Z266/T266*100,1))</f>
        <v/>
      </c>
      <c r="AB266" s="26">
        <f>X266-Z266</f>
        <v/>
      </c>
      <c r="AC266" s="25">
        <f>IF(T266=0,"",ROUND((X266-Z266)/T266*100,1))</f>
        <v/>
      </c>
      <c r="AD266" s="27" t="inlineStr">
        <is>
          <t>UNKNOWN</t>
        </is>
      </c>
      <c r="AE266" s="28" t="inlineStr">
        <is>
          <t>https://credibilita.com.br/wp-content/uploads/2025/09/Relacao-Credores-29.04.2026.pdf</t>
        </is>
      </c>
      <c r="AF266" s="27" t="inlineStr">
        <is>
          <t>p2 r19</t>
        </is>
      </c>
      <c r="AG266" s="27" t="inlineStr">
        <is>
          <t>p2: R$ 657.691,60</t>
        </is>
      </c>
      <c r="AH266" s="27" t="inlineStr">
        <is>
          <t>UNKNOWN</t>
        </is>
      </c>
      <c r="AI266" s="27" t="inlineStr"/>
      <c r="AJ266" s="27" t="inlineStr">
        <is>
          <t>OK_NO_TOTALS</t>
        </is>
      </c>
      <c r="AK266" s="29" t="inlineStr">
        <is>
          <t>5057720-48.2025.8.24.0023</t>
        </is>
      </c>
      <c r="AL266" s="29" t="inlineStr">
        <is>
          <t>TJ</t>
        </is>
      </c>
      <c r="AM266" s="29" t="inlineStr"/>
      <c r="AN266" s="29" t="n">
        <v>2025</v>
      </c>
      <c r="AO266" s="29" t="inlineStr">
        <is>
          <t>live case, no plan document yet</t>
        </is>
      </c>
      <c r="AP266" s="29" t="inlineStr">
        <is>
          <t>PORTO ALEGRE</t>
        </is>
      </c>
      <c r="AQ266" s="29" t="inlineStr">
        <is>
          <t>RS</t>
        </is>
      </c>
      <c r="AR266" s="29" t="inlineStr">
        <is>
          <t>Comércio atacadista de Máquinas e equipamentos para uso industrial; partes e peças</t>
        </is>
      </c>
      <c r="AS266" s="29" t="inlineStr">
        <is>
          <t>DEMAIS</t>
        </is>
      </c>
      <c r="AT266" s="29" t="inlineStr">
        <is>
          <t>MID-MARKET</t>
        </is>
      </c>
      <c r="AU266" s="29" t="inlineStr">
        <is>
          <t>02410500</t>
        </is>
      </c>
      <c r="AV266" s="29" t="n">
        <v>1</v>
      </c>
      <c r="AW266" s="29" t="inlineStr">
        <is>
          <t>ROWS:p2r19 UNRECONCILED_SOURCE VALUE_COL:Valor_Após_Analise</t>
        </is>
      </c>
    </row>
    <row r="267">
      <c r="A267" s="15" t="inlineStr">
        <is>
          <t>CEREAIS FORMIGUENSE LTDA</t>
        </is>
      </c>
      <c r="B267" s="16" t="n">
        <v>525000</v>
      </c>
      <c r="C267" s="17" t="inlineStr"/>
      <c r="D267" s="18" t="inlineStr">
        <is>
          <t>NEW</t>
        </is>
      </c>
      <c r="E267" s="19" t="inlineStr"/>
      <c r="F267" s="18" t="inlineStr"/>
      <c r="G267" s="19" t="inlineStr"/>
      <c r="H267" s="18" t="inlineStr"/>
      <c r="I267" s="20" t="inlineStr">
        <is>
          <t>TIAGO DE MARTINI</t>
        </is>
      </c>
      <c r="J267" s="20" t="inlineStr">
        <is>
          <t>Sócio-Administrador</t>
        </is>
      </c>
      <c r="K267" s="20" t="inlineStr">
        <is>
          <t>(54) 3341-2170</t>
        </is>
      </c>
      <c r="L267" s="20" t="inlineStr"/>
      <c r="M267" s="20" t="inlineStr"/>
      <c r="N267" s="20" t="inlineStr"/>
      <c r="O267" s="20" t="inlineStr"/>
      <c r="P267" s="20" t="inlineStr"/>
      <c r="Q267" s="20" t="inlineStr"/>
      <c r="R267" s="20" t="inlineStr"/>
      <c r="S267" s="20" t="inlineStr"/>
      <c r="T267" s="21" t="n">
        <v>525000</v>
      </c>
      <c r="U267" s="22" t="inlineStr">
        <is>
          <t>B</t>
        </is>
      </c>
      <c r="V267" s="23">
        <f>IFERROR(VLOOKUP(U267,Assumptions!$A$7:$D$11,2,FALSE),0)</f>
        <v/>
      </c>
      <c r="W267" s="24">
        <f>MAX(0.5,IFERROR(VLOOKUP(U267,Assumptions!$A$7:$D$11,3,FALSE),3)+IFERROR(VLOOKUP(U267,Assumptions!$A$7:$D$11,4,FALSE),8)/2-IF(AN267="",0,YEAR(TODAY())-AN267))</f>
        <v/>
      </c>
      <c r="X267" s="21">
        <f>T267*V267/(1+Assumptions!$B$3)^W267</f>
        <v/>
      </c>
      <c r="Y267" s="25">
        <f>IF(T267=0,"",ROUND(X267/T267*100,1))</f>
        <v/>
      </c>
      <c r="Z267" s="26">
        <f>X267*Assumptions!$B$4</f>
        <v/>
      </c>
      <c r="AA267" s="25">
        <f>IF(T267=0,"",ROUND(Z267/T267*100,1))</f>
        <v/>
      </c>
      <c r="AB267" s="26">
        <f>X267-Z267</f>
        <v/>
      </c>
      <c r="AC267" s="25">
        <f>IF(T267=0,"",ROUND((X267-Z267)/T267*100,1))</f>
        <v/>
      </c>
      <c r="AD267" s="27" t="inlineStr">
        <is>
          <t>ESTIMATED</t>
        </is>
      </c>
      <c r="AE267" s="28" t="inlineStr">
        <is>
          <t>https://rlg-aj.com.br/wp-content/uploads/2024/11/07.-Relação-de-credores.pdf</t>
        </is>
      </c>
      <c r="AF267" s="27" t="inlineStr">
        <is>
          <t>p1 r19</t>
        </is>
      </c>
      <c r="AG267" s="27" t="inlineStr">
        <is>
          <t>p1: R$ 525.000,00</t>
        </is>
      </c>
      <c r="AH267" s="27" t="inlineStr">
        <is>
          <t>UNKNOWN</t>
        </is>
      </c>
      <c r="AI267" s="27" t="inlineStr"/>
      <c r="AJ267" s="27" t="inlineStr">
        <is>
          <t>OK_NO_TOTALS</t>
        </is>
      </c>
      <c r="AK267" s="29" t="inlineStr">
        <is>
          <t>5009149-92.2024.8.24.0019</t>
        </is>
      </c>
      <c r="AL267" s="29" t="inlineStr">
        <is>
          <t>TJSC</t>
        </is>
      </c>
      <c r="AM267" s="29" t="inlineStr">
        <is>
          <t>ACTIVE</t>
        </is>
      </c>
      <c r="AN267" s="29" t="n">
        <v>2024</v>
      </c>
      <c r="AO267" s="29" t="inlineStr">
        <is>
          <t>live case, no plan document yet</t>
        </is>
      </c>
      <c r="AP267" s="29" t="inlineStr">
        <is>
          <t>GETULIO VARGAS</t>
        </is>
      </c>
      <c r="AQ267" s="29" t="inlineStr">
        <is>
          <t>RS</t>
        </is>
      </c>
      <c r="AR267" s="29" t="inlineStr">
        <is>
          <t>Transporte rodoviário de carga, exceto produtos perigosos e mudanças, intermunicipal, interestadual e internacional</t>
        </is>
      </c>
      <c r="AS267" s="29" t="inlineStr">
        <is>
          <t>MICRO EMPRESA</t>
        </is>
      </c>
      <c r="AT267" s="29" t="inlineStr">
        <is>
          <t>SMALL</t>
        </is>
      </c>
      <c r="AU267" s="29" t="inlineStr">
        <is>
          <t>10917212</t>
        </is>
      </c>
      <c r="AV267" s="29" t="n">
        <v>1</v>
      </c>
      <c r="AW267" s="29" t="inlineStr">
        <is>
          <t>ROWS:p1r19 UNRECONCILED_SOURCE</t>
        </is>
      </c>
    </row>
    <row r="268">
      <c r="A268" s="15" t="inlineStr">
        <is>
          <t>QUAKER TEXTIL DO BRASIL LTDA.</t>
        </is>
      </c>
      <c r="B268" s="16" t="n">
        <v>479105.31</v>
      </c>
      <c r="C268" s="17" t="inlineStr"/>
      <c r="D268" s="18" t="inlineStr">
        <is>
          <t>NEW</t>
        </is>
      </c>
      <c r="E268" s="19" t="inlineStr"/>
      <c r="F268" s="18" t="inlineStr"/>
      <c r="G268" s="19" t="inlineStr"/>
      <c r="H268" s="18" t="inlineStr"/>
      <c r="I268" s="20" t="inlineStr">
        <is>
          <t>RODRIGO PRIETO PEREZ</t>
        </is>
      </c>
      <c r="J268" s="20" t="inlineStr">
        <is>
          <t>Sócio-Administrador</t>
        </is>
      </c>
      <c r="K268" s="20" t="inlineStr">
        <is>
          <t>(11) 3284-3355</t>
        </is>
      </c>
      <c r="L268" s="20" t="inlineStr">
        <is>
          <t>(11) 3284-3355</t>
        </is>
      </c>
      <c r="M268" s="20" t="inlineStr"/>
      <c r="N268" s="20" t="inlineStr"/>
      <c r="O268" s="20" t="inlineStr"/>
      <c r="P268" s="20" t="inlineStr"/>
      <c r="Q268" s="20" t="inlineStr"/>
      <c r="R268" s="20" t="inlineStr"/>
      <c r="S268" s="20" t="inlineStr"/>
      <c r="T268" s="21" t="n">
        <v>479105.31</v>
      </c>
      <c r="U268" s="31" t="inlineStr">
        <is>
          <t>C</t>
        </is>
      </c>
      <c r="V268" s="23">
        <f>IFERROR(VLOOKUP(U268,Assumptions!$A$7:$D$11,2,FALSE),0)</f>
        <v/>
      </c>
      <c r="W268" s="24">
        <f>MAX(0.5,IFERROR(VLOOKUP(U268,Assumptions!$A$7:$D$11,3,FALSE),3)+IFERROR(VLOOKUP(U268,Assumptions!$A$7:$D$11,4,FALSE),8)/2-IF(AN268="",0,YEAR(TODAY())-AN268))</f>
        <v/>
      </c>
      <c r="X268" s="21">
        <f>T268*V268/(1+Assumptions!$B$3)^W268</f>
        <v/>
      </c>
      <c r="Y268" s="25">
        <f>IF(T268=0,"",ROUND(X268/T268*100,1))</f>
        <v/>
      </c>
      <c r="Z268" s="26">
        <f>X268*Assumptions!$B$4</f>
        <v/>
      </c>
      <c r="AA268" s="25">
        <f>IF(T268=0,"",ROUND(Z268/T268*100,1))</f>
        <v/>
      </c>
      <c r="AB268" s="26">
        <f>X268-Z268</f>
        <v/>
      </c>
      <c r="AC268" s="25">
        <f>IF(T268=0,"",ROUND((X268-Z268)/T268*100,1))</f>
        <v/>
      </c>
      <c r="AD268" s="27" t="inlineStr">
        <is>
          <t>UNKNOWN</t>
        </is>
      </c>
      <c r="AE268" s="28" t="inlineStr">
        <is>
          <t>https://administradorajudicialgs.com.br/wp-content/uploads/2024/12/relacao-de-credores-da-falida.pdf</t>
        </is>
      </c>
      <c r="AF268" s="27" t="inlineStr">
        <is>
          <t>p17 r46</t>
        </is>
      </c>
      <c r="AG268" s="27" t="inlineStr">
        <is>
          <t>p17: R$ 479.105,31</t>
        </is>
      </c>
      <c r="AH268" s="27" t="inlineStr">
        <is>
          <t>UNKNOWN</t>
        </is>
      </c>
      <c r="AI268" s="27" t="inlineStr">
        <is>
          <t>2025-03-25</t>
        </is>
      </c>
      <c r="AJ268" s="27" t="inlineStr">
        <is>
          <t>OK_NO_TOTALS</t>
        </is>
      </c>
      <c r="AK268" s="29" t="inlineStr">
        <is>
          <t>0005010-50.2013.8.24.0026</t>
        </is>
      </c>
      <c r="AL268" s="29" t="inlineStr">
        <is>
          <t>TJ</t>
        </is>
      </c>
      <c r="AM268" s="29" t="inlineStr"/>
      <c r="AN268" s="29" t="n">
        <v>2013</v>
      </c>
      <c r="AO268" s="29" t="inlineStr">
        <is>
          <t>13y since filing, no plan document</t>
        </is>
      </c>
      <c r="AP268" s="29" t="inlineStr">
        <is>
          <t>SAO PAULO</t>
        </is>
      </c>
      <c r="AQ268" s="29" t="inlineStr">
        <is>
          <t>SP</t>
        </is>
      </c>
      <c r="AR268" s="29" t="inlineStr">
        <is>
          <t>Comércio atacadista especializado em outros produtos intermediários não especificados anteriormente</t>
        </is>
      </c>
      <c r="AS268" s="29" t="inlineStr">
        <is>
          <t>DEMAIS</t>
        </is>
      </c>
      <c r="AT268" s="29" t="inlineStr">
        <is>
          <t>MID-MARKET</t>
        </is>
      </c>
      <c r="AU268" s="29" t="inlineStr">
        <is>
          <t>03784035</t>
        </is>
      </c>
      <c r="AV268" s="29" t="n">
        <v>1</v>
      </c>
      <c r="AW268" s="29" t="inlineStr">
        <is>
          <t>ROWS:p17r46 UNRECONCILED_SOURCE</t>
        </is>
      </c>
    </row>
    <row r="269">
      <c r="A269" s="15" t="inlineStr">
        <is>
          <t>KSPG AUTOMOTIVE BRAZIL LTDA.</t>
        </is>
      </c>
      <c r="B269" s="16" t="n">
        <v>651861.65</v>
      </c>
      <c r="C269" s="17" t="inlineStr"/>
      <c r="D269" s="18" t="inlineStr">
        <is>
          <t>NEW</t>
        </is>
      </c>
      <c r="E269" s="19" t="inlineStr"/>
      <c r="F269" s="18" t="inlineStr"/>
      <c r="G269" s="19" t="inlineStr"/>
      <c r="H269" s="18" t="inlineStr"/>
      <c r="I269" s="20" t="inlineStr">
        <is>
          <t>FLAVIO PEREIRA SOTO</t>
        </is>
      </c>
      <c r="J269" s="20" t="inlineStr">
        <is>
          <t>Administrador</t>
        </is>
      </c>
      <c r="K269" s="20" t="inlineStr">
        <is>
          <t>(19) 3466-9842</t>
        </is>
      </c>
      <c r="L269" s="20" t="inlineStr">
        <is>
          <t>(19) 3466-9777</t>
        </is>
      </c>
      <c r="M269" s="20" t="inlineStr"/>
      <c r="N269" s="20" t="inlineStr"/>
      <c r="O269" s="20" t="inlineStr"/>
      <c r="P269" s="20" t="inlineStr"/>
      <c r="Q269" s="20" t="inlineStr"/>
      <c r="R269" s="20" t="inlineStr"/>
      <c r="S269" s="20" t="inlineStr"/>
      <c r="T269" s="21" t="n">
        <v>651861.65</v>
      </c>
      <c r="U269" s="22" t="inlineStr">
        <is>
          <t>B</t>
        </is>
      </c>
      <c r="V269" s="23">
        <f>IFERROR(VLOOKUP(U269,Assumptions!$A$7:$D$11,2,FALSE),0)</f>
        <v/>
      </c>
      <c r="W269" s="24">
        <f>MAX(0.5,IFERROR(VLOOKUP(U269,Assumptions!$A$7:$D$11,3,FALSE),3)+IFERROR(VLOOKUP(U269,Assumptions!$A$7:$D$11,4,FALSE),8)/2-IF(AN269="",0,YEAR(TODAY())-AN269))</f>
        <v/>
      </c>
      <c r="X269" s="21">
        <f>T269*V269/(1+Assumptions!$B$3)^W269</f>
        <v/>
      </c>
      <c r="Y269" s="25">
        <f>IF(T269=0,"",ROUND(X269/T269*100,1))</f>
        <v/>
      </c>
      <c r="Z269" s="26">
        <f>X269*Assumptions!$B$4</f>
        <v/>
      </c>
      <c r="AA269" s="25">
        <f>IF(T269=0,"",ROUND(Z269/T269*100,1))</f>
        <v/>
      </c>
      <c r="AB269" s="26">
        <f>X269-Z269</f>
        <v/>
      </c>
      <c r="AC269" s="25">
        <f>IF(T269=0,"",ROUND((X269-Z269)/T269*100,1))</f>
        <v/>
      </c>
      <c r="AD269" s="27" t="inlineStr">
        <is>
          <t>UNKNOWN</t>
        </is>
      </c>
      <c r="AE269" s="28" t="inlineStr">
        <is>
          <t>https://credibilita.com.br/wp-content/uploads/2025/09/Relacao-Credores-29.04.2026.pdf</t>
        </is>
      </c>
      <c r="AF269" s="27" t="inlineStr">
        <is>
          <t>p1 r32</t>
        </is>
      </c>
      <c r="AG269" s="27" t="inlineStr">
        <is>
          <t>p1: R$ 651.861,65</t>
        </is>
      </c>
      <c r="AH269" s="27" t="inlineStr">
        <is>
          <t>UNKNOWN</t>
        </is>
      </c>
      <c r="AI269" s="27" t="inlineStr"/>
      <c r="AJ269" s="27" t="inlineStr">
        <is>
          <t>OK_NO_TOTALS</t>
        </is>
      </c>
      <c r="AK269" s="29" t="inlineStr">
        <is>
          <t>5057720-48.2025.8.24.0023</t>
        </is>
      </c>
      <c r="AL269" s="29" t="inlineStr">
        <is>
          <t>TJ</t>
        </is>
      </c>
      <c r="AM269" s="29" t="inlineStr"/>
      <c r="AN269" s="29" t="n">
        <v>2025</v>
      </c>
      <c r="AO269" s="29" t="inlineStr">
        <is>
          <t>live case, no plan document yet</t>
        </is>
      </c>
      <c r="AP269" s="29" t="inlineStr">
        <is>
          <t>NOVA ODESSA</t>
        </is>
      </c>
      <c r="AQ269" s="29" t="inlineStr">
        <is>
          <t>SP</t>
        </is>
      </c>
      <c r="AR269" s="29" t="inlineStr">
        <is>
          <t>Fabricação de peças e acessórios para o sistema motor de veículos automotores</t>
        </is>
      </c>
      <c r="AS269" s="29" t="inlineStr">
        <is>
          <t>DEMAIS</t>
        </is>
      </c>
      <c r="AT269" s="29" t="inlineStr">
        <is>
          <t>LARGE CORP</t>
        </is>
      </c>
      <c r="AU269" s="29" t="inlineStr">
        <is>
          <t>57576274</t>
        </is>
      </c>
      <c r="AV269" s="29" t="n">
        <v>1</v>
      </c>
      <c r="AW269" s="29" t="inlineStr">
        <is>
          <t>ROWS:p1r32 UNRECONCILED_SOURCE VALUE_COL:Valor_Após_Analise</t>
        </is>
      </c>
    </row>
    <row r="270">
      <c r="A270" s="15" t="inlineStr">
        <is>
          <t>BRASMO INDUSTRIA E COMERCIO LTDA</t>
        </is>
      </c>
      <c r="B270" s="16" t="n">
        <v>416585.1</v>
      </c>
      <c r="C270" s="17" t="inlineStr">
        <is>
          <t>CRISTAL MASTER INDUSTRIA E COMERCIO LTDA</t>
        </is>
      </c>
      <c r="D270" s="18" t="inlineStr">
        <is>
          <t>NEW</t>
        </is>
      </c>
      <c r="E270" s="19" t="inlineStr"/>
      <c r="F270" s="18" t="inlineStr"/>
      <c r="G270" s="19" t="inlineStr"/>
      <c r="H270" s="18" t="inlineStr"/>
      <c r="I270" s="20" t="inlineStr">
        <is>
          <t>MARCIO THOMAZ</t>
        </is>
      </c>
      <c r="J270" s="20" t="inlineStr">
        <is>
          <t>Sócio-Administrador</t>
        </is>
      </c>
      <c r="K270" s="20" t="inlineStr">
        <is>
          <t>(49) 3322-3628</t>
        </is>
      </c>
      <c r="L270" s="20" t="inlineStr"/>
      <c r="M270" s="20" t="inlineStr"/>
      <c r="N270" s="20" t="inlineStr"/>
      <c r="O270" s="20" t="inlineStr"/>
      <c r="P270" s="20" t="inlineStr"/>
      <c r="Q270" s="20" t="inlineStr"/>
      <c r="R270" s="20" t="inlineStr"/>
      <c r="S270" s="20" t="inlineStr"/>
      <c r="T270" s="21" t="n">
        <v>416585.1</v>
      </c>
      <c r="U270" s="22" t="inlineStr">
        <is>
          <t>B</t>
        </is>
      </c>
      <c r="V270" s="23">
        <f>IFERROR(VLOOKUP(U270,Assumptions!$A$7:$D$11,2,FALSE),0)</f>
        <v/>
      </c>
      <c r="W270" s="24">
        <f>MAX(0.5,IFERROR(VLOOKUP(U270,Assumptions!$A$7:$D$11,3,FALSE),3)+IFERROR(VLOOKUP(U270,Assumptions!$A$7:$D$11,4,FALSE),8)/2-IF(AN270="",0,YEAR(TODAY())-AN270))</f>
        <v/>
      </c>
      <c r="X270" s="21">
        <f>T270*V270/(1+Assumptions!$B$3)^W270</f>
        <v/>
      </c>
      <c r="Y270" s="25">
        <f>IF(T270=0,"",ROUND(X270/T270*100,1))</f>
        <v/>
      </c>
      <c r="Z270" s="26">
        <f>X270*Assumptions!$B$4</f>
        <v/>
      </c>
      <c r="AA270" s="25">
        <f>IF(T270=0,"",ROUND(Z270/T270*100,1))</f>
        <v/>
      </c>
      <c r="AB270" s="26">
        <f>X270-Z270</f>
        <v/>
      </c>
      <c r="AC270" s="25">
        <f>IF(T270=0,"",ROUND((X270-Z270)/T270*100,1))</f>
        <v/>
      </c>
      <c r="AD270" s="27" t="inlineStr">
        <is>
          <t>ESTIMATED</t>
        </is>
      </c>
      <c r="AE270" s="28" t="inlineStr">
        <is>
          <t>https://ajruiz.com.br/sites/default/files/public/arquivos-processos/2026-08/qgc_azeplast_julho_2026.pdf</t>
        </is>
      </c>
      <c r="AF270" s="27" t="inlineStr">
        <is>
          <t>p1 r9</t>
        </is>
      </c>
      <c r="AG270" s="27" t="inlineStr">
        <is>
          <t>p1: R$ 416.585,10</t>
        </is>
      </c>
      <c r="AH270" s="27" t="inlineStr">
        <is>
          <t>QGC</t>
        </is>
      </c>
      <c r="AI270" s="27" t="inlineStr"/>
      <c r="AJ270" s="27" t="inlineStr">
        <is>
          <t>QUARANTINED</t>
        </is>
      </c>
      <c r="AK270" s="29" t="inlineStr">
        <is>
          <t>5008793-34.2023.8.24.0019</t>
        </is>
      </c>
      <c r="AL270" s="29" t="inlineStr">
        <is>
          <t>TJSC</t>
        </is>
      </c>
      <c r="AM270" s="29" t="inlineStr">
        <is>
          <t>ACTIVE</t>
        </is>
      </c>
      <c r="AN270" s="29" t="n">
        <v>2023</v>
      </c>
      <c r="AO270" s="29" t="inlineStr">
        <is>
          <t>live case, no plan document yet</t>
        </is>
      </c>
      <c r="AP270" s="29" t="inlineStr">
        <is>
          <t>CHAPECO</t>
        </is>
      </c>
      <c r="AQ270" s="29" t="inlineStr">
        <is>
          <t>SC</t>
        </is>
      </c>
      <c r="AR270" s="29" t="inlineStr">
        <is>
          <t>Fabricação de equipamentos e acessórios para segurança pessoal e profissional</t>
        </is>
      </c>
      <c r="AS270" s="29" t="inlineStr">
        <is>
          <t>DEMAIS</t>
        </is>
      </c>
      <c r="AT270" s="29" t="inlineStr">
        <is>
          <t>MID-MARKET</t>
        </is>
      </c>
      <c r="AU270" s="29" t="inlineStr">
        <is>
          <t>00714387</t>
        </is>
      </c>
      <c r="AV270" s="29" t="n">
        <v>1</v>
      </c>
      <c r="AW270" s="29" t="inlineStr">
        <is>
          <t>PARTIAL_DOC_CLASS_III_RECONCILED ROWS:p1r9</t>
        </is>
      </c>
    </row>
    <row r="271">
      <c r="A271" s="15" t="inlineStr">
        <is>
          <t>GERDAU ACOS LONGOS S.A.</t>
        </is>
      </c>
      <c r="B271" s="16" t="n">
        <v>530847.4399999999</v>
      </c>
      <c r="C271" s="17" t="inlineStr"/>
      <c r="D271" s="18" t="inlineStr">
        <is>
          <t>NEW</t>
        </is>
      </c>
      <c r="E271" s="19" t="inlineStr"/>
      <c r="F271" s="18" t="inlineStr"/>
      <c r="G271" s="19" t="inlineStr"/>
      <c r="H271" s="18" t="inlineStr"/>
      <c r="I271" s="20" t="inlineStr">
        <is>
          <t>Guilherme Freitas</t>
        </is>
      </c>
      <c r="J271" s="20" t="inlineStr">
        <is>
          <t>Coordenador de Crédito e Cobrança</t>
        </is>
      </c>
      <c r="K271" s="20" t="inlineStr">
        <is>
          <t>(11) 3094-6600</t>
        </is>
      </c>
      <c r="L271" s="20" t="inlineStr"/>
      <c r="M271" s="20" t="inlineStr"/>
      <c r="N271" s="20" t="inlineStr">
        <is>
          <t>guilherme.freitas@gerdau.com.br</t>
        </is>
      </c>
      <c r="O271" s="20" t="inlineStr"/>
      <c r="P271" s="20" t="inlineStr">
        <is>
          <t>Anajara Lopes</t>
        </is>
      </c>
      <c r="Q271" s="20" t="inlineStr">
        <is>
          <t>Chefe de Crédito</t>
        </is>
      </c>
      <c r="R271" s="20" t="inlineStr"/>
      <c r="S271" s="20" t="inlineStr"/>
      <c r="T271" s="21" t="n">
        <v>530847.4399999999</v>
      </c>
      <c r="U271" s="31" t="inlineStr">
        <is>
          <t>C</t>
        </is>
      </c>
      <c r="V271" s="23">
        <f>IFERROR(VLOOKUP(U271,Assumptions!$A$7:$D$11,2,FALSE),0)</f>
        <v/>
      </c>
      <c r="W271" s="24">
        <f>MAX(0.5,IFERROR(VLOOKUP(U271,Assumptions!$A$7:$D$11,3,FALSE),3)+IFERROR(VLOOKUP(U271,Assumptions!$A$7:$D$11,4,FALSE),8)/2-IF(AN271="",0,YEAR(TODAY())-AN271))</f>
        <v/>
      </c>
      <c r="X271" s="21">
        <f>T271*V271/(1+Assumptions!$B$3)^W271</f>
        <v/>
      </c>
      <c r="Y271" s="25">
        <f>IF(T271=0,"",ROUND(X271/T271*100,1))</f>
        <v/>
      </c>
      <c r="Z271" s="26">
        <f>X271*Assumptions!$B$4</f>
        <v/>
      </c>
      <c r="AA271" s="25">
        <f>IF(T271=0,"",ROUND(Z271/T271*100,1))</f>
        <v/>
      </c>
      <c r="AB271" s="26">
        <f>X271-Z271</f>
        <v/>
      </c>
      <c r="AC271" s="25">
        <f>IF(T271=0,"",ROUND((X271-Z271)/T271*100,1))</f>
        <v/>
      </c>
      <c r="AD271" s="27" t="inlineStr">
        <is>
          <t>UNKNOWN</t>
        </is>
      </c>
      <c r="AE271" s="28" t="inlineStr">
        <is>
          <t>https://realbrasil.com.br/wp-content/uploads/2018/06/2_LISTA-DE-CREDORES-DA-RECUPERANDA_ROQUE.pdf</t>
        </is>
      </c>
      <c r="AF271" s="27" t="inlineStr">
        <is>
          <t>p2 r6</t>
        </is>
      </c>
      <c r="AG271" s="27" t="inlineStr">
        <is>
          <t>p2: R$ 530.847,44</t>
        </is>
      </c>
      <c r="AH271" s="27" t="inlineStr">
        <is>
          <t>UNKNOWN</t>
        </is>
      </c>
      <c r="AI271" s="27" t="inlineStr"/>
      <c r="AJ271" s="27" t="inlineStr">
        <is>
          <t>OK</t>
        </is>
      </c>
      <c r="AK271" s="29" t="inlineStr">
        <is>
          <t>0802426-35.2019.8.10.0000</t>
        </is>
      </c>
      <c r="AL271" s="29" t="inlineStr">
        <is>
          <t>TJ</t>
        </is>
      </c>
      <c r="AM271" s="29" t="inlineStr"/>
      <c r="AN271" s="29" t="n">
        <v>2019</v>
      </c>
      <c r="AO271" s="29" t="inlineStr">
        <is>
          <t>7y since filing, no plan document</t>
        </is>
      </c>
      <c r="AP271" s="29" t="inlineStr">
        <is>
          <t>RIO DE JANEIRO</t>
        </is>
      </c>
      <c r="AQ271" s="29" t="inlineStr">
        <is>
          <t>RJ</t>
        </is>
      </c>
      <c r="AR271" s="29" t="inlineStr">
        <is>
          <t>Produção de laminados longos de aço, exceto tubos</t>
        </is>
      </c>
      <c r="AS271" s="29" t="inlineStr">
        <is>
          <t>DEMAIS</t>
        </is>
      </c>
      <c r="AT271" s="29" t="inlineStr">
        <is>
          <t>LARGE CORP</t>
        </is>
      </c>
      <c r="AU271" s="29" t="inlineStr">
        <is>
          <t>07358761</t>
        </is>
      </c>
      <c r="AV271" s="29" t="n">
        <v>1</v>
      </c>
      <c r="AW271" s="29" t="inlineStr">
        <is>
          <t>ROWS:p2r6 VALUE_COL:Saldo_Total</t>
        </is>
      </c>
    </row>
    <row r="272">
      <c r="A272" s="15" t="inlineStr">
        <is>
          <t>TELEFONICA BRASIL S.A.</t>
        </is>
      </c>
      <c r="B272" s="16" t="n">
        <v>330264.64</v>
      </c>
      <c r="C272" s="17" t="inlineStr">
        <is>
          <t>ASSOCIACAO DE CARIDADE SANTA CASA DE RIO GRANDE</t>
        </is>
      </c>
      <c r="D272" s="18" t="inlineStr">
        <is>
          <t>NEW</t>
        </is>
      </c>
      <c r="E272" s="19" t="inlineStr"/>
      <c r="F272" s="18" t="inlineStr"/>
      <c r="G272" s="19" t="inlineStr"/>
      <c r="H272" s="18" t="inlineStr"/>
      <c r="I272" s="20" t="inlineStr">
        <is>
          <t>Ana Silva</t>
        </is>
      </c>
      <c r="J272" s="20" t="inlineStr">
        <is>
          <t>Gerente Sênior de Cobrança B2B</t>
        </is>
      </c>
      <c r="K272" s="20" t="inlineStr">
        <is>
          <t>(11) 3430-4532</t>
        </is>
      </c>
      <c r="L272" s="20" t="inlineStr"/>
      <c r="M272" s="20" t="inlineStr"/>
      <c r="N272" s="20" t="inlineStr">
        <is>
          <t>ana.silva@vivo.com.br</t>
        </is>
      </c>
      <c r="O272" s="20" t="inlineStr">
        <is>
          <t>wagnersilva@vivo.com.br</t>
        </is>
      </c>
      <c r="P272" s="20" t="inlineStr">
        <is>
          <t>Wagner Silva</t>
        </is>
      </c>
      <c r="Q272" s="20" t="inlineStr">
        <is>
          <t>Gerente de Planejamento de Cobrança B2B</t>
        </is>
      </c>
      <c r="R272" s="20" t="inlineStr"/>
      <c r="S272" s="20" t="inlineStr">
        <is>
          <t>wagnersilva@vivo.com.br</t>
        </is>
      </c>
      <c r="T272" s="21" t="n">
        <v>330264.64</v>
      </c>
      <c r="U272" s="22" t="inlineStr">
        <is>
          <t>B</t>
        </is>
      </c>
      <c r="V272" s="23">
        <f>IFERROR(VLOOKUP(U272,Assumptions!$A$7:$D$11,2,FALSE),0)</f>
        <v/>
      </c>
      <c r="W272" s="24">
        <f>MAX(0.5,IFERROR(VLOOKUP(U272,Assumptions!$A$7:$D$11,3,FALSE),3)+IFERROR(VLOOKUP(U272,Assumptions!$A$7:$D$11,4,FALSE),8)/2-IF(AN272="",0,YEAR(TODAY())-AN272))</f>
        <v/>
      </c>
      <c r="X272" s="21">
        <f>T272*V272/(1+Assumptions!$B$3)^W272</f>
        <v/>
      </c>
      <c r="Y272" s="25">
        <f>IF(T272=0,"",ROUND(X272/T272*100,1))</f>
        <v/>
      </c>
      <c r="Z272" s="26">
        <f>X272*Assumptions!$B$4</f>
        <v/>
      </c>
      <c r="AA272" s="25">
        <f>IF(T272=0,"",ROUND(Z272/T272*100,1))</f>
        <v/>
      </c>
      <c r="AB272" s="26">
        <f>X272-Z272</f>
        <v/>
      </c>
      <c r="AC272" s="25">
        <f>IF(T272=0,"",ROUND((X272-Z272)/T272*100,1))</f>
        <v/>
      </c>
      <c r="AD272" s="27" t="inlineStr">
        <is>
          <t>ESTIMATED</t>
        </is>
      </c>
      <c r="AE272" s="28" t="inlineStr">
        <is>
          <t>https://scalzilliaj.com.br/sgc/download.php?file=files/processo_documento/processo_documento09120721032023_1_.pdf&amp;nome=15 - Edital do art. 7º, §2º e 53 da Lei 11.101/2005 (segunda lista de credores e recebimento do plano))</t>
        </is>
      </c>
      <c r="AF272" s="27" t="inlineStr">
        <is>
          <t>p30 r13</t>
        </is>
      </c>
      <c r="AG272" s="27" t="inlineStr">
        <is>
          <t>p30: R$ 330.264,64</t>
        </is>
      </c>
      <c r="AH272" s="27" t="inlineStr">
        <is>
          <t>AJ_LIST</t>
        </is>
      </c>
      <c r="AI272" s="27" t="inlineStr">
        <is>
          <t>2023-03-21</t>
        </is>
      </c>
      <c r="AJ272" s="27" t="inlineStr">
        <is>
          <t>OK_NO_TOTALS</t>
        </is>
      </c>
      <c r="AK272" s="29" t="inlineStr">
        <is>
          <t>5012306-16.2022.8.21.0023</t>
        </is>
      </c>
      <c r="AL272" s="29" t="inlineStr">
        <is>
          <t>TJRS</t>
        </is>
      </c>
      <c r="AM272" s="29" t="inlineStr">
        <is>
          <t>ACTIVE</t>
        </is>
      </c>
      <c r="AN272" s="29" t="n">
        <v>2022</v>
      </c>
      <c r="AO272" s="29" t="inlineStr">
        <is>
          <t>live case, no plan document yet</t>
        </is>
      </c>
      <c r="AP272" s="29" t="inlineStr">
        <is>
          <t>SAO PAULO</t>
        </is>
      </c>
      <c r="AQ272" s="29" t="inlineStr">
        <is>
          <t>SP</t>
        </is>
      </c>
      <c r="AR272" s="29" t="inlineStr">
        <is>
          <t>Serviços de telecomunicações sem fio não especificados anteriormente</t>
        </is>
      </c>
      <c r="AS272" s="29" t="inlineStr">
        <is>
          <t>DEMAIS</t>
        </is>
      </c>
      <c r="AT272" s="29" t="inlineStr">
        <is>
          <t>LARGE CORP</t>
        </is>
      </c>
      <c r="AU272" s="29" t="inlineStr">
        <is>
          <t>02558157</t>
        </is>
      </c>
      <c r="AV272" s="29" t="n">
        <v>1</v>
      </c>
      <c r="AW272" s="29" t="inlineStr">
        <is>
          <t>ROWS:p30r13 UNRECONCILED_SOURCE</t>
        </is>
      </c>
    </row>
    <row r="273">
      <c r="A273" s="15" t="inlineStr">
        <is>
          <t>AIR LIQUIDE BRASIL LTDA</t>
        </is>
      </c>
      <c r="B273" s="16" t="n">
        <v>329122.66</v>
      </c>
      <c r="C273" s="17" t="inlineStr">
        <is>
          <t>ASSOCIACAO DE CARIDADE SANTA CASA DE RIO GRANDE</t>
        </is>
      </c>
      <c r="D273" s="18" t="inlineStr">
        <is>
          <t>NEW</t>
        </is>
      </c>
      <c r="E273" s="19" t="inlineStr"/>
      <c r="F273" s="18" t="inlineStr"/>
      <c r="G273" s="19" t="inlineStr"/>
      <c r="H273" s="18" t="inlineStr"/>
      <c r="I273" s="20" t="inlineStr">
        <is>
          <t>JEMIMA BARBOSA MORANDI</t>
        </is>
      </c>
      <c r="J273" s="20" t="inlineStr">
        <is>
          <t>Administrador</t>
        </is>
      </c>
      <c r="K273" s="20" t="inlineStr">
        <is>
          <t>(11) 5509-8300</t>
        </is>
      </c>
      <c r="L273" s="20" t="inlineStr"/>
      <c r="M273" s="20" t="inlineStr"/>
      <c r="N273" s="20" t="inlineStr"/>
      <c r="O273" s="20" t="inlineStr"/>
      <c r="P273" s="20" t="inlineStr">
        <is>
          <t>MICHELLE MAXIMIANO MARTINS</t>
        </is>
      </c>
      <c r="Q273" s="20" t="inlineStr">
        <is>
          <t>Administrador</t>
        </is>
      </c>
      <c r="R273" s="20" t="inlineStr">
        <is>
          <t>(11) 5509-8300</t>
        </is>
      </c>
      <c r="S273" s="20" t="inlineStr"/>
      <c r="T273" s="21" t="n">
        <v>329122.66</v>
      </c>
      <c r="U273" s="22" t="inlineStr">
        <is>
          <t>B</t>
        </is>
      </c>
      <c r="V273" s="23">
        <f>IFERROR(VLOOKUP(U273,Assumptions!$A$7:$D$11,2,FALSE),0)</f>
        <v/>
      </c>
      <c r="W273" s="24">
        <f>MAX(0.5,IFERROR(VLOOKUP(U273,Assumptions!$A$7:$D$11,3,FALSE),3)+IFERROR(VLOOKUP(U273,Assumptions!$A$7:$D$11,4,FALSE),8)/2-IF(AN273="",0,YEAR(TODAY())-AN273))</f>
        <v/>
      </c>
      <c r="X273" s="21">
        <f>T273*V273/(1+Assumptions!$B$3)^W273</f>
        <v/>
      </c>
      <c r="Y273" s="25">
        <f>IF(T273=0,"",ROUND(X273/T273*100,1))</f>
        <v/>
      </c>
      <c r="Z273" s="26">
        <f>X273*Assumptions!$B$4</f>
        <v/>
      </c>
      <c r="AA273" s="25">
        <f>IF(T273=0,"",ROUND(Z273/T273*100,1))</f>
        <v/>
      </c>
      <c r="AB273" s="26">
        <f>X273-Z273</f>
        <v/>
      </c>
      <c r="AC273" s="25">
        <f>IF(T273=0,"",ROUND((X273-Z273)/T273*100,1))</f>
        <v/>
      </c>
      <c r="AD273" s="27" t="inlineStr">
        <is>
          <t>ESTIMATED</t>
        </is>
      </c>
      <c r="AE273" s="28" t="inlineStr">
        <is>
          <t>https://scalzilliaj.com.br/sgc/download.php?file=files/processo_documento/processo_documento09120721032023_1_.pdf&amp;nome=15 - Edital do art. 7º, §2º e 53 da Lei 11.101/2005 (segunda lista de credores e recebimento do plano))</t>
        </is>
      </c>
      <c r="AF273" s="27" t="inlineStr">
        <is>
          <t>p25 r45</t>
        </is>
      </c>
      <c r="AG273" s="27" t="inlineStr">
        <is>
          <t>p25: R$ 329.122,66</t>
        </is>
      </c>
      <c r="AH273" s="27" t="inlineStr">
        <is>
          <t>AJ_LIST</t>
        </is>
      </c>
      <c r="AI273" s="27" t="inlineStr">
        <is>
          <t>2023-03-21</t>
        </is>
      </c>
      <c r="AJ273" s="27" t="inlineStr">
        <is>
          <t>OK_NO_TOTALS</t>
        </is>
      </c>
      <c r="AK273" s="29" t="inlineStr">
        <is>
          <t>5012306-16.2022.8.21.0023</t>
        </is>
      </c>
      <c r="AL273" s="29" t="inlineStr">
        <is>
          <t>TJRS</t>
        </is>
      </c>
      <c r="AM273" s="29" t="inlineStr">
        <is>
          <t>ACTIVE</t>
        </is>
      </c>
      <c r="AN273" s="29" t="n">
        <v>2022</v>
      </c>
      <c r="AO273" s="29" t="inlineStr">
        <is>
          <t>live case, no plan document yet</t>
        </is>
      </c>
      <c r="AP273" s="29" t="inlineStr">
        <is>
          <t>SAO PAULO</t>
        </is>
      </c>
      <c r="AQ273" s="29" t="inlineStr">
        <is>
          <t>SP</t>
        </is>
      </c>
      <c r="AR273" s="29" t="inlineStr">
        <is>
          <t>Fabricação de gases industriais</t>
        </is>
      </c>
      <c r="AS273" s="29" t="inlineStr">
        <is>
          <t>DEMAIS</t>
        </is>
      </c>
      <c r="AT273" s="29" t="inlineStr">
        <is>
          <t>LARGE CORP</t>
        </is>
      </c>
      <c r="AU273" s="29" t="inlineStr">
        <is>
          <t>00331788</t>
        </is>
      </c>
      <c r="AV273" s="29" t="n">
        <v>1</v>
      </c>
      <c r="AW273" s="29" t="inlineStr">
        <is>
          <t>ROWS:p25r45 UNRECONCILED_SOURCE</t>
        </is>
      </c>
    </row>
    <row r="274">
      <c r="A274" s="15" t="inlineStr">
        <is>
          <t>CAMESA INDUSTRIA TEXTIL LTDA</t>
        </is>
      </c>
      <c r="B274" s="16" t="n">
        <v>328879.9</v>
      </c>
      <c r="C274" s="17" t="inlineStr">
        <is>
          <t>R W CONSTRUCOES LTDA</t>
        </is>
      </c>
      <c r="D274" s="18" t="inlineStr">
        <is>
          <t>NEW</t>
        </is>
      </c>
      <c r="E274" s="19" t="inlineStr"/>
      <c r="F274" s="18" t="inlineStr"/>
      <c r="G274" s="19" t="inlineStr"/>
      <c r="H274" s="18" t="inlineStr"/>
      <c r="I274" s="20" t="inlineStr">
        <is>
          <t>ALBERTO HAKIM</t>
        </is>
      </c>
      <c r="J274" s="20" t="inlineStr">
        <is>
          <t>Sócio-Administrador</t>
        </is>
      </c>
      <c r="K274" s="20" t="inlineStr">
        <is>
          <t>(11) 2431-5000</t>
        </is>
      </c>
      <c r="L274" s="20" t="inlineStr"/>
      <c r="M274" s="20" t="inlineStr"/>
      <c r="N274" s="20" t="inlineStr"/>
      <c r="O274" s="20" t="inlineStr"/>
      <c r="P274" s="20" t="inlineStr">
        <is>
          <t>DAVID HAKIM</t>
        </is>
      </c>
      <c r="Q274" s="20" t="inlineStr">
        <is>
          <t>Sócio-Administrador</t>
        </is>
      </c>
      <c r="R274" s="20" t="inlineStr">
        <is>
          <t>(11) 2431-5000</t>
        </is>
      </c>
      <c r="S274" s="20" t="inlineStr"/>
      <c r="T274" s="21" t="n">
        <v>328879.9</v>
      </c>
      <c r="U274" s="22" t="inlineStr">
        <is>
          <t>B</t>
        </is>
      </c>
      <c r="V274" s="23">
        <f>IFERROR(VLOOKUP(U274,Assumptions!$A$7:$D$11,2,FALSE),0)</f>
        <v/>
      </c>
      <c r="W274" s="24">
        <f>MAX(0.5,IFERROR(VLOOKUP(U274,Assumptions!$A$7:$D$11,3,FALSE),3)+IFERROR(VLOOKUP(U274,Assumptions!$A$7:$D$11,4,FALSE),8)/2-IF(AN274="",0,YEAR(TODAY())-AN274))</f>
        <v/>
      </c>
      <c r="X274" s="21">
        <f>T274*V274/(1+Assumptions!$B$3)^W274</f>
        <v/>
      </c>
      <c r="Y274" s="25">
        <f>IF(T274=0,"",ROUND(X274/T274*100,1))</f>
        <v/>
      </c>
      <c r="Z274" s="26">
        <f>X274*Assumptions!$B$4</f>
        <v/>
      </c>
      <c r="AA274" s="25">
        <f>IF(T274=0,"",ROUND(Z274/T274*100,1))</f>
        <v/>
      </c>
      <c r="AB274" s="26">
        <f>X274-Z274</f>
        <v/>
      </c>
      <c r="AC274" s="25">
        <f>IF(T274=0,"",ROUND((X274-Z274)/T274*100,1))</f>
        <v/>
      </c>
      <c r="AD274" s="27" t="inlineStr">
        <is>
          <t>ESTIMATED</t>
        </is>
      </c>
      <c r="AE274" s="28" t="inlineStr">
        <is>
          <t>https://lrflideres.com.br/wp-content/plugins/download-attachments/includes/download.php?id=4023</t>
        </is>
      </c>
      <c r="AF274" s="27" t="inlineStr">
        <is>
          <t>p4 r59; p7 r83; p9 r61</t>
        </is>
      </c>
      <c r="AG274" s="27" t="inlineStr">
        <is>
          <t>p4: R$ 96.102,78; p7: R$ 208.821,37; p9: R$ 23.955,75</t>
        </is>
      </c>
      <c r="AH274" s="27" t="inlineStr">
        <is>
          <t>DEBTOR_LIST</t>
        </is>
      </c>
      <c r="AI274" s="27" t="inlineStr"/>
      <c r="AJ274" s="27" t="inlineStr">
        <is>
          <t>QUARANTINED</t>
        </is>
      </c>
      <c r="AK274" s="29" t="inlineStr">
        <is>
          <t>0002484-82.2022.8.17.2001</t>
        </is>
      </c>
      <c r="AL274" s="29" t="inlineStr">
        <is>
          <t>TJPE</t>
        </is>
      </c>
      <c r="AM274" s="29" t="inlineStr">
        <is>
          <t>ACTIVE</t>
        </is>
      </c>
      <c r="AN274" s="29" t="n">
        <v>2022</v>
      </c>
      <c r="AO274" s="29" t="inlineStr">
        <is>
          <t>live case, no plan document yet</t>
        </is>
      </c>
      <c r="AP274" s="29" t="inlineStr">
        <is>
          <t>GUARULHOS</t>
        </is>
      </c>
      <c r="AQ274" s="29" t="inlineStr">
        <is>
          <t>SP</t>
        </is>
      </c>
      <c r="AR274" s="29" t="inlineStr">
        <is>
          <t>Fabricação de tecidos de malha</t>
        </is>
      </c>
      <c r="AS274" s="29" t="inlineStr">
        <is>
          <t>DEMAIS</t>
        </is>
      </c>
      <c r="AT274" s="29" t="inlineStr">
        <is>
          <t>MID-MARKET</t>
        </is>
      </c>
      <c r="AU274" s="29" t="inlineStr">
        <is>
          <t>43672716</t>
        </is>
      </c>
      <c r="AV274" s="29" t="n">
        <v>3</v>
      </c>
      <c r="AW274" s="29" t="inlineStr">
        <is>
          <t>PARTIAL_DOC_CLASS_III_RECONCILED ROWS:p4r59,p7r83,p9r61</t>
        </is>
      </c>
    </row>
    <row r="275">
      <c r="A275" s="15" t="inlineStr">
        <is>
          <t>ALCATEC PRODUTOS SINTETICOS LTDA</t>
        </is>
      </c>
      <c r="B275" s="16" t="n">
        <v>410794</v>
      </c>
      <c r="C275" s="17" t="inlineStr"/>
      <c r="D275" s="18" t="inlineStr">
        <is>
          <t>NEW</t>
        </is>
      </c>
      <c r="E275" s="19" t="inlineStr"/>
      <c r="F275" s="18" t="inlineStr"/>
      <c r="G275" s="19" t="inlineStr"/>
      <c r="H275" s="18" t="inlineStr"/>
      <c r="I275" s="20" t="inlineStr">
        <is>
          <t>INACIO PROCOPIO NETO</t>
        </is>
      </c>
      <c r="J275" s="20" t="inlineStr">
        <is>
          <t>Sócio-Administrador</t>
        </is>
      </c>
      <c r="K275" s="20" t="inlineStr">
        <is>
          <t>(41) 3374-1046</t>
        </is>
      </c>
      <c r="L275" s="20" t="inlineStr">
        <is>
          <t>(75) 3238-9091</t>
        </is>
      </c>
      <c r="M275" s="20" t="inlineStr"/>
      <c r="N275" s="20" t="inlineStr"/>
      <c r="O275" s="20" t="inlineStr"/>
      <c r="P275" s="20" t="inlineStr">
        <is>
          <t>LIANA CRISTINA PROCOPIO</t>
        </is>
      </c>
      <c r="Q275" s="20" t="inlineStr">
        <is>
          <t>Sócio-Administrador</t>
        </is>
      </c>
      <c r="R275" s="20" t="inlineStr">
        <is>
          <t>(75) 3238-9091</t>
        </is>
      </c>
      <c r="S275" s="20" t="inlineStr"/>
      <c r="T275" s="21" t="n">
        <v>410794</v>
      </c>
      <c r="U275" s="22" t="inlineStr">
        <is>
          <t>B</t>
        </is>
      </c>
      <c r="V275" s="23">
        <f>IFERROR(VLOOKUP(U275,Assumptions!$A$7:$D$11,2,FALSE),0)</f>
        <v/>
      </c>
      <c r="W275" s="24">
        <f>MAX(0.5,IFERROR(VLOOKUP(U275,Assumptions!$A$7:$D$11,3,FALSE),3)+IFERROR(VLOOKUP(U275,Assumptions!$A$7:$D$11,4,FALSE),8)/2-IF(AN275="",0,YEAR(TODAY())-AN275))</f>
        <v/>
      </c>
      <c r="X275" s="21">
        <f>T275*V275/(1+Assumptions!$B$3)^W275</f>
        <v/>
      </c>
      <c r="Y275" s="25">
        <f>IF(T275=0,"",ROUND(X275/T275*100,1))</f>
        <v/>
      </c>
      <c r="Z275" s="26">
        <f>X275*Assumptions!$B$4</f>
        <v/>
      </c>
      <c r="AA275" s="25">
        <f>IF(T275=0,"",ROUND(Z275/T275*100,1))</f>
        <v/>
      </c>
      <c r="AB275" s="26">
        <f>X275-Z275</f>
        <v/>
      </c>
      <c r="AC275" s="25">
        <f>IF(T275=0,"",ROUND((X275-Z275)/T275*100,1))</f>
        <v/>
      </c>
      <c r="AD275" s="27" t="inlineStr">
        <is>
          <t>ESTIMATED</t>
        </is>
      </c>
      <c r="AE275" s="28" t="inlineStr">
        <is>
          <t>https://cataliseaj.com.br/sgc/download.php?file=files/processo_documento/processo_documento15092204102024_1_.pdf&amp;nome=02. RELAÇÃO DE CREDORES</t>
        </is>
      </c>
      <c r="AF275" s="27" t="inlineStr">
        <is>
          <t>p2 r8</t>
        </is>
      </c>
      <c r="AG275" s="27" t="inlineStr">
        <is>
          <t>p2: R$ 410.794,00</t>
        </is>
      </c>
      <c r="AH275" s="27" t="inlineStr">
        <is>
          <t>DEBTOR_LIST</t>
        </is>
      </c>
      <c r="AI275" s="27" t="inlineStr"/>
      <c r="AJ275" s="27" t="inlineStr">
        <is>
          <t>OK_NO_TOTALS</t>
        </is>
      </c>
      <c r="AK275" s="29" t="inlineStr">
        <is>
          <t>5011460-87.2023.8.24.0020</t>
        </is>
      </c>
      <c r="AL275" s="29" t="inlineStr">
        <is>
          <t>TJSC</t>
        </is>
      </c>
      <c r="AM275" s="29" t="inlineStr">
        <is>
          <t>ACTIVE</t>
        </is>
      </c>
      <c r="AN275" s="29" t="n">
        <v>2023</v>
      </c>
      <c r="AO275" s="29" t="inlineStr">
        <is>
          <t>live case, no plan document yet</t>
        </is>
      </c>
      <c r="AP275" s="29" t="inlineStr">
        <is>
          <t>TERRA NOVA</t>
        </is>
      </c>
      <c r="AQ275" s="29" t="inlineStr">
        <is>
          <t>BA</t>
        </is>
      </c>
      <c r="AR275" s="29" t="inlineStr">
        <is>
          <t>Tecelagem de fios de fibras artificiais e sintéticas</t>
        </is>
      </c>
      <c r="AS275" s="29" t="inlineStr">
        <is>
          <t>DEMAIS</t>
        </is>
      </c>
      <c r="AT275" s="29" t="inlineStr">
        <is>
          <t>MID-MARKET</t>
        </is>
      </c>
      <c r="AU275" s="29" t="inlineStr">
        <is>
          <t>05236060</t>
        </is>
      </c>
      <c r="AV275" s="29" t="n">
        <v>1</v>
      </c>
      <c r="AW275" s="29" t="inlineStr">
        <is>
          <t>ROWS:p2r8 UNRECONCILED_SOURCE</t>
        </is>
      </c>
    </row>
    <row r="276">
      <c r="A276" s="15" t="inlineStr">
        <is>
          <t>AGROFOODS BRASIL ALIMENTO S/A</t>
        </is>
      </c>
      <c r="B276" s="16" t="n">
        <v>469262.66</v>
      </c>
      <c r="C276" s="17" t="inlineStr"/>
      <c r="D276" s="18" t="inlineStr">
        <is>
          <t>NEW</t>
        </is>
      </c>
      <c r="E276" s="19" t="inlineStr"/>
      <c r="F276" s="18" t="inlineStr"/>
      <c r="G276" s="19" t="inlineStr"/>
      <c r="H276" s="18" t="inlineStr"/>
      <c r="I276" s="20" t="inlineStr">
        <is>
          <t>Juliano Pucci</t>
        </is>
      </c>
      <c r="J276" s="20" t="inlineStr">
        <is>
          <t>Gerente Industrial na Agrofoods Brasil Alimento S/A</t>
        </is>
      </c>
      <c r="K276" s="20" t="inlineStr">
        <is>
          <t>(16) 3820-9004</t>
        </is>
      </c>
      <c r="L276" s="20" t="inlineStr"/>
      <c r="M276" s="20" t="inlineStr"/>
      <c r="N276" s="20" t="inlineStr">
        <is>
          <t>juliano.pucci@agrofoods.ind.br</t>
        </is>
      </c>
      <c r="O276" s="20" t="inlineStr"/>
      <c r="P276" s="20" t="inlineStr">
        <is>
          <t>ANDREA FERREIRA ABDUL MASSIH</t>
        </is>
      </c>
      <c r="Q276" s="20" t="inlineStr">
        <is>
          <t>Diretor</t>
        </is>
      </c>
      <c r="R276" s="20" t="inlineStr">
        <is>
          <t>(16) 3820-9004</t>
        </is>
      </c>
      <c r="S276" s="20" t="inlineStr"/>
      <c r="T276" s="21" t="n">
        <v>469262.66</v>
      </c>
      <c r="U276" s="31" t="inlineStr">
        <is>
          <t>C</t>
        </is>
      </c>
      <c r="V276" s="23">
        <f>IFERROR(VLOOKUP(U276,Assumptions!$A$7:$D$11,2,FALSE),0)</f>
        <v/>
      </c>
      <c r="W276" s="24">
        <f>MAX(0.5,IFERROR(VLOOKUP(U276,Assumptions!$A$7:$D$11,3,FALSE),3)+IFERROR(VLOOKUP(U276,Assumptions!$A$7:$D$11,4,FALSE),8)/2-IF(AN276="",0,YEAR(TODAY())-AN276))</f>
        <v/>
      </c>
      <c r="X276" s="21">
        <f>T276*V276/(1+Assumptions!$B$3)^W276</f>
        <v/>
      </c>
      <c r="Y276" s="25">
        <f>IF(T276=0,"",ROUND(X276/T276*100,1))</f>
        <v/>
      </c>
      <c r="Z276" s="26">
        <f>X276*Assumptions!$B$4</f>
        <v/>
      </c>
      <c r="AA276" s="25">
        <f>IF(T276=0,"",ROUND(Z276/T276*100,1))</f>
        <v/>
      </c>
      <c r="AB276" s="26">
        <f>X276-Z276</f>
        <v/>
      </c>
      <c r="AC276" s="25">
        <f>IF(T276=0,"",ROUND((X276-Z276)/T276*100,1))</f>
        <v/>
      </c>
      <c r="AD276" s="27" t="inlineStr">
        <is>
          <t>UNKNOWN</t>
        </is>
      </c>
      <c r="AE276" s="28" t="inlineStr">
        <is>
          <t>https://ajruiz.com.br/sites/default/files/public/arquivos-processos/2024-04/relacao_de_credores_recuperanda_1.pdf</t>
        </is>
      </c>
      <c r="AF276" s="27" t="inlineStr">
        <is>
          <t>p2 r4; p2 r5; p2 r6</t>
        </is>
      </c>
      <c r="AG276" s="27" t="inlineStr">
        <is>
          <t>p2: R$ 231.398,66; p2: R$ 117.480,00; p2: R$ 120.384,00</t>
        </is>
      </c>
      <c r="AH276" s="27" t="inlineStr">
        <is>
          <t>QGC</t>
        </is>
      </c>
      <c r="AI276" s="27" t="inlineStr">
        <is>
          <t>2024-01-31</t>
        </is>
      </c>
      <c r="AJ276" s="27" t="inlineStr">
        <is>
          <t>OK</t>
        </is>
      </c>
      <c r="AK276" s="29" t="inlineStr">
        <is>
          <t>0000148-67.1996.8.24.0079</t>
        </is>
      </c>
      <c r="AL276" s="29" t="inlineStr">
        <is>
          <t>TJ</t>
        </is>
      </c>
      <c r="AM276" s="29" t="inlineStr"/>
      <c r="AN276" s="29" t="n">
        <v>1996</v>
      </c>
      <c r="AO276" s="29" t="inlineStr">
        <is>
          <t>30y since filing, no plan document</t>
        </is>
      </c>
      <c r="AP276" s="29" t="inlineStr">
        <is>
          <t>ORLANDIA</t>
        </is>
      </c>
      <c r="AQ276" s="29" t="inlineStr">
        <is>
          <t>SP</t>
        </is>
      </c>
      <c r="AR276" s="29" t="inlineStr">
        <is>
          <t>Fabricação de óleos vegetais em bruto, exceto óleo de milho</t>
        </is>
      </c>
      <c r="AS276" s="29" t="inlineStr">
        <is>
          <t>DEMAIS</t>
        </is>
      </c>
      <c r="AT276" s="29" t="inlineStr">
        <is>
          <t>MID-MARKET</t>
        </is>
      </c>
      <c r="AU276" s="29" t="inlineStr">
        <is>
          <t>38081947</t>
        </is>
      </c>
      <c r="AV276" s="29" t="n">
        <v>3</v>
      </c>
      <c r="AW276" s="29" t="inlineStr">
        <is>
          <t>ROWS:p2r4,p2r5,p2r6 VALUE_COL:Valor_Atualizado_Do_Débito</t>
        </is>
      </c>
    </row>
    <row r="277">
      <c r="A277" s="15" t="inlineStr">
        <is>
          <t>EMC TECNOLOGIA LTDA</t>
        </is>
      </c>
      <c r="B277" s="16" t="n">
        <v>1200491.42</v>
      </c>
      <c r="C277" s="17" t="inlineStr">
        <is>
          <t>EGESA ENGENHARIA S/A (Consórcio ETDI)</t>
        </is>
      </c>
      <c r="D277" s="18" t="inlineStr">
        <is>
          <t>NEW</t>
        </is>
      </c>
      <c r="E277" s="19" t="inlineStr"/>
      <c r="F277" s="18" t="inlineStr"/>
      <c r="G277" s="19" t="inlineStr"/>
      <c r="H277" s="18" t="inlineStr"/>
      <c r="I277" s="20" t="inlineStr">
        <is>
          <t>Denise Maia</t>
        </is>
      </c>
      <c r="J277" s="20" t="inlineStr">
        <is>
          <t>Diretora Administrativo Financeira</t>
        </is>
      </c>
      <c r="K277" s="20" t="inlineStr">
        <is>
          <t>(31) 2121-2121</t>
        </is>
      </c>
      <c r="L277" s="20" t="inlineStr">
        <is>
          <t>(31) 2121-2105</t>
        </is>
      </c>
      <c r="M277" s="20" t="inlineStr"/>
      <c r="N277" s="20" t="inlineStr">
        <is>
          <t>denise@emc.com.br</t>
        </is>
      </c>
      <c r="O277" s="20" t="inlineStr">
        <is>
          <t>eduardo@emc.com.br</t>
        </is>
      </c>
      <c r="P277" s="20" t="inlineStr">
        <is>
          <t>Eduardo Carvalho</t>
        </is>
      </c>
      <c r="Q277" s="20" t="inlineStr">
        <is>
          <t>Diretor Geral</t>
        </is>
      </c>
      <c r="R277" s="20" t="inlineStr"/>
      <c r="S277" s="20" t="inlineStr">
        <is>
          <t>eduardo@emc.com.br</t>
        </is>
      </c>
      <c r="T277" s="21" t="n">
        <v>1200491.42</v>
      </c>
      <c r="U277" s="30" t="inlineStr">
        <is>
          <t>?</t>
        </is>
      </c>
      <c r="V277" s="23">
        <f>IFERROR(VLOOKUP(U277,Assumptions!$A$7:$D$11,2,FALSE),0)</f>
        <v/>
      </c>
      <c r="W277" s="24">
        <f>MAX(0.5,IFERROR(VLOOKUP(U277,Assumptions!$A$7:$D$11,3,FALSE),3)+IFERROR(VLOOKUP(U277,Assumptions!$A$7:$D$11,4,FALSE),8)/2-IF(AN277="",0,YEAR(TODAY())-AN277))</f>
        <v/>
      </c>
      <c r="X277" s="21">
        <f>T277*V277/(1+Assumptions!$B$3)^W277</f>
        <v/>
      </c>
      <c r="Y277" s="25">
        <f>IF(T277=0,"",ROUND(X277/T277*100,1))</f>
        <v/>
      </c>
      <c r="Z277" s="26">
        <f>X277*Assumptions!$B$4</f>
        <v/>
      </c>
      <c r="AA277" s="25">
        <f>IF(T277=0,"",ROUND(Z277/T277*100,1))</f>
        <v/>
      </c>
      <c r="AB277" s="26">
        <f>X277-Z277</f>
        <v/>
      </c>
      <c r="AC277" s="25">
        <f>IF(T277=0,"",ROUND((X277-Z277)/T277*100,1))</f>
        <v/>
      </c>
      <c r="AD277" s="27" t="inlineStr">
        <is>
          <t>UNKNOWN</t>
        </is>
      </c>
      <c r="AE277" s="28" t="inlineStr">
        <is>
          <t>https://scalzilliaj.com.br/sgc/download.php?file=files/processo_documento/processo_documento09514021082025_1_.pdf&amp;nome=04 - Relação de credores das Recuperandas</t>
        </is>
      </c>
      <c r="AF277" s="27" t="inlineStr">
        <is>
          <t>p65 r17; p66 r1; p66 r2; p66 r3; p66 r4</t>
        </is>
      </c>
      <c r="AG277" s="27" t="inlineStr">
        <is>
          <t>p65: R$ 30.422,33; p66: R$ 965.893,27; p66: R$ 105.447,29; p66: R$ 80.265,53; p66: R$ 18.463,00</t>
        </is>
      </c>
      <c r="AH277" s="27" t="inlineStr">
        <is>
          <t>DEBTOR_LIST</t>
        </is>
      </c>
      <c r="AI277" s="27" t="inlineStr"/>
      <c r="AJ277" s="27" t="inlineStr">
        <is>
          <t>OK</t>
        </is>
      </c>
      <c r="AK277" s="29" t="inlineStr">
        <is>
          <t>(not printed)</t>
        </is>
      </c>
      <c r="AL277" s="29" t="inlineStr"/>
      <c r="AM277" s="29" t="inlineStr"/>
      <c r="AN277" s="29" t="inlineStr"/>
      <c r="AO277" s="29" t="inlineStr">
        <is>
          <t>RJ case number not identified on the document</t>
        </is>
      </c>
      <c r="AP277" s="29" t="inlineStr">
        <is>
          <t>BELO HORIZONTE</t>
        </is>
      </c>
      <c r="AQ277" s="29" t="inlineStr">
        <is>
          <t>MG</t>
        </is>
      </c>
      <c r="AR277" s="29" t="inlineStr">
        <is>
          <t>Aluguel de máquinas e equipamentos para escritórios</t>
        </is>
      </c>
      <c r="AS277" s="29" t="inlineStr">
        <is>
          <t>DEMAIS</t>
        </is>
      </c>
      <c r="AT277" s="29" t="inlineStr">
        <is>
          <t>LARGE CORP</t>
        </is>
      </c>
      <c r="AU277" s="29" t="inlineStr">
        <is>
          <t>22261093</t>
        </is>
      </c>
      <c r="AV277" s="29" t="n">
        <v>5</v>
      </c>
      <c r="AW277" s="29" t="inlineStr">
        <is>
          <t>ROWS:p65r17,p66r1,p66r2,p66r3,p66r4 VALUE_COL:Valor_Atualizado CASE_NUMBER_CORRECTED</t>
        </is>
      </c>
    </row>
    <row r="278">
      <c r="A278" s="15" t="inlineStr">
        <is>
          <t>TEXMAR CONFECCOES E MALHAS LTDA</t>
        </is>
      </c>
      <c r="B278" s="16" t="n">
        <v>324707</v>
      </c>
      <c r="C278" s="17" t="inlineStr">
        <is>
          <t>R W CONSTRUCOES LTDA</t>
        </is>
      </c>
      <c r="D278" s="18" t="inlineStr">
        <is>
          <t>NEW</t>
        </is>
      </c>
      <c r="E278" s="19" t="inlineStr"/>
      <c r="F278" s="18" t="inlineStr"/>
      <c r="G278" s="19" t="inlineStr"/>
      <c r="H278" s="18" t="inlineStr"/>
      <c r="I278" s="20" t="inlineStr">
        <is>
          <t>Lucia Rodrigues</t>
        </is>
      </c>
      <c r="J278" s="20" t="inlineStr">
        <is>
          <t>Financial Analyst</t>
        </is>
      </c>
      <c r="K278" s="20" t="inlineStr">
        <is>
          <t>(11) 2696-2020</t>
        </is>
      </c>
      <c r="L278" s="20" t="inlineStr"/>
      <c r="M278" s="20" t="inlineStr"/>
      <c r="N278" s="20" t="inlineStr"/>
      <c r="O278" s="20" t="inlineStr"/>
      <c r="P278" s="20" t="inlineStr">
        <is>
          <t>Flavia Hiar</t>
        </is>
      </c>
      <c r="Q278" s="20" t="inlineStr">
        <is>
          <t>Supervisor Fiscal</t>
        </is>
      </c>
      <c r="R278" s="20" t="inlineStr"/>
      <c r="S278" s="20" t="inlineStr"/>
      <c r="T278" s="21" t="n">
        <v>324707</v>
      </c>
      <c r="U278" s="22" t="inlineStr">
        <is>
          <t>B</t>
        </is>
      </c>
      <c r="V278" s="23">
        <f>IFERROR(VLOOKUP(U278,Assumptions!$A$7:$D$11,2,FALSE),0)</f>
        <v/>
      </c>
      <c r="W278" s="24">
        <f>MAX(0.5,IFERROR(VLOOKUP(U278,Assumptions!$A$7:$D$11,3,FALSE),3)+IFERROR(VLOOKUP(U278,Assumptions!$A$7:$D$11,4,FALSE),8)/2-IF(AN278="",0,YEAR(TODAY())-AN278))</f>
        <v/>
      </c>
      <c r="X278" s="21">
        <f>T278*V278/(1+Assumptions!$B$3)^W278</f>
        <v/>
      </c>
      <c r="Y278" s="25">
        <f>IF(T278=0,"",ROUND(X278/T278*100,1))</f>
        <v/>
      </c>
      <c r="Z278" s="26">
        <f>X278*Assumptions!$B$4</f>
        <v/>
      </c>
      <c r="AA278" s="25">
        <f>IF(T278=0,"",ROUND(Z278/T278*100,1))</f>
        <v/>
      </c>
      <c r="AB278" s="26">
        <f>X278-Z278</f>
        <v/>
      </c>
      <c r="AC278" s="25">
        <f>IF(T278=0,"",ROUND((X278-Z278)/T278*100,1))</f>
        <v/>
      </c>
      <c r="AD278" s="27" t="inlineStr">
        <is>
          <t>ESTIMATED</t>
        </is>
      </c>
      <c r="AE278" s="28" t="inlineStr">
        <is>
          <t>https://lrflideres.com.br/wp-content/plugins/download-attachments/includes/download.php?id=4023</t>
        </is>
      </c>
      <c r="AF278" s="27" t="inlineStr">
        <is>
          <t>p4 r93; p7 r124; p9 r90</t>
        </is>
      </c>
      <c r="AG278" s="27" t="inlineStr">
        <is>
          <t>p4: R$ 80.697,40; p7: R$ 194.032,20; p9: R$ 49.977,40</t>
        </is>
      </c>
      <c r="AH278" s="27" t="inlineStr">
        <is>
          <t>DEBTOR_LIST</t>
        </is>
      </c>
      <c r="AI278" s="27" t="inlineStr"/>
      <c r="AJ278" s="27" t="inlineStr">
        <is>
          <t>QUARANTINED</t>
        </is>
      </c>
      <c r="AK278" s="29" t="inlineStr">
        <is>
          <t>0002484-82.2022.8.17.2001</t>
        </is>
      </c>
      <c r="AL278" s="29" t="inlineStr">
        <is>
          <t>TJPE</t>
        </is>
      </c>
      <c r="AM278" s="29" t="inlineStr">
        <is>
          <t>ACTIVE</t>
        </is>
      </c>
      <c r="AN278" s="29" t="n">
        <v>2022</v>
      </c>
      <c r="AO278" s="29" t="inlineStr">
        <is>
          <t>live case, no plan document yet</t>
        </is>
      </c>
      <c r="AP278" s="29" t="inlineStr">
        <is>
          <t>SAO PAULO</t>
        </is>
      </c>
      <c r="AQ278" s="29" t="inlineStr">
        <is>
          <t>SP</t>
        </is>
      </c>
      <c r="AR278" s="29" t="inlineStr">
        <is>
          <t>Confecção de peças de vestuário, exceto roupas íntimas e as confeccionadas sob medida</t>
        </is>
      </c>
      <c r="AS278" s="29" t="inlineStr">
        <is>
          <t>DEMAIS</t>
        </is>
      </c>
      <c r="AT278" s="29" t="inlineStr">
        <is>
          <t>MID-MARKET</t>
        </is>
      </c>
      <c r="AU278" s="29" t="inlineStr">
        <is>
          <t>43342153</t>
        </is>
      </c>
      <c r="AV278" s="29" t="n">
        <v>3</v>
      </c>
      <c r="AW278" s="29" t="inlineStr">
        <is>
          <t>PARTIAL_DOC_CLASS_III_RECONCILED ROWS:p4r93,p7r124,p9r90</t>
        </is>
      </c>
    </row>
    <row r="279">
      <c r="A279" s="15" t="inlineStr">
        <is>
          <t>ALTA - AMERICA LATINA TECNOLOGIA AGRICOLA LTDA.</t>
        </is>
      </c>
      <c r="B279" s="16" t="n">
        <v>505000</v>
      </c>
      <c r="C279" s="17" t="inlineStr">
        <is>
          <t>AEGRO INFORMATICA LIMITADA</t>
        </is>
      </c>
      <c r="D279" s="18" t="inlineStr">
        <is>
          <t>NEW</t>
        </is>
      </c>
      <c r="E279" s="19" t="inlineStr"/>
      <c r="F279" s="18" t="inlineStr"/>
      <c r="G279" s="19" t="inlineStr"/>
      <c r="H279" s="18" t="inlineStr"/>
      <c r="I279" s="20" t="inlineStr">
        <is>
          <t>CESAR DE MEDEIROS NEVES</t>
        </is>
      </c>
      <c r="J279" s="20" t="inlineStr">
        <is>
          <t>Administrador</t>
        </is>
      </c>
      <c r="K279" s="20" t="inlineStr">
        <is>
          <t>(41) 3071-9000</t>
        </is>
      </c>
      <c r="L279" s="20" t="inlineStr"/>
      <c r="M279" s="20" t="inlineStr"/>
      <c r="N279" s="20" t="inlineStr"/>
      <c r="O279" s="20" t="inlineStr"/>
      <c r="P279" s="20" t="inlineStr">
        <is>
          <t>DANIEL D ANDREA</t>
        </is>
      </c>
      <c r="Q279" s="20" t="inlineStr">
        <is>
          <t>Administrador</t>
        </is>
      </c>
      <c r="R279" s="20" t="inlineStr">
        <is>
          <t>(41) 3071-9000</t>
        </is>
      </c>
      <c r="S279" s="20" t="inlineStr"/>
      <c r="T279" s="21" t="n">
        <v>505000</v>
      </c>
      <c r="U279" s="22" t="inlineStr">
        <is>
          <t>B</t>
        </is>
      </c>
      <c r="V279" s="23">
        <f>IFERROR(VLOOKUP(U279,Assumptions!$A$7:$D$11,2,FALSE),0)</f>
        <v/>
      </c>
      <c r="W279" s="24">
        <f>MAX(0.5,IFERROR(VLOOKUP(U279,Assumptions!$A$7:$D$11,3,FALSE),3)+IFERROR(VLOOKUP(U279,Assumptions!$A$7:$D$11,4,FALSE),8)/2-IF(AN279="",0,YEAR(TODAY())-AN279))</f>
        <v/>
      </c>
      <c r="X279" s="21">
        <f>T279*V279/(1+Assumptions!$B$3)^W279</f>
        <v/>
      </c>
      <c r="Y279" s="25">
        <f>IF(T279=0,"",ROUND(X279/T279*100,1))</f>
        <v/>
      </c>
      <c r="Z279" s="26">
        <f>X279*Assumptions!$B$4</f>
        <v/>
      </c>
      <c r="AA279" s="25">
        <f>IF(T279=0,"",ROUND(Z279/T279*100,1))</f>
        <v/>
      </c>
      <c r="AB279" s="26">
        <f>X279-Z279</f>
        <v/>
      </c>
      <c r="AC279" s="25">
        <f>IF(T279=0,"",ROUND((X279-Z279)/T279*100,1))</f>
        <v/>
      </c>
      <c r="AD279" s="27" t="inlineStr">
        <is>
          <t>ESTIMATED</t>
        </is>
      </c>
      <c r="AE279" s="28" t="inlineStr">
        <is>
          <t>https://scalzilliaj.com.br/sgc/download.php?file=files/processo_documento/processo_documento15542620022025_1_.pdf&amp;nome=11 - Relação de credores - art. 7º, §2º, da LREF</t>
        </is>
      </c>
      <c r="AF279" s="27" t="inlineStr">
        <is>
          <t>p1 r16</t>
        </is>
      </c>
      <c r="AG279" s="27" t="inlineStr">
        <is>
          <t>p1: R$ 505.000,00</t>
        </is>
      </c>
      <c r="AH279" s="27" t="inlineStr">
        <is>
          <t>AJ_LIST</t>
        </is>
      </c>
      <c r="AI279" s="27" t="inlineStr">
        <is>
          <t>2025-02-19</t>
        </is>
      </c>
      <c r="AJ279" s="27" t="inlineStr">
        <is>
          <t>OK_NO_TOTALS</t>
        </is>
      </c>
      <c r="AK279" s="29" t="inlineStr">
        <is>
          <t>0028131-73.2024.8.16.0017</t>
        </is>
      </c>
      <c r="AL279" s="29" t="inlineStr">
        <is>
          <t>TJPR</t>
        </is>
      </c>
      <c r="AM279" s="29" t="inlineStr">
        <is>
          <t>ACTIVE</t>
        </is>
      </c>
      <c r="AN279" s="29" t="n">
        <v>2024</v>
      </c>
      <c r="AO279" s="29" t="inlineStr">
        <is>
          <t>live case, no plan document yet</t>
        </is>
      </c>
      <c r="AP279" s="29" t="inlineStr">
        <is>
          <t>CURITIBA</t>
        </is>
      </c>
      <c r="AQ279" s="29" t="inlineStr">
        <is>
          <t>PR</t>
        </is>
      </c>
      <c r="AR279" s="29" t="inlineStr">
        <is>
          <t>Comércio atacadista de defensivos agrícolas, adubos, fertilizantes e corretivos do solo</t>
        </is>
      </c>
      <c r="AS279" s="29" t="inlineStr">
        <is>
          <t>DEMAIS</t>
        </is>
      </c>
      <c r="AT279" s="29" t="inlineStr">
        <is>
          <t>LARGE CORP</t>
        </is>
      </c>
      <c r="AU279" s="29" t="inlineStr">
        <is>
          <t>10409614</t>
        </is>
      </c>
      <c r="AV279" s="29" t="n">
        <v>1</v>
      </c>
      <c r="AW279" s="29" t="inlineStr">
        <is>
          <t>ROWS:p1r16 UNRECONCILED_SOURCE</t>
        </is>
      </c>
    </row>
    <row r="280">
      <c r="A280" s="15" t="inlineStr">
        <is>
          <t>CRISTAL MASTER INDUSTRIA E COMERCIO LTDA</t>
        </is>
      </c>
      <c r="B280" s="16" t="n">
        <v>403317.43</v>
      </c>
      <c r="C280" s="17" t="inlineStr">
        <is>
          <t>CRISTAL MASTER INDUSTRIA E COMERCIO LTDA</t>
        </is>
      </c>
      <c r="D280" s="18" t="inlineStr">
        <is>
          <t>NEW</t>
        </is>
      </c>
      <c r="E280" s="19" t="inlineStr"/>
      <c r="F280" s="18" t="inlineStr"/>
      <c r="G280" s="19" t="inlineStr"/>
      <c r="H280" s="18" t="inlineStr"/>
      <c r="I280" s="20" t="inlineStr">
        <is>
          <t>Luciana Santos</t>
        </is>
      </c>
      <c r="J280" s="20" t="inlineStr">
        <is>
          <t>Controller</t>
        </is>
      </c>
      <c r="K280" s="20" t="inlineStr">
        <is>
          <t>(47) 3451-5030</t>
        </is>
      </c>
      <c r="L280" s="20" t="inlineStr"/>
      <c r="M280" s="20" t="inlineStr"/>
      <c r="N280" s="20" t="inlineStr">
        <is>
          <t>luciana.reinert@cristalmaster.com.br</t>
        </is>
      </c>
      <c r="O280" s="20" t="inlineStr"/>
      <c r="P280" s="20" t="inlineStr">
        <is>
          <t>Luiz Santos</t>
        </is>
      </c>
      <c r="Q280" s="20" t="inlineStr">
        <is>
          <t>Director</t>
        </is>
      </c>
      <c r="R280" s="20" t="inlineStr"/>
      <c r="S280" s="20" t="inlineStr"/>
      <c r="T280" s="21" t="n">
        <v>403317.43</v>
      </c>
      <c r="U280" s="22" t="inlineStr">
        <is>
          <t>B</t>
        </is>
      </c>
      <c r="V280" s="23">
        <f>IFERROR(VLOOKUP(U280,Assumptions!$A$7:$D$11,2,FALSE),0)</f>
        <v/>
      </c>
      <c r="W280" s="24">
        <f>MAX(0.5,IFERROR(VLOOKUP(U280,Assumptions!$A$7:$D$11,3,FALSE),3)+IFERROR(VLOOKUP(U280,Assumptions!$A$7:$D$11,4,FALSE),8)/2-IF(AN280="",0,YEAR(TODAY())-AN280))</f>
        <v/>
      </c>
      <c r="X280" s="21">
        <f>T280*V280/(1+Assumptions!$B$3)^W280</f>
        <v/>
      </c>
      <c r="Y280" s="25">
        <f>IF(T280=0,"",ROUND(X280/T280*100,1))</f>
        <v/>
      </c>
      <c r="Z280" s="26">
        <f>X280*Assumptions!$B$4</f>
        <v/>
      </c>
      <c r="AA280" s="25">
        <f>IF(T280=0,"",ROUND(Z280/T280*100,1))</f>
        <v/>
      </c>
      <c r="AB280" s="26">
        <f>X280-Z280</f>
        <v/>
      </c>
      <c r="AC280" s="25">
        <f>IF(T280=0,"",ROUND((X280-Z280)/T280*100,1))</f>
        <v/>
      </c>
      <c r="AD280" s="27" t="inlineStr">
        <is>
          <t>ESTIMATED</t>
        </is>
      </c>
      <c r="AE280" s="28" t="inlineStr">
        <is>
          <t>https://ajruiz.com.br/sites/default/files/public/arquivos-processos/2026-08/qgc_azeplast_julho_2026.pdf</t>
        </is>
      </c>
      <c r="AF280" s="27" t="inlineStr">
        <is>
          <t>p1 r21</t>
        </is>
      </c>
      <c r="AG280" s="27" t="inlineStr">
        <is>
          <t>p1: R$ 403.317,43</t>
        </is>
      </c>
      <c r="AH280" s="27" t="inlineStr">
        <is>
          <t>QGC</t>
        </is>
      </c>
      <c r="AI280" s="27" t="inlineStr"/>
      <c r="AJ280" s="27" t="inlineStr">
        <is>
          <t>QUARANTINED</t>
        </is>
      </c>
      <c r="AK280" s="29" t="inlineStr">
        <is>
          <t>5008793-34.2023.8.24.0019</t>
        </is>
      </c>
      <c r="AL280" s="29" t="inlineStr">
        <is>
          <t>TJSC</t>
        </is>
      </c>
      <c r="AM280" s="29" t="inlineStr">
        <is>
          <t>ACTIVE</t>
        </is>
      </c>
      <c r="AN280" s="29" t="n">
        <v>2023</v>
      </c>
      <c r="AO280" s="29" t="inlineStr">
        <is>
          <t>live case, no plan document yet</t>
        </is>
      </c>
      <c r="AP280" s="29" t="inlineStr">
        <is>
          <t>JOINVILLE</t>
        </is>
      </c>
      <c r="AQ280" s="29" t="inlineStr">
        <is>
          <t>SC</t>
        </is>
      </c>
      <c r="AR280" s="29" t="inlineStr">
        <is>
          <t>Fabricação de artefatos de material plástico para outros usos não especificados anteriormente</t>
        </is>
      </c>
      <c r="AS280" s="29" t="inlineStr">
        <is>
          <t>DEMAIS</t>
        </is>
      </c>
      <c r="AT280" s="29" t="inlineStr">
        <is>
          <t>MID-MARKET</t>
        </is>
      </c>
      <c r="AU280" s="29" t="inlineStr">
        <is>
          <t>05378317</t>
        </is>
      </c>
      <c r="AV280" s="29" t="n">
        <v>1</v>
      </c>
      <c r="AW280" s="29" t="inlineStr">
        <is>
          <t>PARTIAL_DOC_CLASS_III_RECONCILED ROWS:p1r21</t>
        </is>
      </c>
    </row>
    <row r="281">
      <c r="A281" s="15" t="inlineStr">
        <is>
          <t>MC-JU INDUSTRIA E COMERCIO DE CONFECCOES LTDA EM RECUPERACAO JUDICIAL</t>
        </is>
      </c>
      <c r="B281" s="16" t="n">
        <v>322411.79</v>
      </c>
      <c r="C281" s="17" t="inlineStr">
        <is>
          <t>R W CONSTRUCOES LTDA</t>
        </is>
      </c>
      <c r="D281" s="18" t="inlineStr">
        <is>
          <t>NEW</t>
        </is>
      </c>
      <c r="E281" s="19" t="inlineStr"/>
      <c r="F281" s="18" t="inlineStr"/>
      <c r="G281" s="19" t="inlineStr"/>
      <c r="H281" s="18" t="inlineStr"/>
      <c r="I281" s="20" t="inlineStr">
        <is>
          <t>MARCELO KOHLER</t>
        </is>
      </c>
      <c r="J281" s="20" t="inlineStr">
        <is>
          <t>Sócio-Administrador</t>
        </is>
      </c>
      <c r="K281" s="20" t="inlineStr">
        <is>
          <t>(47) 3354-0377</t>
        </is>
      </c>
      <c r="L281" s="20" t="inlineStr"/>
      <c r="M281" s="20" t="inlineStr"/>
      <c r="N281" s="20" t="inlineStr"/>
      <c r="O281" s="20" t="inlineStr"/>
      <c r="P281" s="20" t="inlineStr"/>
      <c r="Q281" s="20" t="inlineStr"/>
      <c r="R281" s="20" t="inlineStr"/>
      <c r="S281" s="20" t="inlineStr"/>
      <c r="T281" s="21" t="n">
        <v>322411.79</v>
      </c>
      <c r="U281" s="22" t="inlineStr">
        <is>
          <t>B</t>
        </is>
      </c>
      <c r="V281" s="23">
        <f>IFERROR(VLOOKUP(U281,Assumptions!$A$7:$D$11,2,FALSE),0)</f>
        <v/>
      </c>
      <c r="W281" s="24">
        <f>MAX(0.5,IFERROR(VLOOKUP(U281,Assumptions!$A$7:$D$11,3,FALSE),3)+IFERROR(VLOOKUP(U281,Assumptions!$A$7:$D$11,4,FALSE),8)/2-IF(AN281="",0,YEAR(TODAY())-AN281))</f>
        <v/>
      </c>
      <c r="X281" s="21">
        <f>T281*V281/(1+Assumptions!$B$3)^W281</f>
        <v/>
      </c>
      <c r="Y281" s="25">
        <f>IF(T281=0,"",ROUND(X281/T281*100,1))</f>
        <v/>
      </c>
      <c r="Z281" s="26">
        <f>X281*Assumptions!$B$4</f>
        <v/>
      </c>
      <c r="AA281" s="25">
        <f>IF(T281=0,"",ROUND(Z281/T281*100,1))</f>
        <v/>
      </c>
      <c r="AB281" s="26">
        <f>X281-Z281</f>
        <v/>
      </c>
      <c r="AC281" s="25">
        <f>IF(T281=0,"",ROUND((X281-Z281)/T281*100,1))</f>
        <v/>
      </c>
      <c r="AD281" s="27" t="inlineStr">
        <is>
          <t>ESTIMATED</t>
        </is>
      </c>
      <c r="AE281" s="28" t="inlineStr">
        <is>
          <t>https://lrflideres.com.br/wp-content/plugins/download-attachments/includes/download.php?id=4023</t>
        </is>
      </c>
      <c r="AF281" s="27" t="inlineStr">
        <is>
          <t>p4 r88; p7 r112; p9 r85</t>
        </is>
      </c>
      <c r="AG281" s="27" t="inlineStr">
        <is>
          <t>p4: R$ 49.601,55; p7: R$ 224.858,54; p9: R$ 47.951,70</t>
        </is>
      </c>
      <c r="AH281" s="27" t="inlineStr">
        <is>
          <t>DEBTOR_LIST</t>
        </is>
      </c>
      <c r="AI281" s="27" t="inlineStr"/>
      <c r="AJ281" s="27" t="inlineStr">
        <is>
          <t>QUARANTINED</t>
        </is>
      </c>
      <c r="AK281" s="29" t="inlineStr">
        <is>
          <t>0002484-82.2022.8.17.2001</t>
        </is>
      </c>
      <c r="AL281" s="29" t="inlineStr">
        <is>
          <t>TJPE</t>
        </is>
      </c>
      <c r="AM281" s="29" t="inlineStr">
        <is>
          <t>ACTIVE</t>
        </is>
      </c>
      <c r="AN281" s="29" t="n">
        <v>2022</v>
      </c>
      <c r="AO281" s="29" t="inlineStr">
        <is>
          <t>live case, no plan document yet</t>
        </is>
      </c>
      <c r="AP281" s="29" t="inlineStr">
        <is>
          <t>GUABIRUBA</t>
        </is>
      </c>
      <c r="AQ281" s="29" t="inlineStr">
        <is>
          <t>SC</t>
        </is>
      </c>
      <c r="AR281" s="29" t="inlineStr">
        <is>
          <t>Confecção de peças de vestuário, exceto roupas íntimas e as confeccionadas sob medida</t>
        </is>
      </c>
      <c r="AS281" s="29" t="inlineStr">
        <is>
          <t>DEMAIS</t>
        </is>
      </c>
      <c r="AT281" s="29" t="inlineStr">
        <is>
          <t>MID-MARKET</t>
        </is>
      </c>
      <c r="AU281" s="29" t="inlineStr">
        <is>
          <t>83201111</t>
        </is>
      </c>
      <c r="AV281" s="29" t="n">
        <v>3</v>
      </c>
      <c r="AW281" s="29" t="inlineStr">
        <is>
          <t>PARTIAL_DOC_CLASS_III_RECONCILED ROWS:p4r88,p7r112,p9r85</t>
        </is>
      </c>
    </row>
    <row r="282">
      <c r="A282" s="15" t="inlineStr">
        <is>
          <t>POLIMIX CONCRETO LTDA</t>
        </is>
      </c>
      <c r="B282" s="16" t="n">
        <v>502157.63</v>
      </c>
      <c r="C282" s="17" t="inlineStr">
        <is>
          <t>IMOBI DESENVOLVIMENTO URBANO LTDA - EM RECUPERACAO JUDICIAL</t>
        </is>
      </c>
      <c r="D282" s="18" t="inlineStr">
        <is>
          <t>NEW</t>
        </is>
      </c>
      <c r="E282" s="19" t="inlineStr"/>
      <c r="F282" s="18" t="inlineStr"/>
      <c r="G282" s="19" t="inlineStr"/>
      <c r="H282" s="18" t="inlineStr"/>
      <c r="I282" s="20" t="inlineStr">
        <is>
          <t>ALCINDO ANTONIO CHRUSCIELSKI</t>
        </is>
      </c>
      <c r="J282" s="20" t="inlineStr">
        <is>
          <t>Administrador</t>
        </is>
      </c>
      <c r="K282" s="20" t="inlineStr">
        <is>
          <t>(11) 4168-0300</t>
        </is>
      </c>
      <c r="L282" s="20" t="inlineStr"/>
      <c r="M282" s="20" t="inlineStr"/>
      <c r="N282" s="20" t="inlineStr"/>
      <c r="O282" s="20" t="inlineStr"/>
      <c r="P282" s="20" t="inlineStr">
        <is>
          <t>ANDERSON JOSE MESSIAS</t>
        </is>
      </c>
      <c r="Q282" s="20" t="inlineStr">
        <is>
          <t>Administrador</t>
        </is>
      </c>
      <c r="R282" s="20" t="inlineStr">
        <is>
          <t>(11) 4168-0300</t>
        </is>
      </c>
      <c r="S282" s="20" t="inlineStr"/>
      <c r="T282" s="21" t="n">
        <v>502157.63</v>
      </c>
      <c r="U282" s="22" t="inlineStr">
        <is>
          <t>B</t>
        </is>
      </c>
      <c r="V282" s="23">
        <f>IFERROR(VLOOKUP(U282,Assumptions!$A$7:$D$11,2,FALSE),0)</f>
        <v/>
      </c>
      <c r="W282" s="24">
        <f>MAX(0.5,IFERROR(VLOOKUP(U282,Assumptions!$A$7:$D$11,3,FALSE),3)+IFERROR(VLOOKUP(U282,Assumptions!$A$7:$D$11,4,FALSE),8)/2-IF(AN282="",0,YEAR(TODAY())-AN282))</f>
        <v/>
      </c>
      <c r="X282" s="21">
        <f>T282*V282/(1+Assumptions!$B$3)^W282</f>
        <v/>
      </c>
      <c r="Y282" s="25">
        <f>IF(T282=0,"",ROUND(X282/T282*100,1))</f>
        <v/>
      </c>
      <c r="Z282" s="26">
        <f>X282*Assumptions!$B$4</f>
        <v/>
      </c>
      <c r="AA282" s="25">
        <f>IF(T282=0,"",ROUND(Z282/T282*100,1))</f>
        <v/>
      </c>
      <c r="AB282" s="26">
        <f>X282-Z282</f>
        <v/>
      </c>
      <c r="AC282" s="25">
        <f>IF(T282=0,"",ROUND((X282-Z282)/T282*100,1))</f>
        <v/>
      </c>
      <c r="AD282" s="27" t="inlineStr">
        <is>
          <t>ESTIMATED</t>
        </is>
      </c>
      <c r="AE282" s="28" t="inlineStr">
        <is>
          <t>https://lrflideres.com.br/wp-content/plugins/download-attachments/includes/download.php?id=6273</t>
        </is>
      </c>
      <c r="AF282" s="27" t="inlineStr">
        <is>
          <t>p6 r17; p6 r18</t>
        </is>
      </c>
      <c r="AG282" s="27" t="inlineStr">
        <is>
          <t>p6: R$ 36.287,92; p6: R$ 465.869,71</t>
        </is>
      </c>
      <c r="AH282" s="27" t="inlineStr">
        <is>
          <t>AJ_LIST</t>
        </is>
      </c>
      <c r="AI282" s="27" t="inlineStr">
        <is>
          <t>2024-11-14</t>
        </is>
      </c>
      <c r="AJ282" s="27" t="inlineStr">
        <is>
          <t>OK</t>
        </is>
      </c>
      <c r="AK282" s="29" t="inlineStr">
        <is>
          <t>0074500-63.2024.8.17.2001</t>
        </is>
      </c>
      <c r="AL282" s="29" t="inlineStr">
        <is>
          <t>TJPE</t>
        </is>
      </c>
      <c r="AM282" s="29" t="inlineStr">
        <is>
          <t>ACTIVE</t>
        </is>
      </c>
      <c r="AN282" s="29" t="n">
        <v>2024</v>
      </c>
      <c r="AO282" s="29" t="inlineStr">
        <is>
          <t>live case, no plan document yet</t>
        </is>
      </c>
      <c r="AP282" s="29" t="inlineStr">
        <is>
          <t>SANTANA DE PARNAIBA</t>
        </is>
      </c>
      <c r="AQ282" s="29" t="inlineStr">
        <is>
          <t>SP</t>
        </is>
      </c>
      <c r="AR282" s="29" t="inlineStr">
        <is>
          <t>Serviços combinados de escritório e apoio administrativo</t>
        </is>
      </c>
      <c r="AS282" s="29" t="inlineStr">
        <is>
          <t>DEMAIS</t>
        </is>
      </c>
      <c r="AT282" s="29" t="inlineStr">
        <is>
          <t>LARGE CORP</t>
        </is>
      </c>
      <c r="AU282" s="29" t="inlineStr">
        <is>
          <t>29067113</t>
        </is>
      </c>
      <c r="AV282" s="29" t="n">
        <v>2</v>
      </c>
      <c r="AW282" s="29" t="inlineStr">
        <is>
          <t>ROWS:p6r17,p6r18</t>
        </is>
      </c>
    </row>
    <row r="283">
      <c r="A283" s="15" t="inlineStr">
        <is>
          <t>LOTEX TEXTIL LTDA</t>
        </is>
      </c>
      <c r="B283" s="16" t="n">
        <v>459317.41</v>
      </c>
      <c r="C283" s="17" t="inlineStr"/>
      <c r="D283" s="18" t="inlineStr">
        <is>
          <t>NEW</t>
        </is>
      </c>
      <c r="E283" s="19" t="inlineStr"/>
      <c r="F283" s="18" t="inlineStr"/>
      <c r="G283" s="19" t="inlineStr"/>
      <c r="H283" s="18" t="inlineStr"/>
      <c r="I283" s="20" t="inlineStr">
        <is>
          <t>ELEMAR LOTH</t>
        </is>
      </c>
      <c r="J283" s="20" t="inlineStr">
        <is>
          <t>Sócio-Administrador</t>
        </is>
      </c>
      <c r="K283" s="20" t="inlineStr">
        <is>
          <t>(47) 3055-0027</t>
        </is>
      </c>
      <c r="L283" s="20" t="inlineStr">
        <is>
          <t>(47) 3055-0817</t>
        </is>
      </c>
      <c r="M283" s="20" t="inlineStr"/>
      <c r="N283" s="20" t="inlineStr"/>
      <c r="O283" s="20" t="inlineStr"/>
      <c r="P283" s="20" t="inlineStr"/>
      <c r="Q283" s="20" t="inlineStr"/>
      <c r="R283" s="20" t="inlineStr"/>
      <c r="S283" s="20" t="inlineStr"/>
      <c r="T283" s="21" t="n">
        <v>459317.41</v>
      </c>
      <c r="U283" s="31" t="inlineStr">
        <is>
          <t>C</t>
        </is>
      </c>
      <c r="V283" s="23">
        <f>IFERROR(VLOOKUP(U283,Assumptions!$A$7:$D$11,2,FALSE),0)</f>
        <v/>
      </c>
      <c r="W283" s="24">
        <f>MAX(0.5,IFERROR(VLOOKUP(U283,Assumptions!$A$7:$D$11,3,FALSE),3)+IFERROR(VLOOKUP(U283,Assumptions!$A$7:$D$11,4,FALSE),8)/2-IF(AN283="",0,YEAR(TODAY())-AN283))</f>
        <v/>
      </c>
      <c r="X283" s="21">
        <f>T283*V283/(1+Assumptions!$B$3)^W283</f>
        <v/>
      </c>
      <c r="Y283" s="25">
        <f>IF(T283=0,"",ROUND(X283/T283*100,1))</f>
        <v/>
      </c>
      <c r="Z283" s="26">
        <f>X283*Assumptions!$B$4</f>
        <v/>
      </c>
      <c r="AA283" s="25">
        <f>IF(T283=0,"",ROUND(Z283/T283*100,1))</f>
        <v/>
      </c>
      <c r="AB283" s="26">
        <f>X283-Z283</f>
        <v/>
      </c>
      <c r="AC283" s="25">
        <f>IF(T283=0,"",ROUND((X283-Z283)/T283*100,1))</f>
        <v/>
      </c>
      <c r="AD283" s="27" t="inlineStr">
        <is>
          <t>UNKNOWN</t>
        </is>
      </c>
      <c r="AE283" s="28" t="inlineStr">
        <is>
          <t>https://administradorajudicialgs.com.br/wp-content/uploads/2024/12/relacao-de-credores-da-falida.pdf</t>
        </is>
      </c>
      <c r="AF283" s="27" t="inlineStr">
        <is>
          <t>p16 r17</t>
        </is>
      </c>
      <c r="AG283" s="27" t="inlineStr">
        <is>
          <t>p16: R$ 459.317,41</t>
        </is>
      </c>
      <c r="AH283" s="27" t="inlineStr">
        <is>
          <t>UNKNOWN</t>
        </is>
      </c>
      <c r="AI283" s="27" t="inlineStr">
        <is>
          <t>2025-03-25</t>
        </is>
      </c>
      <c r="AJ283" s="27" t="inlineStr">
        <is>
          <t>OK_NO_TOTALS</t>
        </is>
      </c>
      <c r="AK283" s="29" t="inlineStr">
        <is>
          <t>0005010-50.2013.8.24.0026</t>
        </is>
      </c>
      <c r="AL283" s="29" t="inlineStr">
        <is>
          <t>TJ</t>
        </is>
      </c>
      <c r="AM283" s="29" t="inlineStr"/>
      <c r="AN283" s="29" t="n">
        <v>2013</v>
      </c>
      <c r="AO283" s="29" t="inlineStr">
        <is>
          <t>13y since filing, no plan document</t>
        </is>
      </c>
      <c r="AP283" s="29" t="inlineStr">
        <is>
          <t>JARAGUA DO SUL</t>
        </is>
      </c>
      <c r="AQ283" s="29" t="inlineStr">
        <is>
          <t>SC</t>
        </is>
      </c>
      <c r="AR283" s="29" t="inlineStr">
        <is>
          <t>Fabricação de outros produtos têxteis não especificados anteriormente</t>
        </is>
      </c>
      <c r="AS283" s="29" t="inlineStr">
        <is>
          <t>MICRO EMPRESA</t>
        </is>
      </c>
      <c r="AT283" s="29" t="inlineStr">
        <is>
          <t>SMALL</t>
        </is>
      </c>
      <c r="AU283" s="29" t="inlineStr">
        <is>
          <t>09454490</t>
        </is>
      </c>
      <c r="AV283" s="29" t="n">
        <v>1</v>
      </c>
      <c r="AW283" s="29" t="inlineStr">
        <is>
          <t>ROWS:p16r17 UNRECONCILED_SOURCE</t>
        </is>
      </c>
    </row>
    <row r="284">
      <c r="A284" s="15" t="inlineStr">
        <is>
          <t>GAZIN INDUSTRIA E COMERCIO DE MOVEIS E ELETRODOMESTICOS S.A</t>
        </is>
      </c>
      <c r="B284" s="16" t="n">
        <v>641648.34</v>
      </c>
      <c r="C284" s="17" t="inlineStr">
        <is>
          <t>aludida empresa</t>
        </is>
      </c>
      <c r="D284" s="18" t="inlineStr">
        <is>
          <t>NEW</t>
        </is>
      </c>
      <c r="E284" s="19" t="inlineStr"/>
      <c r="F284" s="18" t="inlineStr"/>
      <c r="G284" s="19" t="inlineStr"/>
      <c r="H284" s="18" t="inlineStr"/>
      <c r="I284" s="20" t="inlineStr">
        <is>
          <t>Natanael Estevao</t>
        </is>
      </c>
      <c r="J284" s="20" t="inlineStr">
        <is>
          <t>Gerente de Crédito e Cobrança PJ</t>
        </is>
      </c>
      <c r="K284" s="20" t="inlineStr">
        <is>
          <t>(44) 3663-8000</t>
        </is>
      </c>
      <c r="L284" s="20" t="inlineStr">
        <is>
          <t>(44) 3663-8000</t>
        </is>
      </c>
      <c r="M284" s="20" t="inlineStr"/>
      <c r="N284" s="20" t="inlineStr">
        <is>
          <t>natanael.estevao@gazin.com.br</t>
        </is>
      </c>
      <c r="O284" s="20" t="inlineStr">
        <is>
          <t>fernando.graci@gazin.com.br</t>
        </is>
      </c>
      <c r="P284" s="20" t="inlineStr">
        <is>
          <t>Fernando Graci</t>
        </is>
      </c>
      <c r="Q284" s="20" t="inlineStr">
        <is>
          <t>Controller</t>
        </is>
      </c>
      <c r="R284" s="20" t="inlineStr"/>
      <c r="S284" s="20" t="inlineStr">
        <is>
          <t>fernando.graci@gazin.com.br</t>
        </is>
      </c>
      <c r="T284" s="21" t="n">
        <v>641648.34</v>
      </c>
      <c r="U284" s="31" t="inlineStr">
        <is>
          <t>C</t>
        </is>
      </c>
      <c r="V284" s="23">
        <f>IFERROR(VLOOKUP(U284,Assumptions!$A$7:$D$11,2,FALSE),0)</f>
        <v/>
      </c>
      <c r="W284" s="24">
        <f>MAX(0.5,IFERROR(VLOOKUP(U284,Assumptions!$A$7:$D$11,3,FALSE),3)+IFERROR(VLOOKUP(U284,Assumptions!$A$7:$D$11,4,FALSE),8)/2-IF(AN284="",0,YEAR(TODAY())-AN284))</f>
        <v/>
      </c>
      <c r="X284" s="21">
        <f>T284*V284/(1+Assumptions!$B$3)^W284</f>
        <v/>
      </c>
      <c r="Y284" s="25">
        <f>IF(T284=0,"",ROUND(X284/T284*100,1))</f>
        <v/>
      </c>
      <c r="Z284" s="26">
        <f>X284*Assumptions!$B$4</f>
        <v/>
      </c>
      <c r="AA284" s="25">
        <f>IF(T284=0,"",ROUND(Z284/T284*100,1))</f>
        <v/>
      </c>
      <c r="AB284" s="26">
        <f>X284-Z284</f>
        <v/>
      </c>
      <c r="AC284" s="25">
        <f>IF(T284=0,"",ROUND((X284-Z284)/T284*100,1))</f>
        <v/>
      </c>
      <c r="AD284" s="27" t="inlineStr">
        <is>
          <t>ESTIMATED</t>
        </is>
      </c>
      <c r="AE284" s="28" t="inlineStr">
        <is>
          <t>https://recuperacaojudicial.squarespace.com/s/RJ-Credimoveis-QGC-01082025.pdf</t>
        </is>
      </c>
      <c r="AF284" s="27" t="inlineStr">
        <is>
          <t>p15 r46</t>
        </is>
      </c>
      <c r="AG284" s="27" t="inlineStr">
        <is>
          <t>p15: R$ 641.648,34</t>
        </is>
      </c>
      <c r="AH284" s="27" t="inlineStr">
        <is>
          <t>QGC</t>
        </is>
      </c>
      <c r="AI284" s="27" t="inlineStr">
        <is>
          <t>2026-01-28</t>
        </is>
      </c>
      <c r="AJ284" s="27" t="inlineStr">
        <is>
          <t>OK</t>
        </is>
      </c>
      <c r="AK284" s="29" t="inlineStr">
        <is>
          <t>0007565-40.2020.8.17.2370</t>
        </is>
      </c>
      <c r="AL284" s="29" t="inlineStr">
        <is>
          <t>TJPE</t>
        </is>
      </c>
      <c r="AM284" s="29" t="inlineStr">
        <is>
          <t>ACTIVE</t>
        </is>
      </c>
      <c r="AN284" s="29" t="n">
        <v>2020</v>
      </c>
      <c r="AO284" s="29" t="inlineStr">
        <is>
          <t>6y since filing, no plan document</t>
        </is>
      </c>
      <c r="AP284" s="29" t="inlineStr">
        <is>
          <t>DOURADINA</t>
        </is>
      </c>
      <c r="AQ284" s="29" t="inlineStr">
        <is>
          <t>PR</t>
        </is>
      </c>
      <c r="AR284" s="29" t="inlineStr">
        <is>
          <t>Comércio varejista especializado de eletrodomésticos e equipamentos de áudio e vídeo</t>
        </is>
      </c>
      <c r="AS284" s="29" t="inlineStr">
        <is>
          <t>DEMAIS</t>
        </is>
      </c>
      <c r="AT284" s="29" t="inlineStr">
        <is>
          <t>LARGE CORP</t>
        </is>
      </c>
      <c r="AU284" s="29" t="inlineStr">
        <is>
          <t>77941490</t>
        </is>
      </c>
      <c r="AV284" s="29" t="n">
        <v>1</v>
      </c>
      <c r="AW284" s="29" t="inlineStr">
        <is>
          <t>ROWS:p15r46</t>
        </is>
      </c>
    </row>
    <row r="285">
      <c r="A285" s="15" t="inlineStr">
        <is>
          <t>GIANNINI S/A EM RECUPERACAO JUDICIAL</t>
        </is>
      </c>
      <c r="B285" s="16" t="n">
        <v>498422</v>
      </c>
      <c r="C285" s="17" t="inlineStr">
        <is>
          <t>ATIVOS ADMINISTRAÇÃO JUDICIA</t>
        </is>
      </c>
      <c r="D285" s="18" t="inlineStr">
        <is>
          <t>NEW</t>
        </is>
      </c>
      <c r="E285" s="19" t="inlineStr"/>
      <c r="F285" s="18" t="inlineStr"/>
      <c r="G285" s="19" t="inlineStr"/>
      <c r="H285" s="18" t="inlineStr"/>
      <c r="I285" s="20" t="inlineStr">
        <is>
          <t>ROBERTO COEN GIANNINI</t>
        </is>
      </c>
      <c r="J285" s="20" t="inlineStr">
        <is>
          <t>Presidente</t>
        </is>
      </c>
      <c r="K285" s="20" t="inlineStr">
        <is>
          <t>000000000000</t>
        </is>
      </c>
      <c r="L285" s="20" t="inlineStr"/>
      <c r="M285" s="20" t="inlineStr"/>
      <c r="N285" s="20" t="inlineStr"/>
      <c r="O285" s="20" t="inlineStr"/>
      <c r="P285" s="20" t="inlineStr">
        <is>
          <t>FLAVIO COEN GIANNINI</t>
        </is>
      </c>
      <c r="Q285" s="20" t="inlineStr">
        <is>
          <t>Diretor</t>
        </is>
      </c>
      <c r="R285" s="20" t="inlineStr">
        <is>
          <t>000000000000</t>
        </is>
      </c>
      <c r="S285" s="20" t="inlineStr"/>
      <c r="T285" s="21" t="n">
        <v>498422</v>
      </c>
      <c r="U285" s="22" t="inlineStr">
        <is>
          <t>B</t>
        </is>
      </c>
      <c r="V285" s="23">
        <f>IFERROR(VLOOKUP(U285,Assumptions!$A$7:$D$11,2,FALSE),0)</f>
        <v/>
      </c>
      <c r="W285" s="24">
        <f>MAX(0.5,IFERROR(VLOOKUP(U285,Assumptions!$A$7:$D$11,3,FALSE),3)+IFERROR(VLOOKUP(U285,Assumptions!$A$7:$D$11,4,FALSE),8)/2-IF(AN285="",0,YEAR(TODAY())-AN285))</f>
        <v/>
      </c>
      <c r="X285" s="21">
        <f>T285*V285/(1+Assumptions!$B$3)^W285</f>
        <v/>
      </c>
      <c r="Y285" s="25">
        <f>IF(T285=0,"",ROUND(X285/T285*100,1))</f>
        <v/>
      </c>
      <c r="Z285" s="26">
        <f>X285*Assumptions!$B$4</f>
        <v/>
      </c>
      <c r="AA285" s="25">
        <f>IF(T285=0,"",ROUND(Z285/T285*100,1))</f>
        <v/>
      </c>
      <c r="AB285" s="26">
        <f>X285-Z285</f>
        <v/>
      </c>
      <c r="AC285" s="25">
        <f>IF(T285=0,"",ROUND((X285-Z285)/T285*100,1))</f>
        <v/>
      </c>
      <c r="AD285" s="27" t="inlineStr">
        <is>
          <t>ESTIMATED</t>
        </is>
      </c>
      <c r="AE285" s="28" t="inlineStr">
        <is>
          <t>https://ativosajce.com.br/admin/download.php?file=files/processo_documento/processo_documento18543908052025_1_.pdf&amp;nome=Relação de Credores - art. 52, §1º da Lei 11.101/05 - 27/01/2025</t>
        </is>
      </c>
      <c r="AF285" s="27" t="inlineStr">
        <is>
          <t>p3 r18</t>
        </is>
      </c>
      <c r="AG285" s="27" t="inlineStr">
        <is>
          <t>p3: R$ 498.422,00</t>
        </is>
      </c>
      <c r="AH285" s="27" t="inlineStr">
        <is>
          <t>UNKNOWN</t>
        </is>
      </c>
      <c r="AI285" s="27" t="inlineStr"/>
      <c r="AJ285" s="27" t="inlineStr">
        <is>
          <t>OK_NO_TOTALS</t>
        </is>
      </c>
      <c r="AK285" s="29" t="inlineStr">
        <is>
          <t>1001174-80.2024.8.26.0359</t>
        </is>
      </c>
      <c r="AL285" s="29" t="inlineStr">
        <is>
          <t>TJSP</t>
        </is>
      </c>
      <c r="AM285" s="29" t="inlineStr">
        <is>
          <t>ACTIVE</t>
        </is>
      </c>
      <c r="AN285" s="29" t="n">
        <v>2024</v>
      </c>
      <c r="AO285" s="29" t="inlineStr">
        <is>
          <t>live case, no plan document yet</t>
        </is>
      </c>
      <c r="AP285" s="29" t="inlineStr">
        <is>
          <t>SALTO</t>
        </is>
      </c>
      <c r="AQ285" s="29" t="inlineStr">
        <is>
          <t>SP</t>
        </is>
      </c>
      <c r="AR285" s="29" t="inlineStr">
        <is>
          <t>Fabricação de instrumentos musicais, peças e acessórios</t>
        </is>
      </c>
      <c r="AS285" s="29" t="inlineStr">
        <is>
          <t>DEMAIS</t>
        </is>
      </c>
      <c r="AT285" s="29" t="inlineStr">
        <is>
          <t>MID-MARKET</t>
        </is>
      </c>
      <c r="AU285" s="29" t="inlineStr">
        <is>
          <t>61196119</t>
        </is>
      </c>
      <c r="AV285" s="29" t="n">
        <v>1</v>
      </c>
      <c r="AW285" s="29" t="inlineStr">
        <is>
          <t>ROWS:p3r18 UNRECONCILED_SOURCE VALUE_COL:Valor_Do_Créidto</t>
        </is>
      </c>
    </row>
    <row r="286">
      <c r="A286" s="15" t="inlineStr">
        <is>
          <t>ITABOX INDUSTRIA E COMERCIO DE MOVEIS DE MADEIRA LTDA</t>
        </is>
      </c>
      <c r="B286" s="16" t="n">
        <v>456074.41</v>
      </c>
      <c r="C286" s="17" t="inlineStr"/>
      <c r="D286" s="18" t="inlineStr">
        <is>
          <t>NEW</t>
        </is>
      </c>
      <c r="E286" s="19" t="inlineStr"/>
      <c r="F286" s="18" t="inlineStr"/>
      <c r="G286" s="19" t="inlineStr"/>
      <c r="H286" s="18" t="inlineStr"/>
      <c r="I286" s="20" t="inlineStr">
        <is>
          <t>RODOLFO ROHR</t>
        </is>
      </c>
      <c r="J286" s="20" t="inlineStr">
        <is>
          <t>Sócio-Administrador</t>
        </is>
      </c>
      <c r="K286" s="20" t="inlineStr">
        <is>
          <t>(14) 3711-2222</t>
        </is>
      </c>
      <c r="L286" s="20" t="inlineStr"/>
      <c r="M286" s="20" t="inlineStr"/>
      <c r="N286" s="20" t="inlineStr"/>
      <c r="O286" s="20" t="inlineStr"/>
      <c r="P286" s="20" t="inlineStr">
        <is>
          <t>HEDERSON CAMARGO MANTOVANI</t>
        </is>
      </c>
      <c r="Q286" s="20" t="inlineStr">
        <is>
          <t>Administrador</t>
        </is>
      </c>
      <c r="R286" s="20" t="inlineStr">
        <is>
          <t>(14) 3711-2222</t>
        </is>
      </c>
      <c r="S286" s="20" t="inlineStr"/>
      <c r="T286" s="21" t="n">
        <v>456074.41</v>
      </c>
      <c r="U286" s="31" t="inlineStr">
        <is>
          <t>C</t>
        </is>
      </c>
      <c r="V286" s="23">
        <f>IFERROR(VLOOKUP(U286,Assumptions!$A$7:$D$11,2,FALSE),0)</f>
        <v/>
      </c>
      <c r="W286" s="24">
        <f>MAX(0.5,IFERROR(VLOOKUP(U286,Assumptions!$A$7:$D$11,3,FALSE),3)+IFERROR(VLOOKUP(U286,Assumptions!$A$7:$D$11,4,FALSE),8)/2-IF(AN286="",0,YEAR(TODAY())-AN286))</f>
        <v/>
      </c>
      <c r="X286" s="21">
        <f>T286*V286/(1+Assumptions!$B$3)^W286</f>
        <v/>
      </c>
      <c r="Y286" s="25">
        <f>IF(T286=0,"",ROUND(X286/T286*100,1))</f>
        <v/>
      </c>
      <c r="Z286" s="26">
        <f>X286*Assumptions!$B$4</f>
        <v/>
      </c>
      <c r="AA286" s="25">
        <f>IF(T286=0,"",ROUND(Z286/T286*100,1))</f>
        <v/>
      </c>
      <c r="AB286" s="26">
        <f>X286-Z286</f>
        <v/>
      </c>
      <c r="AC286" s="25">
        <f>IF(T286=0,"",ROUND((X286-Z286)/T286*100,1))</f>
        <v/>
      </c>
      <c r="AD286" s="27" t="inlineStr">
        <is>
          <t>UNKNOWN</t>
        </is>
      </c>
      <c r="AE286" s="28" t="inlineStr">
        <is>
          <t>https://administradorajudicialgs.com.br/wp-content/uploads/2024/12/relacao-de-credores-da-falida.pdf</t>
        </is>
      </c>
      <c r="AF286" s="27" t="inlineStr">
        <is>
          <t>p15 r38</t>
        </is>
      </c>
      <c r="AG286" s="27" t="inlineStr">
        <is>
          <t>p15: R$ 456.074,41</t>
        </is>
      </c>
      <c r="AH286" s="27" t="inlineStr">
        <is>
          <t>UNKNOWN</t>
        </is>
      </c>
      <c r="AI286" s="27" t="inlineStr">
        <is>
          <t>2025-03-25</t>
        </is>
      </c>
      <c r="AJ286" s="27" t="inlineStr">
        <is>
          <t>OK_NO_TOTALS</t>
        </is>
      </c>
      <c r="AK286" s="29" t="inlineStr">
        <is>
          <t>0005010-50.2013.8.24.0026</t>
        </is>
      </c>
      <c r="AL286" s="29" t="inlineStr">
        <is>
          <t>TJ</t>
        </is>
      </c>
      <c r="AM286" s="29" t="inlineStr"/>
      <c r="AN286" s="29" t="n">
        <v>2013</v>
      </c>
      <c r="AO286" s="29" t="inlineStr">
        <is>
          <t>13y since filing, no plan document</t>
        </is>
      </c>
      <c r="AP286" s="29" t="inlineStr">
        <is>
          <t>ITAPETININGA</t>
        </is>
      </c>
      <c r="AQ286" s="29" t="inlineStr">
        <is>
          <t>SP</t>
        </is>
      </c>
      <c r="AR286" s="29" t="inlineStr">
        <is>
          <t>Fabricação de móveis com predominância de madeira</t>
        </is>
      </c>
      <c r="AS286" s="29" t="inlineStr">
        <is>
          <t>DEMAIS</t>
        </is>
      </c>
      <c r="AT286" s="29" t="inlineStr">
        <is>
          <t>MID-MARKET</t>
        </is>
      </c>
      <c r="AU286" s="29" t="inlineStr">
        <is>
          <t>11679253</t>
        </is>
      </c>
      <c r="AV286" s="29" t="n">
        <v>1</v>
      </c>
      <c r="AW286" s="29" t="inlineStr">
        <is>
          <t>ROWS:p15r38 UNRECONCILED_SOURCE</t>
        </is>
      </c>
    </row>
    <row r="287">
      <c r="A287" s="15" t="inlineStr">
        <is>
          <t>BASF SA</t>
        </is>
      </c>
      <c r="B287" s="16" t="n">
        <v>455966.74</v>
      </c>
      <c r="C287" s="17" t="inlineStr"/>
      <c r="D287" s="18" t="inlineStr">
        <is>
          <t>NEW</t>
        </is>
      </c>
      <c r="E287" s="19" t="inlineStr"/>
      <c r="F287" s="18" t="inlineStr"/>
      <c r="G287" s="19" t="inlineStr"/>
      <c r="H287" s="18" t="inlineStr"/>
      <c r="I287" s="20" t="inlineStr">
        <is>
          <t>PRISCILA CAMARA LEAL CARVALHO DE SOUZA</t>
        </is>
      </c>
      <c r="J287" s="20" t="inlineStr">
        <is>
          <t>Presidente</t>
        </is>
      </c>
      <c r="K287" s="20" t="inlineStr">
        <is>
          <t>(11) 2039-2273</t>
        </is>
      </c>
      <c r="L287" s="20" t="inlineStr"/>
      <c r="M287" s="20" t="inlineStr"/>
      <c r="N287" s="20" t="inlineStr"/>
      <c r="O287" s="20" t="inlineStr"/>
      <c r="P287" s="20" t="inlineStr">
        <is>
          <t>FERNANDO SVIZZERO DA SILVA LOBO</t>
        </is>
      </c>
      <c r="Q287" s="20" t="inlineStr">
        <is>
          <t>Diretor</t>
        </is>
      </c>
      <c r="R287" s="20" t="inlineStr">
        <is>
          <t>(11) 2039-2273</t>
        </is>
      </c>
      <c r="S287" s="20" t="inlineStr"/>
      <c r="T287" s="21" t="n">
        <v>455966.74</v>
      </c>
      <c r="U287" s="31" t="inlineStr">
        <is>
          <t>C</t>
        </is>
      </c>
      <c r="V287" s="23">
        <f>IFERROR(VLOOKUP(U287,Assumptions!$A$7:$D$11,2,FALSE),0)</f>
        <v/>
      </c>
      <c r="W287" s="24">
        <f>MAX(0.5,IFERROR(VLOOKUP(U287,Assumptions!$A$7:$D$11,3,FALSE),3)+IFERROR(VLOOKUP(U287,Assumptions!$A$7:$D$11,4,FALSE),8)/2-IF(AN287="",0,YEAR(TODAY())-AN287))</f>
        <v/>
      </c>
      <c r="X287" s="21">
        <f>T287*V287/(1+Assumptions!$B$3)^W287</f>
        <v/>
      </c>
      <c r="Y287" s="25">
        <f>IF(T287=0,"",ROUND(X287/T287*100,1))</f>
        <v/>
      </c>
      <c r="Z287" s="26">
        <f>X287*Assumptions!$B$4</f>
        <v/>
      </c>
      <c r="AA287" s="25">
        <f>IF(T287=0,"",ROUND(Z287/T287*100,1))</f>
        <v/>
      </c>
      <c r="AB287" s="26">
        <f>X287-Z287</f>
        <v/>
      </c>
      <c r="AC287" s="25">
        <f>IF(T287=0,"",ROUND((X287-Z287)/T287*100,1))</f>
        <v/>
      </c>
      <c r="AD287" s="27" t="inlineStr">
        <is>
          <t>UNKNOWN</t>
        </is>
      </c>
      <c r="AE287" s="28" t="inlineStr">
        <is>
          <t>https://administradorajudicialgs.com.br/wp-content/uploads/2024/12/relacao-de-credores-da-falida.pdf</t>
        </is>
      </c>
      <c r="AF287" s="27" t="inlineStr">
        <is>
          <t>p13 r14</t>
        </is>
      </c>
      <c r="AG287" s="27" t="inlineStr">
        <is>
          <t>p13: R$ 455.966,74</t>
        </is>
      </c>
      <c r="AH287" s="27" t="inlineStr">
        <is>
          <t>UNKNOWN</t>
        </is>
      </c>
      <c r="AI287" s="27" t="inlineStr">
        <is>
          <t>2025-03-25</t>
        </is>
      </c>
      <c r="AJ287" s="27" t="inlineStr">
        <is>
          <t>OK_NO_TOTALS</t>
        </is>
      </c>
      <c r="AK287" s="29" t="inlineStr">
        <is>
          <t>0005010-50.2013.8.24.0026</t>
        </is>
      </c>
      <c r="AL287" s="29" t="inlineStr">
        <is>
          <t>TJ</t>
        </is>
      </c>
      <c r="AM287" s="29" t="inlineStr"/>
      <c r="AN287" s="29" t="n">
        <v>2013</v>
      </c>
      <c r="AO287" s="29" t="inlineStr">
        <is>
          <t>13y since filing, no plan document</t>
        </is>
      </c>
      <c r="AP287" s="29" t="inlineStr">
        <is>
          <t>SAO PAULO</t>
        </is>
      </c>
      <c r="AQ287" s="29" t="inlineStr">
        <is>
          <t>SP</t>
        </is>
      </c>
      <c r="AR287" s="29" t="inlineStr">
        <is>
          <t>Serviços combinados de escritório e apoio administrativo</t>
        </is>
      </c>
      <c r="AS287" s="29" t="inlineStr">
        <is>
          <t>DEMAIS</t>
        </is>
      </c>
      <c r="AT287" s="29" t="inlineStr">
        <is>
          <t>LARGE CORP</t>
        </is>
      </c>
      <c r="AU287" s="29" t="inlineStr">
        <is>
          <t>48539407</t>
        </is>
      </c>
      <c r="AV287" s="29" t="n">
        <v>1</v>
      </c>
      <c r="AW287" s="29" t="inlineStr">
        <is>
          <t>ROWS:p13r14 UNRECONCILED_SOURCE</t>
        </is>
      </c>
    </row>
    <row r="288">
      <c r="A288" s="15" t="inlineStr">
        <is>
          <t>CROMEX S/A</t>
        </is>
      </c>
      <c r="B288" s="16" t="n">
        <v>453843</v>
      </c>
      <c r="C288" s="17" t="inlineStr"/>
      <c r="D288" s="18" t="inlineStr">
        <is>
          <t>NEW</t>
        </is>
      </c>
      <c r="E288" s="19" t="inlineStr"/>
      <c r="F288" s="18" t="inlineStr"/>
      <c r="G288" s="19" t="inlineStr"/>
      <c r="H288" s="18" t="inlineStr"/>
      <c r="I288" s="20" t="inlineStr">
        <is>
          <t>Luiz Silva</t>
        </is>
      </c>
      <c r="J288" s="20" t="inlineStr">
        <is>
          <t>Financial Controller</t>
        </is>
      </c>
      <c r="K288" s="20" t="inlineStr">
        <is>
          <t>(11) 2131-5408</t>
        </is>
      </c>
      <c r="L288" s="20" t="inlineStr"/>
      <c r="M288" s="20" t="inlineStr"/>
      <c r="N288" s="20" t="inlineStr">
        <is>
          <t>luizc.silva@cromex.com.br</t>
        </is>
      </c>
      <c r="O288" s="20" t="inlineStr"/>
      <c r="P288" s="20" t="inlineStr"/>
      <c r="Q288" s="20" t="inlineStr"/>
      <c r="R288" s="20" t="inlineStr"/>
      <c r="S288" s="20" t="inlineStr"/>
      <c r="T288" s="21" t="n">
        <v>453843</v>
      </c>
      <c r="U288" s="31" t="inlineStr">
        <is>
          <t>C</t>
        </is>
      </c>
      <c r="V288" s="23">
        <f>IFERROR(VLOOKUP(U288,Assumptions!$A$7:$D$11,2,FALSE),0)</f>
        <v/>
      </c>
      <c r="W288" s="24">
        <f>MAX(0.5,IFERROR(VLOOKUP(U288,Assumptions!$A$7:$D$11,3,FALSE),3)+IFERROR(VLOOKUP(U288,Assumptions!$A$7:$D$11,4,FALSE),8)/2-IF(AN288="",0,YEAR(TODAY())-AN288))</f>
        <v/>
      </c>
      <c r="X288" s="21">
        <f>T288*V288/(1+Assumptions!$B$3)^W288</f>
        <v/>
      </c>
      <c r="Y288" s="25">
        <f>IF(T288=0,"",ROUND(X288/T288*100,1))</f>
        <v/>
      </c>
      <c r="Z288" s="26">
        <f>X288*Assumptions!$B$4</f>
        <v/>
      </c>
      <c r="AA288" s="25">
        <f>IF(T288=0,"",ROUND(Z288/T288*100,1))</f>
        <v/>
      </c>
      <c r="AB288" s="26">
        <f>X288-Z288</f>
        <v/>
      </c>
      <c r="AC288" s="25">
        <f>IF(T288=0,"",ROUND((X288-Z288)/T288*100,1))</f>
        <v/>
      </c>
      <c r="AD288" s="27" t="inlineStr">
        <is>
          <t>UNKNOWN</t>
        </is>
      </c>
      <c r="AE288" s="28" t="inlineStr">
        <is>
          <t>https://ajruiz.com.br/sites/default/files/public/arquivos-processos/2024-04/relacao_de_credores_recuperanda_1.pdf</t>
        </is>
      </c>
      <c r="AF288" s="27" t="inlineStr">
        <is>
          <t>p5 r11; p5 r12; p6 r1; p6 r2</t>
        </is>
      </c>
      <c r="AG288" s="27" t="inlineStr">
        <is>
          <t>p5: R$ 20.448,00; p5: R$ 29.215,00; p6: R$ 176.260,00; p6: R$ 227.920,00</t>
        </is>
      </c>
      <c r="AH288" s="27" t="inlineStr">
        <is>
          <t>QGC</t>
        </is>
      </c>
      <c r="AI288" s="27" t="inlineStr">
        <is>
          <t>2024-01-31</t>
        </is>
      </c>
      <c r="AJ288" s="27" t="inlineStr">
        <is>
          <t>OK</t>
        </is>
      </c>
      <c r="AK288" s="29" t="inlineStr">
        <is>
          <t>0000148-67.1996.8.24.0079</t>
        </is>
      </c>
      <c r="AL288" s="29" t="inlineStr">
        <is>
          <t>TJ</t>
        </is>
      </c>
      <c r="AM288" s="29" t="inlineStr"/>
      <c r="AN288" s="29" t="n">
        <v>1996</v>
      </c>
      <c r="AO288" s="29" t="inlineStr">
        <is>
          <t>30y since filing, no plan document</t>
        </is>
      </c>
      <c r="AP288" s="29" t="inlineStr">
        <is>
          <t>SAO PAULO</t>
        </is>
      </c>
      <c r="AQ288" s="29" t="inlineStr">
        <is>
          <t>SP</t>
        </is>
      </c>
      <c r="AR288" s="29" t="inlineStr">
        <is>
          <t>Fabricação de artefatos de material plástico para usos industriais</t>
        </is>
      </c>
      <c r="AS288" s="29" t="inlineStr">
        <is>
          <t>DEMAIS</t>
        </is>
      </c>
      <c r="AT288" s="29" t="inlineStr">
        <is>
          <t>LARGE CORP</t>
        </is>
      </c>
      <c r="AU288" s="29" t="inlineStr">
        <is>
          <t>02271463</t>
        </is>
      </c>
      <c r="AV288" s="29" t="n">
        <v>4</v>
      </c>
      <c r="AW288" s="29" t="inlineStr">
        <is>
          <t>ROWS:p5r11,p5r12,p6r1,p6r2</t>
        </is>
      </c>
    </row>
    <row r="289">
      <c r="A289" s="15" t="inlineStr">
        <is>
          <t>ROSINA ALIMENTOS LTDA</t>
        </is>
      </c>
      <c r="B289" s="16" t="n">
        <v>614157.33</v>
      </c>
      <c r="C289" s="17" t="inlineStr">
        <is>
          <t>Cerealista Sa</t>
        </is>
      </c>
      <c r="D289" s="18" t="inlineStr">
        <is>
          <t>NEW</t>
        </is>
      </c>
      <c r="E289" s="19" t="inlineStr"/>
      <c r="F289" s="18" t="inlineStr"/>
      <c r="G289" s="19" t="inlineStr"/>
      <c r="H289" s="18" t="inlineStr"/>
      <c r="I289" s="20" t="inlineStr">
        <is>
          <t>Ale Scotton</t>
        </is>
      </c>
      <c r="J289" s="20" t="inlineStr">
        <is>
          <t>Financial</t>
        </is>
      </c>
      <c r="K289" s="20" t="inlineStr"/>
      <c r="L289" s="20" t="inlineStr"/>
      <c r="M289" s="20" t="inlineStr"/>
      <c r="N289" s="20" t="inlineStr"/>
      <c r="O289" s="20" t="inlineStr"/>
      <c r="P289" s="20" t="inlineStr"/>
      <c r="Q289" s="20" t="inlineStr"/>
      <c r="R289" s="20" t="inlineStr"/>
      <c r="S289" s="20" t="inlineStr"/>
      <c r="T289" s="21" t="n">
        <v>614157.33</v>
      </c>
      <c r="U289" s="22" t="inlineStr">
        <is>
          <t>B</t>
        </is>
      </c>
      <c r="V289" s="23">
        <f>IFERROR(VLOOKUP(U289,Assumptions!$A$7:$D$11,2,FALSE),0)</f>
        <v/>
      </c>
      <c r="W289" s="24">
        <f>MAX(0.5,IFERROR(VLOOKUP(U289,Assumptions!$A$7:$D$11,3,FALSE),3)+IFERROR(VLOOKUP(U289,Assumptions!$A$7:$D$11,4,FALSE),8)/2-IF(AN289="",0,YEAR(TODAY())-AN289))</f>
        <v/>
      </c>
      <c r="X289" s="21">
        <f>T289*V289/(1+Assumptions!$B$3)^W289</f>
        <v/>
      </c>
      <c r="Y289" s="25">
        <f>IF(T289=0,"",ROUND(X289/T289*100,1))</f>
        <v/>
      </c>
      <c r="Z289" s="26">
        <f>X289*Assumptions!$B$4</f>
        <v/>
      </c>
      <c r="AA289" s="25">
        <f>IF(T289=0,"",ROUND(Z289/T289*100,1))</f>
        <v/>
      </c>
      <c r="AB289" s="26">
        <f>X289-Z289</f>
        <v/>
      </c>
      <c r="AC289" s="25">
        <f>IF(T289=0,"",ROUND((X289-Z289)/T289*100,1))</f>
        <v/>
      </c>
      <c r="AD289" s="27" t="inlineStr">
        <is>
          <t>ESTIMATED</t>
        </is>
      </c>
      <c r="AE289" s="28" t="inlineStr">
        <is>
          <t>https://ajruiz.com.br/sites/default/files/public/arquivos-processos/2026-01/safrasul_relacao_de_credores_recuperanda.pdf</t>
        </is>
      </c>
      <c r="AF289" s="27" t="inlineStr">
        <is>
          <t>p8 r37</t>
        </is>
      </c>
      <c r="AG289" s="27" t="inlineStr">
        <is>
          <t>p8: R$ 614.157,33</t>
        </is>
      </c>
      <c r="AH289" s="27" t="inlineStr">
        <is>
          <t>AJ_LIST</t>
        </is>
      </c>
      <c r="AI289" s="27" t="inlineStr">
        <is>
          <t>2026-01-14</t>
        </is>
      </c>
      <c r="AJ289" s="27" t="inlineStr">
        <is>
          <t>OK_NO_TOTALS</t>
        </is>
      </c>
      <c r="AK289" s="29" t="inlineStr">
        <is>
          <t>4000167-23.2025.8.26.0373</t>
        </is>
      </c>
      <c r="AL289" s="29" t="inlineStr">
        <is>
          <t>TJSP</t>
        </is>
      </c>
      <c r="AM289" s="29" t="inlineStr">
        <is>
          <t>ACTIVE</t>
        </is>
      </c>
      <c r="AN289" s="29" t="n">
        <v>2025</v>
      </c>
      <c r="AO289" s="29" t="inlineStr">
        <is>
          <t>live case, no plan document yet</t>
        </is>
      </c>
      <c r="AP289" s="29" t="inlineStr">
        <is>
          <t>SERTAO SANTANA</t>
        </is>
      </c>
      <c r="AQ289" s="29" t="inlineStr">
        <is>
          <t>RS</t>
        </is>
      </c>
      <c r="AR289" s="29" t="inlineStr">
        <is>
          <t>Beneficiamento de arroz</t>
        </is>
      </c>
      <c r="AS289" s="29" t="inlineStr">
        <is>
          <t>DEMAIS</t>
        </is>
      </c>
      <c r="AT289" s="29" t="inlineStr">
        <is>
          <t>MID-MARKET</t>
        </is>
      </c>
      <c r="AU289" s="29" t="inlineStr">
        <is>
          <t>04253854</t>
        </is>
      </c>
      <c r="AV289" s="29" t="n">
        <v>1</v>
      </c>
      <c r="AW289" s="29" t="inlineStr">
        <is>
          <t>ROWS:p8r37 UNRECONCILED_SOURCE</t>
        </is>
      </c>
    </row>
    <row r="290">
      <c r="A290" s="15" t="inlineStr">
        <is>
          <t>LOG GOIANIA II</t>
        </is>
      </c>
      <c r="B290" s="16" t="n">
        <v>610696.38</v>
      </c>
      <c r="C290" s="17" t="inlineStr"/>
      <c r="D290" s="18" t="inlineStr">
        <is>
          <t>NEW</t>
        </is>
      </c>
      <c r="E290" s="19" t="inlineStr"/>
      <c r="F290" s="18" t="inlineStr"/>
      <c r="G290" s="19" t="inlineStr"/>
      <c r="H290" s="18" t="inlineStr"/>
      <c r="I290" s="20" t="inlineStr"/>
      <c r="J290" s="20" t="inlineStr"/>
      <c r="K290" s="20" t="inlineStr">
        <is>
          <t>(31) 3615-8248</t>
        </is>
      </c>
      <c r="L290" s="20" t="inlineStr"/>
      <c r="M290" s="20" t="inlineStr"/>
      <c r="N290" s="20" t="inlineStr"/>
      <c r="O290" s="20" t="inlineStr"/>
      <c r="P290" s="20" t="inlineStr"/>
      <c r="Q290" s="20" t="inlineStr"/>
      <c r="R290" s="20" t="inlineStr"/>
      <c r="S290" s="20" t="inlineStr"/>
      <c r="T290" s="21" t="n">
        <v>610696.38</v>
      </c>
      <c r="U290" s="22" t="inlineStr">
        <is>
          <t>B</t>
        </is>
      </c>
      <c r="V290" s="23">
        <f>IFERROR(VLOOKUP(U290,Assumptions!$A$7:$D$11,2,FALSE),0)</f>
        <v/>
      </c>
      <c r="W290" s="24">
        <f>MAX(0.5,IFERROR(VLOOKUP(U290,Assumptions!$A$7:$D$11,3,FALSE),3)+IFERROR(VLOOKUP(U290,Assumptions!$A$7:$D$11,4,FALSE),8)/2-IF(AN290="",0,YEAR(TODAY())-AN290))</f>
        <v/>
      </c>
      <c r="X290" s="21">
        <f>T290*V290/(1+Assumptions!$B$3)^W290</f>
        <v/>
      </c>
      <c r="Y290" s="25">
        <f>IF(T290=0,"",ROUND(X290/T290*100,1))</f>
        <v/>
      </c>
      <c r="Z290" s="26">
        <f>X290*Assumptions!$B$4</f>
        <v/>
      </c>
      <c r="AA290" s="25">
        <f>IF(T290=0,"",ROUND(Z290/T290*100,1))</f>
        <v/>
      </c>
      <c r="AB290" s="26">
        <f>X290-Z290</f>
        <v/>
      </c>
      <c r="AC290" s="25">
        <f>IF(T290=0,"",ROUND((X290-Z290)/T290*100,1))</f>
        <v/>
      </c>
      <c r="AD290" s="27" t="inlineStr">
        <is>
          <t>UNKNOWN</t>
        </is>
      </c>
      <c r="AE290" s="28" t="inlineStr">
        <is>
          <t>https://credibilita.com.br/wp-content/uploads/2025/09/Relacao-Credores-29.04.2026.pdf</t>
        </is>
      </c>
      <c r="AF290" s="27" t="inlineStr">
        <is>
          <t>p2 r1</t>
        </is>
      </c>
      <c r="AG290" s="27" t="inlineStr">
        <is>
          <t>p2: R$ 610.696,38</t>
        </is>
      </c>
      <c r="AH290" s="27" t="inlineStr">
        <is>
          <t>UNKNOWN</t>
        </is>
      </c>
      <c r="AI290" s="27" t="inlineStr"/>
      <c r="AJ290" s="27" t="inlineStr">
        <is>
          <t>OK_NO_TOTALS</t>
        </is>
      </c>
      <c r="AK290" s="29" t="inlineStr">
        <is>
          <t>5057720-48.2025.8.24.0023</t>
        </is>
      </c>
      <c r="AL290" s="29" t="inlineStr">
        <is>
          <t>TJ</t>
        </is>
      </c>
      <c r="AM290" s="29" t="inlineStr"/>
      <c r="AN290" s="29" t="n">
        <v>2025</v>
      </c>
      <c r="AO290" s="29" t="inlineStr">
        <is>
          <t>live case, no plan document yet</t>
        </is>
      </c>
      <c r="AP290" s="29" t="inlineStr">
        <is>
          <t>HIDROLANDIA</t>
        </is>
      </c>
      <c r="AQ290" s="29" t="inlineStr">
        <is>
          <t>GO</t>
        </is>
      </c>
      <c r="AR290" s="29" t="inlineStr">
        <is>
          <t>Condomínios prediais</t>
        </is>
      </c>
      <c r="AS290" s="29" t="inlineStr">
        <is>
          <t>DEMAIS</t>
        </is>
      </c>
      <c r="AT290" s="29" t="inlineStr">
        <is>
          <t>MID-MARKET</t>
        </is>
      </c>
      <c r="AU290" s="29" t="inlineStr">
        <is>
          <t>47365763</t>
        </is>
      </c>
      <c r="AV290" s="29" t="n">
        <v>1</v>
      </c>
      <c r="AW290" s="29" t="inlineStr">
        <is>
          <t>ROWS:p2r1 UNRECONCILED_SOURCE VALUE_COL:Valor_Após_Analise</t>
        </is>
      </c>
    </row>
    <row r="291">
      <c r="A291" s="15" t="inlineStr">
        <is>
          <t>TRISOFT MANTAS DE POLIESTER LTDA.</t>
        </is>
      </c>
      <c r="B291" s="16" t="n">
        <v>445884.94</v>
      </c>
      <c r="C291" s="17" t="inlineStr"/>
      <c r="D291" s="18" t="inlineStr">
        <is>
          <t>NEW</t>
        </is>
      </c>
      <c r="E291" s="19" t="inlineStr"/>
      <c r="F291" s="18" t="inlineStr"/>
      <c r="G291" s="19" t="inlineStr"/>
      <c r="H291" s="18" t="inlineStr"/>
      <c r="I291" s="20" t="inlineStr">
        <is>
          <t>JACQUES SAFRA</t>
        </is>
      </c>
      <c r="J291" s="20" t="inlineStr">
        <is>
          <t>Sócio-Administrador</t>
        </is>
      </c>
      <c r="K291" s="20" t="inlineStr">
        <is>
          <t>(11) 4143-7900</t>
        </is>
      </c>
      <c r="L291" s="20" t="inlineStr"/>
      <c r="M291" s="20" t="inlineStr"/>
      <c r="N291" s="20" t="inlineStr"/>
      <c r="O291" s="20" t="inlineStr"/>
      <c r="P291" s="20" t="inlineStr">
        <is>
          <t>MAURICIO CHARLES COHAB</t>
        </is>
      </c>
      <c r="Q291" s="20" t="inlineStr">
        <is>
          <t>Sócio-Administrador</t>
        </is>
      </c>
      <c r="R291" s="20" t="inlineStr">
        <is>
          <t>(11) 4143-7900</t>
        </is>
      </c>
      <c r="S291" s="20" t="inlineStr"/>
      <c r="T291" s="21" t="n">
        <v>445884.94</v>
      </c>
      <c r="U291" s="31" t="inlineStr">
        <is>
          <t>C</t>
        </is>
      </c>
      <c r="V291" s="23">
        <f>IFERROR(VLOOKUP(U291,Assumptions!$A$7:$D$11,2,FALSE),0)</f>
        <v/>
      </c>
      <c r="W291" s="24">
        <f>MAX(0.5,IFERROR(VLOOKUP(U291,Assumptions!$A$7:$D$11,3,FALSE),3)+IFERROR(VLOOKUP(U291,Assumptions!$A$7:$D$11,4,FALSE),8)/2-IF(AN291="",0,YEAR(TODAY())-AN291))</f>
        <v/>
      </c>
      <c r="X291" s="21">
        <f>T291*V291/(1+Assumptions!$B$3)^W291</f>
        <v/>
      </c>
      <c r="Y291" s="25">
        <f>IF(T291=0,"",ROUND(X291/T291*100,1))</f>
        <v/>
      </c>
      <c r="Z291" s="26">
        <f>X291*Assumptions!$B$4</f>
        <v/>
      </c>
      <c r="AA291" s="25">
        <f>IF(T291=0,"",ROUND(Z291/T291*100,1))</f>
        <v/>
      </c>
      <c r="AB291" s="26">
        <f>X291-Z291</f>
        <v/>
      </c>
      <c r="AC291" s="25">
        <f>IF(T291=0,"",ROUND((X291-Z291)/T291*100,1))</f>
        <v/>
      </c>
      <c r="AD291" s="27" t="inlineStr">
        <is>
          <t>UNKNOWN</t>
        </is>
      </c>
      <c r="AE291" s="28" t="inlineStr">
        <is>
          <t>https://administradorajudicialgs.com.br/wp-content/uploads/2024/12/relacao-de-credores-da-falida.pdf</t>
        </is>
      </c>
      <c r="AF291" s="27" t="inlineStr">
        <is>
          <t>p19 r30; p19 r31</t>
        </is>
      </c>
      <c r="AG291" s="27" t="inlineStr">
        <is>
          <t>p19: R$ 15.995,79; p19: R$ 429.889,15</t>
        </is>
      </c>
      <c r="AH291" s="27" t="inlineStr">
        <is>
          <t>UNKNOWN</t>
        </is>
      </c>
      <c r="AI291" s="27" t="inlineStr">
        <is>
          <t>2025-03-25</t>
        </is>
      </c>
      <c r="AJ291" s="27" t="inlineStr">
        <is>
          <t>OK_NO_TOTALS</t>
        </is>
      </c>
      <c r="AK291" s="29" t="inlineStr">
        <is>
          <t>0005010-50.2013.8.24.0026</t>
        </is>
      </c>
      <c r="AL291" s="29" t="inlineStr">
        <is>
          <t>TJ</t>
        </is>
      </c>
      <c r="AM291" s="29" t="inlineStr"/>
      <c r="AN291" s="29" t="n">
        <v>2013</v>
      </c>
      <c r="AO291" s="29" t="inlineStr">
        <is>
          <t>13y since filing, no plan document</t>
        </is>
      </c>
      <c r="AP291" s="29" t="inlineStr">
        <is>
          <t>ITAPEVI</t>
        </is>
      </c>
      <c r="AQ291" s="29" t="inlineStr">
        <is>
          <t>SP</t>
        </is>
      </c>
      <c r="AR291" s="29" t="inlineStr">
        <is>
          <t>Fabricação de artefatos têxteis para uso doméstico</t>
        </is>
      </c>
      <c r="AS291" s="29" t="inlineStr">
        <is>
          <t>DEMAIS</t>
        </is>
      </c>
      <c r="AT291" s="29" t="inlineStr">
        <is>
          <t>MID-MARKET</t>
        </is>
      </c>
      <c r="AU291" s="29" t="inlineStr">
        <is>
          <t>11198594</t>
        </is>
      </c>
      <c r="AV291" s="29" t="n">
        <v>2</v>
      </c>
      <c r="AW291" s="29" t="inlineStr">
        <is>
          <t>ROWS:p19r30,p19r31 UNRECONCILED_SOURCE</t>
        </is>
      </c>
    </row>
    <row r="292">
      <c r="A292" s="15" t="inlineStr">
        <is>
          <t>MERCK SHARP &amp; DOHME SAUDE ANIMAL LTDA</t>
        </is>
      </c>
      <c r="B292" s="16" t="n">
        <v>564684.01</v>
      </c>
      <c r="C292" s="17" t="inlineStr">
        <is>
          <t>COMERCIO RACOES BEM BOM LTDA</t>
        </is>
      </c>
      <c r="D292" s="18" t="inlineStr">
        <is>
          <t>NEW</t>
        </is>
      </c>
      <c r="E292" s="19" t="inlineStr"/>
      <c r="F292" s="18" t="inlineStr"/>
      <c r="G292" s="19" t="inlineStr"/>
      <c r="H292" s="18" t="inlineStr"/>
      <c r="I292" s="20" t="inlineStr">
        <is>
          <t>ALEXANDRE DE ANDRADE AFONSO</t>
        </is>
      </c>
      <c r="J292" s="20" t="inlineStr">
        <is>
          <t>Administrador</t>
        </is>
      </c>
      <c r="K292" s="20" t="inlineStr">
        <is>
          <t>(11) 5189-7700</t>
        </is>
      </c>
      <c r="L292" s="20" t="inlineStr"/>
      <c r="M292" s="20" t="inlineStr"/>
      <c r="N292" s="20" t="inlineStr"/>
      <c r="O292" s="20" t="inlineStr"/>
      <c r="P292" s="20" t="inlineStr">
        <is>
          <t>LAURA YANETH VILLARREAL</t>
        </is>
      </c>
      <c r="Q292" s="20" t="inlineStr">
        <is>
          <t>Administrador</t>
        </is>
      </c>
      <c r="R292" s="20" t="inlineStr">
        <is>
          <t>(11) 5189-7700</t>
        </is>
      </c>
      <c r="S292" s="20" t="inlineStr"/>
      <c r="T292" s="21" t="n">
        <v>564684.01</v>
      </c>
      <c r="U292" s="32" t="inlineStr">
        <is>
          <t>A</t>
        </is>
      </c>
      <c r="V292" s="23">
        <f>IFERROR(VLOOKUP(U292,Assumptions!$A$7:$D$11,2,FALSE),0)</f>
        <v/>
      </c>
      <c r="W292" s="24">
        <f>MAX(0.5,IFERROR(VLOOKUP(U292,Assumptions!$A$7:$D$11,3,FALSE),3)+IFERROR(VLOOKUP(U292,Assumptions!$A$7:$D$11,4,FALSE),8)/2-IF(AN292="",0,YEAR(TODAY())-AN292))</f>
        <v/>
      </c>
      <c r="X292" s="21">
        <f>T292*V292/(1+Assumptions!$B$3)^W292</f>
        <v/>
      </c>
      <c r="Y292" s="25">
        <f>IF(T292=0,"",ROUND(X292/T292*100,1))</f>
        <v/>
      </c>
      <c r="Z292" s="26">
        <f>X292*Assumptions!$B$4</f>
        <v/>
      </c>
      <c r="AA292" s="25">
        <f>IF(T292=0,"",ROUND(Z292/T292*100,1))</f>
        <v/>
      </c>
      <c r="AB292" s="26">
        <f>X292-Z292</f>
        <v/>
      </c>
      <c r="AC292" s="25">
        <f>IF(T292=0,"",ROUND((X292-Z292)/T292*100,1))</f>
        <v/>
      </c>
      <c r="AD292" s="27" t="inlineStr">
        <is>
          <t>CONFIRMED</t>
        </is>
      </c>
      <c r="AE292" s="28" t="inlineStr">
        <is>
          <t>https://stenius.com.br/wp-content/uploads/2026/06/EDITAL-GRUPO-3E.pdf</t>
        </is>
      </c>
      <c r="AF292" s="27" t="inlineStr">
        <is>
          <t>p16 r8; p16 r9</t>
        </is>
      </c>
      <c r="AG292" s="27" t="inlineStr">
        <is>
          <t>p16: R$ 52.443,82; p16: R$ 512.240,19</t>
        </is>
      </c>
      <c r="AH292" s="27" t="inlineStr">
        <is>
          <t>DEBTOR_LIST</t>
        </is>
      </c>
      <c r="AI292" s="27" t="inlineStr">
        <is>
          <t>2026-06-22</t>
        </is>
      </c>
      <c r="AJ292" s="27" t="inlineStr">
        <is>
          <t>OK_NO_TOTALS</t>
        </is>
      </c>
      <c r="AK292" s="29" t="inlineStr">
        <is>
          <t>5341375-33.2026.8.09.0049</t>
        </is>
      </c>
      <c r="AL292" s="29" t="inlineStr">
        <is>
          <t>TJGO</t>
        </is>
      </c>
      <c r="AM292" s="29" t="inlineStr">
        <is>
          <t>ACTIVE</t>
        </is>
      </c>
      <c r="AN292" s="29" t="n">
        <v>2026</v>
      </c>
      <c r="AO292" s="29" t="inlineStr">
        <is>
          <t>plan/homologation document found</t>
        </is>
      </c>
      <c r="AP292" s="29" t="inlineStr">
        <is>
          <t>CRUZEIRO</t>
        </is>
      </c>
      <c r="AQ292" s="29" t="inlineStr">
        <is>
          <t>SP</t>
        </is>
      </c>
      <c r="AR292" s="29" t="inlineStr">
        <is>
          <t>Fabricação de medicamentos para uso veterinário</t>
        </is>
      </c>
      <c r="AS292" s="29" t="inlineStr">
        <is>
          <t>DEMAIS</t>
        </is>
      </c>
      <c r="AT292" s="29" t="inlineStr">
        <is>
          <t>LARGE CORP</t>
        </is>
      </c>
      <c r="AU292" s="29" t="inlineStr">
        <is>
          <t>07954091</t>
        </is>
      </c>
      <c r="AV292" s="29" t="n">
        <v>2</v>
      </c>
      <c r="AW292" s="29" t="inlineStr">
        <is>
          <t>ROWS:p16r8,p16r9 UNRECONCILED_SOURCE</t>
        </is>
      </c>
    </row>
    <row r="293">
      <c r="A293" s="15" t="inlineStr">
        <is>
          <t>INTER TELECOM - COMERCIO E LOCACAO DE EQUIPAMENTOS DE COMUNICACAO LTDA</t>
        </is>
      </c>
      <c r="B293" s="16" t="n">
        <v>1125816.11</v>
      </c>
      <c r="C293" s="17" t="inlineStr">
        <is>
          <t>EGESA ENGENHARIA S/A (Consórcio ETDI)</t>
        </is>
      </c>
      <c r="D293" s="18" t="inlineStr">
        <is>
          <t>NEW</t>
        </is>
      </c>
      <c r="E293" s="19" t="inlineStr"/>
      <c r="F293" s="18" t="inlineStr"/>
      <c r="G293" s="19" t="inlineStr"/>
      <c r="H293" s="18" t="inlineStr"/>
      <c r="I293" s="20" t="inlineStr">
        <is>
          <t>FRANCISCA APARECIDA D ANGELO PALOMARES</t>
        </is>
      </c>
      <c r="J293" s="20" t="inlineStr">
        <is>
          <t>Sócio-Administrador</t>
        </is>
      </c>
      <c r="K293" s="20" t="inlineStr">
        <is>
          <t>(11) 4221-1746</t>
        </is>
      </c>
      <c r="L293" s="20" t="inlineStr"/>
      <c r="M293" s="20" t="inlineStr"/>
      <c r="N293" s="20" t="inlineStr"/>
      <c r="O293" s="20" t="inlineStr"/>
      <c r="P293" s="20" t="inlineStr"/>
      <c r="Q293" s="20" t="inlineStr"/>
      <c r="R293" s="20" t="inlineStr"/>
      <c r="S293" s="20" t="inlineStr"/>
      <c r="T293" s="21" t="n">
        <v>1125816.11</v>
      </c>
      <c r="U293" s="30" t="inlineStr">
        <is>
          <t>?</t>
        </is>
      </c>
      <c r="V293" s="23">
        <f>IFERROR(VLOOKUP(U293,Assumptions!$A$7:$D$11,2,FALSE),0)</f>
        <v/>
      </c>
      <c r="W293" s="24">
        <f>MAX(0.5,IFERROR(VLOOKUP(U293,Assumptions!$A$7:$D$11,3,FALSE),3)+IFERROR(VLOOKUP(U293,Assumptions!$A$7:$D$11,4,FALSE),8)/2-IF(AN293="",0,YEAR(TODAY())-AN293))</f>
        <v/>
      </c>
      <c r="X293" s="21">
        <f>T293*V293/(1+Assumptions!$B$3)^W293</f>
        <v/>
      </c>
      <c r="Y293" s="25">
        <f>IF(T293=0,"",ROUND(X293/T293*100,1))</f>
        <v/>
      </c>
      <c r="Z293" s="26">
        <f>X293*Assumptions!$B$4</f>
        <v/>
      </c>
      <c r="AA293" s="25">
        <f>IF(T293=0,"",ROUND(Z293/T293*100,1))</f>
        <v/>
      </c>
      <c r="AB293" s="26">
        <f>X293-Z293</f>
        <v/>
      </c>
      <c r="AC293" s="25">
        <f>IF(T293=0,"",ROUND((X293-Z293)/T293*100,1))</f>
        <v/>
      </c>
      <c r="AD293" s="27" t="inlineStr">
        <is>
          <t>UNKNOWN</t>
        </is>
      </c>
      <c r="AE293" s="28" t="inlineStr">
        <is>
          <t>https://scalzilliaj.com.br/sgc/download.php?file=files/processo_documento/processo_documento09514021082025_1_.pdf&amp;nome=04 - Relação de credores das Recuperandas</t>
        </is>
      </c>
      <c r="AF293" s="27" t="inlineStr">
        <is>
          <t>p68 r7</t>
        </is>
      </c>
      <c r="AG293" s="27" t="inlineStr">
        <is>
          <t>p68: R$ 1.125.816,11</t>
        </is>
      </c>
      <c r="AH293" s="27" t="inlineStr">
        <is>
          <t>DEBTOR_LIST</t>
        </is>
      </c>
      <c r="AI293" s="27" t="inlineStr"/>
      <c r="AJ293" s="27" t="inlineStr">
        <is>
          <t>OK</t>
        </is>
      </c>
      <c r="AK293" s="29" t="inlineStr">
        <is>
          <t>(not printed)</t>
        </is>
      </c>
      <c r="AL293" s="29" t="inlineStr"/>
      <c r="AM293" s="29" t="inlineStr"/>
      <c r="AN293" s="29" t="inlineStr"/>
      <c r="AO293" s="29" t="inlineStr">
        <is>
          <t>RJ case number not identified on the document</t>
        </is>
      </c>
      <c r="AP293" s="29" t="inlineStr">
        <is>
          <t>SAO CAETANO DO SUL</t>
        </is>
      </c>
      <c r="AQ293" s="29" t="inlineStr">
        <is>
          <t>SP</t>
        </is>
      </c>
      <c r="AR293" s="29" t="inlineStr">
        <is>
          <t>Comércio varejista especializado de equipamentos de telefonia e comunicação</t>
        </is>
      </c>
      <c r="AS293" s="29" t="inlineStr">
        <is>
          <t>DEMAIS</t>
        </is>
      </c>
      <c r="AT293" s="29" t="inlineStr">
        <is>
          <t>MID-MARKET</t>
        </is>
      </c>
      <c r="AU293" s="29" t="inlineStr">
        <is>
          <t>06936357</t>
        </is>
      </c>
      <c r="AV293" s="29" t="n">
        <v>1</v>
      </c>
      <c r="AW293" s="29" t="inlineStr">
        <is>
          <t>ROWS:p68r7 VALUE_COL:Valor_Atualizado CASE_NUMBER_CORRECTED</t>
        </is>
      </c>
    </row>
    <row r="294">
      <c r="A294" s="15" t="inlineStr">
        <is>
          <t>ALTENBURG TEXTIL S.A.</t>
        </is>
      </c>
      <c r="B294" s="16" t="n">
        <v>439839.22</v>
      </c>
      <c r="C294" s="17" t="inlineStr"/>
      <c r="D294" s="18" t="inlineStr">
        <is>
          <t>NEW</t>
        </is>
      </c>
      <c r="E294" s="19" t="inlineStr"/>
      <c r="F294" s="18" t="inlineStr"/>
      <c r="G294" s="19" t="inlineStr"/>
      <c r="H294" s="18" t="inlineStr"/>
      <c r="I294" s="20" t="inlineStr">
        <is>
          <t>Adriano Dore</t>
        </is>
      </c>
      <c r="J294" s="20" t="inlineStr">
        <is>
          <t>Administrative and Financial Director</t>
        </is>
      </c>
      <c r="K294" s="20" t="inlineStr">
        <is>
          <t>(47) 3331-1500</t>
        </is>
      </c>
      <c r="L294" s="20" t="inlineStr"/>
      <c r="M294" s="20" t="inlineStr"/>
      <c r="N294" s="20" t="inlineStr">
        <is>
          <t>adriano.dore@altenburg.com.br</t>
        </is>
      </c>
      <c r="O294" s="20" t="inlineStr">
        <is>
          <t>elieser.fontanela@altenburg.com.br</t>
        </is>
      </c>
      <c r="P294" s="20" t="inlineStr">
        <is>
          <t>Elieser Fontanela</t>
        </is>
      </c>
      <c r="Q294" s="20" t="inlineStr">
        <is>
          <t>Controller Sr</t>
        </is>
      </c>
      <c r="R294" s="20" t="inlineStr"/>
      <c r="S294" s="20" t="inlineStr">
        <is>
          <t>elieser.fontanela@altenburg.com.br</t>
        </is>
      </c>
      <c r="T294" s="21" t="n">
        <v>439839.22</v>
      </c>
      <c r="U294" s="31" t="inlineStr">
        <is>
          <t>C</t>
        </is>
      </c>
      <c r="V294" s="23">
        <f>IFERROR(VLOOKUP(U294,Assumptions!$A$7:$D$11,2,FALSE),0)</f>
        <v/>
      </c>
      <c r="W294" s="24">
        <f>MAX(0.5,IFERROR(VLOOKUP(U294,Assumptions!$A$7:$D$11,3,FALSE),3)+IFERROR(VLOOKUP(U294,Assumptions!$A$7:$D$11,4,FALSE),8)/2-IF(AN294="",0,YEAR(TODAY())-AN294))</f>
        <v/>
      </c>
      <c r="X294" s="21">
        <f>T294*V294/(1+Assumptions!$B$3)^W294</f>
        <v/>
      </c>
      <c r="Y294" s="25">
        <f>IF(T294=0,"",ROUND(X294/T294*100,1))</f>
        <v/>
      </c>
      <c r="Z294" s="26">
        <f>X294*Assumptions!$B$4</f>
        <v/>
      </c>
      <c r="AA294" s="25">
        <f>IF(T294=0,"",ROUND(Z294/T294*100,1))</f>
        <v/>
      </c>
      <c r="AB294" s="26">
        <f>X294-Z294</f>
        <v/>
      </c>
      <c r="AC294" s="25">
        <f>IF(T294=0,"",ROUND((X294-Z294)/T294*100,1))</f>
        <v/>
      </c>
      <c r="AD294" s="27" t="inlineStr">
        <is>
          <t>UNKNOWN</t>
        </is>
      </c>
      <c r="AE294" s="28" t="inlineStr">
        <is>
          <t>https://administradorajudicialgs.com.br/wp-content/uploads/2024/12/relacao-de-credores-da-falida.pdf</t>
        </is>
      </c>
      <c r="AF294" s="27" t="inlineStr">
        <is>
          <t>p12 r43</t>
        </is>
      </c>
      <c r="AG294" s="27" t="inlineStr">
        <is>
          <t>p12: R$ 439.839,22</t>
        </is>
      </c>
      <c r="AH294" s="27" t="inlineStr">
        <is>
          <t>UNKNOWN</t>
        </is>
      </c>
      <c r="AI294" s="27" t="inlineStr">
        <is>
          <t>2025-03-25</t>
        </is>
      </c>
      <c r="AJ294" s="27" t="inlineStr">
        <is>
          <t>OK_NO_TOTALS</t>
        </is>
      </c>
      <c r="AK294" s="29" t="inlineStr">
        <is>
          <t>0005010-50.2013.8.24.0026</t>
        </is>
      </c>
      <c r="AL294" s="29" t="inlineStr">
        <is>
          <t>TJ</t>
        </is>
      </c>
      <c r="AM294" s="29" t="inlineStr"/>
      <c r="AN294" s="29" t="n">
        <v>2013</v>
      </c>
      <c r="AO294" s="29" t="inlineStr">
        <is>
          <t>13y since filing, no plan document</t>
        </is>
      </c>
      <c r="AP294" s="29" t="inlineStr">
        <is>
          <t>BLUMENAU</t>
        </is>
      </c>
      <c r="AQ294" s="29" t="inlineStr">
        <is>
          <t>SC</t>
        </is>
      </c>
      <c r="AR294" s="29" t="inlineStr">
        <is>
          <t>Fabricação de artefatos têxteis para uso doméstico</t>
        </is>
      </c>
      <c r="AS294" s="29" t="inlineStr">
        <is>
          <t>DEMAIS</t>
        </is>
      </c>
      <c r="AT294" s="29" t="inlineStr">
        <is>
          <t>LARGE CORP</t>
        </is>
      </c>
      <c r="AU294" s="29" t="inlineStr">
        <is>
          <t>75293662</t>
        </is>
      </c>
      <c r="AV294" s="29" t="n">
        <v>1</v>
      </c>
      <c r="AW294" s="29" t="inlineStr">
        <is>
          <t>ROWS:p12r43 UNRECONCILED_SOURCE</t>
        </is>
      </c>
    </row>
    <row r="295">
      <c r="A295" s="15" t="inlineStr">
        <is>
          <t>A3AGRO COMERCIAL AGRICOLA LTDA</t>
        </is>
      </c>
      <c r="B295" s="16" t="n">
        <v>480000</v>
      </c>
      <c r="C295" s="17" t="inlineStr">
        <is>
          <t>AEGRO INFORMATICA LIMITADA</t>
        </is>
      </c>
      <c r="D295" s="18" t="inlineStr">
        <is>
          <t>NEW</t>
        </is>
      </c>
      <c r="E295" s="19" t="inlineStr"/>
      <c r="F295" s="18" t="inlineStr"/>
      <c r="G295" s="19" t="inlineStr"/>
      <c r="H295" s="18" t="inlineStr"/>
      <c r="I295" s="20" t="inlineStr">
        <is>
          <t>Tiago Miranda</t>
        </is>
      </c>
      <c r="J295" s="20" t="inlineStr">
        <is>
          <t>Administrator</t>
        </is>
      </c>
      <c r="K295" s="20" t="inlineStr">
        <is>
          <t>(99) 9642-0648</t>
        </is>
      </c>
      <c r="L295" s="20" t="inlineStr"/>
      <c r="M295" s="20" t="inlineStr"/>
      <c r="N295" s="20" t="inlineStr"/>
      <c r="O295" s="20" t="inlineStr"/>
      <c r="P295" s="20" t="inlineStr"/>
      <c r="Q295" s="20" t="inlineStr"/>
      <c r="R295" s="20" t="inlineStr"/>
      <c r="S295" s="20" t="inlineStr"/>
      <c r="T295" s="21" t="n">
        <v>480000</v>
      </c>
      <c r="U295" s="22" t="inlineStr">
        <is>
          <t>B</t>
        </is>
      </c>
      <c r="V295" s="23">
        <f>IFERROR(VLOOKUP(U295,Assumptions!$A$7:$D$11,2,FALSE),0)</f>
        <v/>
      </c>
      <c r="W295" s="24">
        <f>MAX(0.5,IFERROR(VLOOKUP(U295,Assumptions!$A$7:$D$11,3,FALSE),3)+IFERROR(VLOOKUP(U295,Assumptions!$A$7:$D$11,4,FALSE),8)/2-IF(AN295="",0,YEAR(TODAY())-AN295))</f>
        <v/>
      </c>
      <c r="X295" s="21">
        <f>T295*V295/(1+Assumptions!$B$3)^W295</f>
        <v/>
      </c>
      <c r="Y295" s="25">
        <f>IF(T295=0,"",ROUND(X295/T295*100,1))</f>
        <v/>
      </c>
      <c r="Z295" s="26">
        <f>X295*Assumptions!$B$4</f>
        <v/>
      </c>
      <c r="AA295" s="25">
        <f>IF(T295=0,"",ROUND(Z295/T295*100,1))</f>
        <v/>
      </c>
      <c r="AB295" s="26">
        <f>X295-Z295</f>
        <v/>
      </c>
      <c r="AC295" s="25">
        <f>IF(T295=0,"",ROUND((X295-Z295)/T295*100,1))</f>
        <v/>
      </c>
      <c r="AD295" s="27" t="inlineStr">
        <is>
          <t>ESTIMATED</t>
        </is>
      </c>
      <c r="AE295" s="28" t="inlineStr">
        <is>
          <t>https://scalzilliaj.com.br/sgc/download.php?file=files/processo_documento/processo_documento15542620022025_1_.pdf&amp;nome=11 - Relação de credores - art. 7º, §2º, da LREF</t>
        </is>
      </c>
      <c r="AF295" s="27" t="inlineStr">
        <is>
          <t>p1 r6</t>
        </is>
      </c>
      <c r="AG295" s="27" t="inlineStr">
        <is>
          <t>p1: R$ 480.000,00</t>
        </is>
      </c>
      <c r="AH295" s="27" t="inlineStr">
        <is>
          <t>AJ_LIST</t>
        </is>
      </c>
      <c r="AI295" s="27" t="inlineStr">
        <is>
          <t>2025-02-19</t>
        </is>
      </c>
      <c r="AJ295" s="27" t="inlineStr">
        <is>
          <t>OK_NO_TOTALS</t>
        </is>
      </c>
      <c r="AK295" s="29" t="inlineStr">
        <is>
          <t>0028131-73.2024.8.16.0017</t>
        </is>
      </c>
      <c r="AL295" s="29" t="inlineStr">
        <is>
          <t>TJPR</t>
        </is>
      </c>
      <c r="AM295" s="29" t="inlineStr">
        <is>
          <t>ACTIVE</t>
        </is>
      </c>
      <c r="AN295" s="29" t="n">
        <v>2024</v>
      </c>
      <c r="AO295" s="29" t="inlineStr">
        <is>
          <t>live case, no plan document yet</t>
        </is>
      </c>
      <c r="AP295" s="29" t="inlineStr">
        <is>
          <t>LUIS EDUARDO MAGALHAES</t>
        </is>
      </c>
      <c r="AQ295" s="29" t="inlineStr">
        <is>
          <t>BA</t>
        </is>
      </c>
      <c r="AR295" s="29" t="inlineStr">
        <is>
          <t>Comércio atacadista de máquinas, aparelhos e equipamentos para uso agropecuário; partes e peças</t>
        </is>
      </c>
      <c r="AS295" s="29" t="inlineStr">
        <is>
          <t>DEMAIS</t>
        </is>
      </c>
      <c r="AT295" s="29" t="inlineStr">
        <is>
          <t>MID-MARKET</t>
        </is>
      </c>
      <c r="AU295" s="29" t="inlineStr">
        <is>
          <t>30494410</t>
        </is>
      </c>
      <c r="AV295" s="29" t="n">
        <v>1</v>
      </c>
      <c r="AW295" s="29" t="inlineStr">
        <is>
          <t>ROWS:p1r6 UNRECONCILED_SOURCE</t>
        </is>
      </c>
    </row>
    <row r="296">
      <c r="A296" s="15" t="inlineStr">
        <is>
          <t>FCC CIENCIA DOS MATERIAIS LTDA.</t>
        </is>
      </c>
      <c r="B296" s="16" t="n">
        <v>439222.79</v>
      </c>
      <c r="C296" s="17" t="inlineStr"/>
      <c r="D296" s="18" t="inlineStr">
        <is>
          <t>NEW</t>
        </is>
      </c>
      <c r="E296" s="19" t="inlineStr"/>
      <c r="F296" s="18" t="inlineStr"/>
      <c r="G296" s="19" t="inlineStr"/>
      <c r="H296" s="18" t="inlineStr"/>
      <c r="I296" s="20" t="inlineStr">
        <is>
          <t>MARCELO ANDRE REICHERT</t>
        </is>
      </c>
      <c r="J296" s="20" t="inlineStr">
        <is>
          <t>Sócio-Administrador</t>
        </is>
      </c>
      <c r="K296" s="20" t="inlineStr">
        <is>
          <t>(51) 2129-2200</t>
        </is>
      </c>
      <c r="L296" s="20" t="inlineStr"/>
      <c r="M296" s="20" t="inlineStr"/>
      <c r="N296" s="20" t="inlineStr"/>
      <c r="O296" s="20" t="inlineStr"/>
      <c r="P296" s="20" t="inlineStr">
        <is>
          <t>CRISTIANO RODRIGO ECKERT</t>
        </is>
      </c>
      <c r="Q296" s="20" t="inlineStr">
        <is>
          <t>Administrador</t>
        </is>
      </c>
      <c r="R296" s="20" t="inlineStr">
        <is>
          <t>(51) 2129-2200</t>
        </is>
      </c>
      <c r="S296" s="20" t="inlineStr"/>
      <c r="T296" s="21" t="n">
        <v>439222.79</v>
      </c>
      <c r="U296" s="31" t="inlineStr">
        <is>
          <t>C</t>
        </is>
      </c>
      <c r="V296" s="23">
        <f>IFERROR(VLOOKUP(U296,Assumptions!$A$7:$D$11,2,FALSE),0)</f>
        <v/>
      </c>
      <c r="W296" s="24">
        <f>MAX(0.5,IFERROR(VLOOKUP(U296,Assumptions!$A$7:$D$11,3,FALSE),3)+IFERROR(VLOOKUP(U296,Assumptions!$A$7:$D$11,4,FALSE),8)/2-IF(AN296="",0,YEAR(TODAY())-AN296))</f>
        <v/>
      </c>
      <c r="X296" s="21">
        <f>T296*V296/(1+Assumptions!$B$3)^W296</f>
        <v/>
      </c>
      <c r="Y296" s="25">
        <f>IF(T296=0,"",ROUND(X296/T296*100,1))</f>
        <v/>
      </c>
      <c r="Z296" s="26">
        <f>X296*Assumptions!$B$4</f>
        <v/>
      </c>
      <c r="AA296" s="25">
        <f>IF(T296=0,"",ROUND(Z296/T296*100,1))</f>
        <v/>
      </c>
      <c r="AB296" s="26">
        <f>X296-Z296</f>
        <v/>
      </c>
      <c r="AC296" s="25">
        <f>IF(T296=0,"",ROUND((X296-Z296)/T296*100,1))</f>
        <v/>
      </c>
      <c r="AD296" s="27" t="inlineStr">
        <is>
          <t>UNKNOWN</t>
        </is>
      </c>
      <c r="AE296" s="28" t="inlineStr">
        <is>
          <t>https://administradorajudicialgs.com.br/wp-content/uploads/2024/12/relacao-de-credores-da-falida.pdf</t>
        </is>
      </c>
      <c r="AF296" s="27" t="inlineStr">
        <is>
          <t>p14 r38</t>
        </is>
      </c>
      <c r="AG296" s="27" t="inlineStr">
        <is>
          <t>p14: R$ 439.222,79</t>
        </is>
      </c>
      <c r="AH296" s="27" t="inlineStr">
        <is>
          <t>UNKNOWN</t>
        </is>
      </c>
      <c r="AI296" s="27" t="inlineStr">
        <is>
          <t>2025-03-25</t>
        </is>
      </c>
      <c r="AJ296" s="27" t="inlineStr">
        <is>
          <t>OK_NO_TOTALS</t>
        </is>
      </c>
      <c r="AK296" s="29" t="inlineStr">
        <is>
          <t>0005010-50.2013.8.24.0026</t>
        </is>
      </c>
      <c r="AL296" s="29" t="inlineStr">
        <is>
          <t>TJ</t>
        </is>
      </c>
      <c r="AM296" s="29" t="inlineStr"/>
      <c r="AN296" s="29" t="n">
        <v>2013</v>
      </c>
      <c r="AO296" s="29" t="inlineStr">
        <is>
          <t>13y since filing, no plan document</t>
        </is>
      </c>
      <c r="AP296" s="29" t="inlineStr">
        <is>
          <t>CAMPO BOM</t>
        </is>
      </c>
      <c r="AQ296" s="29" t="inlineStr">
        <is>
          <t>RS</t>
        </is>
      </c>
      <c r="AR296" s="29" t="inlineStr">
        <is>
          <t>Fabricação de resinas termoplásticas</t>
        </is>
      </c>
      <c r="AS296" s="29" t="inlineStr">
        <is>
          <t>DEMAIS</t>
        </is>
      </c>
      <c r="AT296" s="29" t="inlineStr">
        <is>
          <t>MID-MARKET</t>
        </is>
      </c>
      <c r="AU296" s="29" t="inlineStr">
        <is>
          <t>88065321</t>
        </is>
      </c>
      <c r="AV296" s="29" t="n">
        <v>1</v>
      </c>
      <c r="AW296" s="29" t="inlineStr">
        <is>
          <t>ROWS:p14r38 UNRECONCILED_SOURCE</t>
        </is>
      </c>
    </row>
    <row r="297">
      <c r="A297" s="15" t="inlineStr">
        <is>
          <t>ALUMINIO SAO JOSE LTDA.</t>
        </is>
      </c>
      <c r="B297" s="16" t="n">
        <v>596077.15</v>
      </c>
      <c r="C297" s="17" t="inlineStr">
        <is>
          <t>GRUPO CASAS BAHIA S.A.</t>
        </is>
      </c>
      <c r="D297" s="18" t="inlineStr">
        <is>
          <t>NEW</t>
        </is>
      </c>
      <c r="E297" s="19" t="inlineStr"/>
      <c r="F297" s="18" t="inlineStr"/>
      <c r="G297" s="19" t="inlineStr"/>
      <c r="H297" s="18" t="inlineStr"/>
      <c r="I297" s="20" t="inlineStr">
        <is>
          <t>Polliana Santos</t>
        </is>
      </c>
      <c r="J297" s="20" t="inlineStr">
        <is>
          <t>Supervisor de Finanças</t>
        </is>
      </c>
      <c r="K297" s="20" t="inlineStr">
        <is>
          <t>(48) 2106-6600</t>
        </is>
      </c>
      <c r="L297" s="20" t="inlineStr"/>
      <c r="M297" s="20" t="inlineStr"/>
      <c r="N297" s="20" t="inlineStr">
        <is>
          <t>polliana@aluminiosaojose.com.br</t>
        </is>
      </c>
      <c r="O297" s="20" t="inlineStr">
        <is>
          <t>nicolau@aluminiosaojose.com.br</t>
        </is>
      </c>
      <c r="P297" s="20" t="inlineStr">
        <is>
          <t>Nicolau Back</t>
        </is>
      </c>
      <c r="Q297" s="20" t="inlineStr">
        <is>
          <t>Alcoa</t>
        </is>
      </c>
      <c r="R297" s="20" t="inlineStr"/>
      <c r="S297" s="20" t="inlineStr">
        <is>
          <t>nicolau@aluminiosaojose.com.br</t>
        </is>
      </c>
      <c r="T297" s="21" t="n">
        <v>596077.15</v>
      </c>
      <c r="U297" s="22" t="inlineStr">
        <is>
          <t>B</t>
        </is>
      </c>
      <c r="V297" s="23">
        <f>IFERROR(VLOOKUP(U297,Assumptions!$A$7:$D$11,2,FALSE),0)</f>
        <v/>
      </c>
      <c r="W297" s="24">
        <f>MAX(0.5,IFERROR(VLOOKUP(U297,Assumptions!$A$7:$D$11,3,FALSE),3)+IFERROR(VLOOKUP(U297,Assumptions!$A$7:$D$11,4,FALSE),8)/2-IF(AN297="",0,YEAR(TODAY())-AN297))</f>
        <v/>
      </c>
      <c r="X297" s="21">
        <f>T297*V297/(1+Assumptions!$B$3)^W297</f>
        <v/>
      </c>
      <c r="Y297" s="25">
        <f>IF(T297=0,"",ROUND(X297/T297*100,1))</f>
        <v/>
      </c>
      <c r="Z297" s="26">
        <f>X297*Assumptions!$B$4</f>
        <v/>
      </c>
      <c r="AA297" s="25">
        <f>IF(T297=0,"",ROUND(Z297/T297*100,1))</f>
        <v/>
      </c>
      <c r="AB297" s="26">
        <f>X297-Z297</f>
        <v/>
      </c>
      <c r="AC297" s="25">
        <f>IF(T297=0,"",ROUND((X297-Z297)/T297*100,1))</f>
        <v/>
      </c>
      <c r="AD297" s="27" t="inlineStr">
        <is>
          <t>UNKNOWN</t>
        </is>
      </c>
      <c r="AE297" s="28" t="inlineStr">
        <is>
          <t>https://scalzilliaj.com.br/sgc/download.php?file=files/processo_documento/processo_documento15180810062026_1_.pdf&amp;nome=10 - Relação de credores do art. 7º, §2º, da Lei 11.101/2005</t>
        </is>
      </c>
      <c r="AF297" s="27" t="inlineStr">
        <is>
          <t>p1 r17</t>
        </is>
      </c>
      <c r="AG297" s="27" t="inlineStr">
        <is>
          <t>p1: R$ 596.077,15</t>
        </is>
      </c>
      <c r="AH297" s="27" t="inlineStr">
        <is>
          <t>AJ_LIST</t>
        </is>
      </c>
      <c r="AI297" s="27" t="inlineStr"/>
      <c r="AJ297" s="27" t="inlineStr">
        <is>
          <t>OK_NO_TOTALS</t>
        </is>
      </c>
      <c r="AK297" s="29" t="inlineStr">
        <is>
          <t>5009529-81.2025.8.24.0019</t>
        </is>
      </c>
      <c r="AL297" s="29" t="inlineStr">
        <is>
          <t>TJ</t>
        </is>
      </c>
      <c r="AM297" s="29" t="inlineStr"/>
      <c r="AN297" s="29" t="n">
        <v>2025</v>
      </c>
      <c r="AO297" s="29" t="inlineStr">
        <is>
          <t>live case, no plan document yet</t>
        </is>
      </c>
      <c r="AP297" s="29" t="inlineStr">
        <is>
          <t>SAO JOSE</t>
        </is>
      </c>
      <c r="AQ297" s="29" t="inlineStr">
        <is>
          <t>SC</t>
        </is>
      </c>
      <c r="AR297" s="29" t="inlineStr">
        <is>
          <t>Comércio atacadista de ferragens e ferramentas</t>
        </is>
      </c>
      <c r="AS297" s="29" t="inlineStr">
        <is>
          <t>DEMAIS</t>
        </is>
      </c>
      <c r="AT297" s="29" t="inlineStr">
        <is>
          <t>MID-MARKET</t>
        </is>
      </c>
      <c r="AU297" s="29" t="inlineStr">
        <is>
          <t>04954155</t>
        </is>
      </c>
      <c r="AV297" s="29" t="n">
        <v>1</v>
      </c>
      <c r="AW297" s="29" t="inlineStr">
        <is>
          <t>ROWS:p1r17 UNRECONCILED_SOURCE VALUE_COL:Valor_(Art._7º,_§2º)</t>
        </is>
      </c>
    </row>
    <row r="298">
      <c r="A298" s="15" t="inlineStr">
        <is>
          <t>MICROVET-MICROBIOLOGIA VETERINARIA ESPECIAL LTDA</t>
        </is>
      </c>
      <c r="B298" s="16" t="n">
        <v>475385.92</v>
      </c>
      <c r="C298" s="17" t="inlineStr"/>
      <c r="D298" s="18" t="inlineStr">
        <is>
          <t>NEW</t>
        </is>
      </c>
      <c r="E298" s="19" t="inlineStr"/>
      <c r="F298" s="18" t="inlineStr"/>
      <c r="G298" s="19" t="inlineStr"/>
      <c r="H298" s="18" t="inlineStr"/>
      <c r="I298" s="20" t="inlineStr">
        <is>
          <t>JOSE LUCIO DOS SANTOS</t>
        </is>
      </c>
      <c r="J298" s="20" t="inlineStr">
        <is>
          <t>Administrador</t>
        </is>
      </c>
      <c r="K298" s="20" t="inlineStr">
        <is>
          <t>(31) 3891-2551</t>
        </is>
      </c>
      <c r="L298" s="20" t="inlineStr"/>
      <c r="M298" s="20" t="inlineStr"/>
      <c r="N298" s="20" t="inlineStr"/>
      <c r="O298" s="20" t="inlineStr"/>
      <c r="P298" s="20" t="inlineStr"/>
      <c r="Q298" s="20" t="inlineStr"/>
      <c r="R298" s="20" t="inlineStr"/>
      <c r="S298" s="20" t="inlineStr"/>
      <c r="T298" s="21" t="n">
        <v>475385.92</v>
      </c>
      <c r="U298" s="22" t="inlineStr">
        <is>
          <t>B</t>
        </is>
      </c>
      <c r="V298" s="23">
        <f>IFERROR(VLOOKUP(U298,Assumptions!$A$7:$D$11,2,FALSE),0)</f>
        <v/>
      </c>
      <c r="W298" s="24">
        <f>MAX(0.5,IFERROR(VLOOKUP(U298,Assumptions!$A$7:$D$11,3,FALSE),3)+IFERROR(VLOOKUP(U298,Assumptions!$A$7:$D$11,4,FALSE),8)/2-IF(AN298="",0,YEAR(TODAY())-AN298))</f>
        <v/>
      </c>
      <c r="X298" s="21">
        <f>T298*V298/(1+Assumptions!$B$3)^W298</f>
        <v/>
      </c>
      <c r="Y298" s="25">
        <f>IF(T298=0,"",ROUND(X298/T298*100,1))</f>
        <v/>
      </c>
      <c r="Z298" s="26">
        <f>X298*Assumptions!$B$4</f>
        <v/>
      </c>
      <c r="AA298" s="25">
        <f>IF(T298=0,"",ROUND(Z298/T298*100,1))</f>
        <v/>
      </c>
      <c r="AB298" s="26">
        <f>X298-Z298</f>
        <v/>
      </c>
      <c r="AC298" s="25">
        <f>IF(T298=0,"",ROUND((X298-Z298)/T298*100,1))</f>
        <v/>
      </c>
      <c r="AD298" s="27" t="inlineStr">
        <is>
          <t>ESTIMATED</t>
        </is>
      </c>
      <c r="AE298" s="28" t="inlineStr">
        <is>
          <t>https://rlg-aj.com.br/wp-content/uploads/2024/11/07.-Relação-de-credores.pdf</t>
        </is>
      </c>
      <c r="AF298" s="27" t="inlineStr">
        <is>
          <t>p1 r29</t>
        </is>
      </c>
      <c r="AG298" s="27" t="inlineStr">
        <is>
          <t>p1: R$ 475.385,92</t>
        </is>
      </c>
      <c r="AH298" s="27" t="inlineStr">
        <is>
          <t>UNKNOWN</t>
        </is>
      </c>
      <c r="AI298" s="27" t="inlineStr"/>
      <c r="AJ298" s="27" t="inlineStr">
        <is>
          <t>OK_NO_TOTALS</t>
        </is>
      </c>
      <c r="AK298" s="29" t="inlineStr">
        <is>
          <t>5009149-92.2024.8.24.0019</t>
        </is>
      </c>
      <c r="AL298" s="29" t="inlineStr">
        <is>
          <t>TJSC</t>
        </is>
      </c>
      <c r="AM298" s="29" t="inlineStr">
        <is>
          <t>ACTIVE</t>
        </is>
      </c>
      <c r="AN298" s="29" t="n">
        <v>2024</v>
      </c>
      <c r="AO298" s="29" t="inlineStr">
        <is>
          <t>live case, no plan document yet</t>
        </is>
      </c>
      <c r="AP298" s="29" t="inlineStr">
        <is>
          <t>VICOSA</t>
        </is>
      </c>
      <c r="AQ298" s="29" t="inlineStr">
        <is>
          <t>MG</t>
        </is>
      </c>
      <c r="AR298" s="29" t="inlineStr">
        <is>
          <t>Fabricação de medicamentos para uso veterinário</t>
        </is>
      </c>
      <c r="AS298" s="29" t="inlineStr">
        <is>
          <t>DEMAIS</t>
        </is>
      </c>
      <c r="AT298" s="29" t="inlineStr">
        <is>
          <t>MID-MARKET</t>
        </is>
      </c>
      <c r="AU298" s="29" t="inlineStr">
        <is>
          <t>26233064</t>
        </is>
      </c>
      <c r="AV298" s="29" t="n">
        <v>1</v>
      </c>
      <c r="AW298" s="29" t="inlineStr">
        <is>
          <t>ROWS:p1r29 UNRECONCILED_SOURCE</t>
        </is>
      </c>
    </row>
    <row r="299">
      <c r="A299" s="15" t="inlineStr">
        <is>
          <t>LIBER EMPREENDIMENTOS IMOBILIARIOS LTDA</t>
        </is>
      </c>
      <c r="B299" s="16" t="n">
        <v>470000</v>
      </c>
      <c r="C299" s="17" t="inlineStr">
        <is>
          <t>GRUPO ADLIM – LRF Líderes em Recuperação Judicial e Falência</t>
        </is>
      </c>
      <c r="D299" s="18" t="inlineStr">
        <is>
          <t>NEW</t>
        </is>
      </c>
      <c r="E299" s="19" t="inlineStr"/>
      <c r="F299" s="18" t="inlineStr"/>
      <c r="G299" s="19" t="inlineStr"/>
      <c r="H299" s="18" t="inlineStr"/>
      <c r="I299" s="20" t="inlineStr">
        <is>
          <t>NILZA DINIZ SOUSA</t>
        </is>
      </c>
      <c r="J299" s="20" t="inlineStr">
        <is>
          <t>Sócio-Administrador</t>
        </is>
      </c>
      <c r="K299" s="20" t="inlineStr">
        <is>
          <t>(81) 3252-6115</t>
        </is>
      </c>
      <c r="L299" s="20" t="inlineStr"/>
      <c r="M299" s="20" t="inlineStr"/>
      <c r="N299" s="20" t="inlineStr"/>
      <c r="O299" s="20" t="inlineStr"/>
      <c r="P299" s="20" t="inlineStr"/>
      <c r="Q299" s="20" t="inlineStr"/>
      <c r="R299" s="20" t="inlineStr"/>
      <c r="S299" s="20" t="inlineStr"/>
      <c r="T299" s="21" t="n">
        <v>470000</v>
      </c>
      <c r="U299" s="22" t="inlineStr">
        <is>
          <t>B</t>
        </is>
      </c>
      <c r="V299" s="23">
        <f>IFERROR(VLOOKUP(U299,Assumptions!$A$7:$D$11,2,FALSE),0)</f>
        <v/>
      </c>
      <c r="W299" s="24">
        <f>MAX(0.5,IFERROR(VLOOKUP(U299,Assumptions!$A$7:$D$11,3,FALSE),3)+IFERROR(VLOOKUP(U299,Assumptions!$A$7:$D$11,4,FALSE),8)/2-IF(AN299="",0,YEAR(TODAY())-AN299))</f>
        <v/>
      </c>
      <c r="X299" s="21">
        <f>T299*V299/(1+Assumptions!$B$3)^W299</f>
        <v/>
      </c>
      <c r="Y299" s="25">
        <f>IF(T299=0,"",ROUND(X299/T299*100,1))</f>
        <v/>
      </c>
      <c r="Z299" s="26">
        <f>X299*Assumptions!$B$4</f>
        <v/>
      </c>
      <c r="AA299" s="25">
        <f>IF(T299=0,"",ROUND(Z299/T299*100,1))</f>
        <v/>
      </c>
      <c r="AB299" s="26">
        <f>X299-Z299</f>
        <v/>
      </c>
      <c r="AC299" s="25">
        <f>IF(T299=0,"",ROUND((X299-Z299)/T299*100,1))</f>
        <v/>
      </c>
      <c r="AD299" s="27" t="inlineStr">
        <is>
          <t>ESTIMATED</t>
        </is>
      </c>
      <c r="AE299" s="28" t="inlineStr">
        <is>
          <t>https://lrflideres.com.br/wp-content/plugins/download-attachments/includes/download.php?id=6051</t>
        </is>
      </c>
      <c r="AF299" s="27" t="inlineStr">
        <is>
          <t>p67 r22</t>
        </is>
      </c>
      <c r="AG299" s="27" t="inlineStr">
        <is>
          <t>p67: R$ 470000,00</t>
        </is>
      </c>
      <c r="AH299" s="27" t="inlineStr">
        <is>
          <t>AJ_LIST</t>
        </is>
      </c>
      <c r="AI299" s="27" t="inlineStr">
        <is>
          <t>2024-08-12</t>
        </is>
      </c>
      <c r="AJ299" s="27" t="inlineStr">
        <is>
          <t>QUARANTINED</t>
        </is>
      </c>
      <c r="AK299" s="29" t="inlineStr">
        <is>
          <t>0019761-43.2024.8.17.2001</t>
        </is>
      </c>
      <c r="AL299" s="29" t="inlineStr">
        <is>
          <t>TJPE</t>
        </is>
      </c>
      <c r="AM299" s="29" t="inlineStr">
        <is>
          <t>ACTIVE</t>
        </is>
      </c>
      <c r="AN299" s="29" t="n">
        <v>2024</v>
      </c>
      <c r="AO299" s="29" t="inlineStr">
        <is>
          <t>live case, no plan document yet</t>
        </is>
      </c>
      <c r="AP299" s="29" t="inlineStr">
        <is>
          <t>RECIFE</t>
        </is>
      </c>
      <c r="AQ299" s="29" t="inlineStr">
        <is>
          <t>PE</t>
        </is>
      </c>
      <c r="AR299" s="29" t="inlineStr">
        <is>
          <t>Compra e venda de imóveis próprios</t>
        </is>
      </c>
      <c r="AS299" s="29" t="inlineStr">
        <is>
          <t>DEMAIS</t>
        </is>
      </c>
      <c r="AT299" s="29" t="inlineStr">
        <is>
          <t>MID-MARKET</t>
        </is>
      </c>
      <c r="AU299" s="29" t="inlineStr">
        <is>
          <t>11841434</t>
        </is>
      </c>
      <c r="AV299" s="29" t="n">
        <v>1</v>
      </c>
      <c r="AW299" s="29" t="inlineStr">
        <is>
          <t>PARTIAL_DOC_CLASS_III_RECONCILED ROWS:p67r22</t>
        </is>
      </c>
    </row>
    <row r="300">
      <c r="A300" s="15" t="inlineStr">
        <is>
          <t>DOCK TECNOLOGIA S.A.</t>
        </is>
      </c>
      <c r="B300" s="16" t="n">
        <v>300283.06</v>
      </c>
      <c r="C300" s="17" t="inlineStr">
        <is>
          <t>R W CONSTRUCOES LTDA</t>
        </is>
      </c>
      <c r="D300" s="18" t="inlineStr">
        <is>
          <t>NEW</t>
        </is>
      </c>
      <c r="E300" s="19" t="inlineStr"/>
      <c r="F300" s="18" t="inlineStr"/>
      <c r="G300" s="19" t="inlineStr"/>
      <c r="H300" s="18" t="inlineStr"/>
      <c r="I300" s="20" t="inlineStr">
        <is>
          <t>Valerio Zarro</t>
        </is>
      </c>
      <c r="J300" s="20" t="inlineStr">
        <is>
          <t>Chief Financial Officer</t>
        </is>
      </c>
      <c r="K300" s="20" t="inlineStr">
        <is>
          <t>(11) 3889-1800</t>
        </is>
      </c>
      <c r="L300" s="20" t="inlineStr"/>
      <c r="M300" s="20" t="inlineStr"/>
      <c r="N300" s="20" t="inlineStr">
        <is>
          <t>valerio.zarro@dock.tech</t>
        </is>
      </c>
      <c r="O300" s="20" t="inlineStr">
        <is>
          <t>estela.souza@dock.tech</t>
        </is>
      </c>
      <c r="P300" s="20" t="inlineStr">
        <is>
          <t>Estela Souza</t>
        </is>
      </c>
      <c r="Q300" s="20" t="inlineStr">
        <is>
          <t>Analista de Cobrança Pleno</t>
        </is>
      </c>
      <c r="R300" s="20" t="inlineStr"/>
      <c r="S300" s="20" t="inlineStr">
        <is>
          <t>estela.souza@dock.tech</t>
        </is>
      </c>
      <c r="T300" s="21" t="n">
        <v>300283.06</v>
      </c>
      <c r="U300" s="22" t="inlineStr">
        <is>
          <t>B</t>
        </is>
      </c>
      <c r="V300" s="23">
        <f>IFERROR(VLOOKUP(U300,Assumptions!$A$7:$D$11,2,FALSE),0)</f>
        <v/>
      </c>
      <c r="W300" s="24">
        <f>MAX(0.5,IFERROR(VLOOKUP(U300,Assumptions!$A$7:$D$11,3,FALSE),3)+IFERROR(VLOOKUP(U300,Assumptions!$A$7:$D$11,4,FALSE),8)/2-IF(AN300="",0,YEAR(TODAY())-AN300))</f>
        <v/>
      </c>
      <c r="X300" s="21">
        <f>T300*V300/(1+Assumptions!$B$3)^W300</f>
        <v/>
      </c>
      <c r="Y300" s="25">
        <f>IF(T300=0,"",ROUND(X300/T300*100,1))</f>
        <v/>
      </c>
      <c r="Z300" s="26">
        <f>X300*Assumptions!$B$4</f>
        <v/>
      </c>
      <c r="AA300" s="25">
        <f>IF(T300=0,"",ROUND(Z300/T300*100,1))</f>
        <v/>
      </c>
      <c r="AB300" s="26">
        <f>X300-Z300</f>
        <v/>
      </c>
      <c r="AC300" s="25">
        <f>IF(T300=0,"",ROUND((X300-Z300)/T300*100,1))</f>
        <v/>
      </c>
      <c r="AD300" s="27" t="inlineStr">
        <is>
          <t>ESTIMATED</t>
        </is>
      </c>
      <c r="AE300" s="28" t="inlineStr">
        <is>
          <t>https://lrflideres.com.br/wp-content/plugins/download-attachments/includes/download.php?id=4023</t>
        </is>
      </c>
      <c r="AF300" s="27" t="inlineStr">
        <is>
          <t>p7 r85</t>
        </is>
      </c>
      <c r="AG300" s="27" t="inlineStr">
        <is>
          <t>p7: R$ 300.283,06</t>
        </is>
      </c>
      <c r="AH300" s="27" t="inlineStr">
        <is>
          <t>DEBTOR_LIST</t>
        </is>
      </c>
      <c r="AI300" s="27" t="inlineStr"/>
      <c r="AJ300" s="27" t="inlineStr">
        <is>
          <t>QUARANTINED</t>
        </is>
      </c>
      <c r="AK300" s="29" t="inlineStr">
        <is>
          <t>0002484-82.2022.8.17.2001</t>
        </is>
      </c>
      <c r="AL300" s="29" t="inlineStr">
        <is>
          <t>TJPE</t>
        </is>
      </c>
      <c r="AM300" s="29" t="inlineStr">
        <is>
          <t>ACTIVE</t>
        </is>
      </c>
      <c r="AN300" s="29" t="n">
        <v>2022</v>
      </c>
      <c r="AO300" s="29" t="inlineStr">
        <is>
          <t>live case, no plan document yet</t>
        </is>
      </c>
      <c r="AP300" s="29" t="inlineStr">
        <is>
          <t>BARUERI</t>
        </is>
      </c>
      <c r="AQ300" s="29" t="inlineStr">
        <is>
          <t>SP</t>
        </is>
      </c>
      <c r="AR300" s="29" t="inlineStr">
        <is>
          <t>Atividades de consultoria em gestão empresarial, exceto consultoria técnica específica</t>
        </is>
      </c>
      <c r="AS300" s="29" t="inlineStr">
        <is>
          <t>DEMAIS</t>
        </is>
      </c>
      <c r="AT300" s="29" t="inlineStr">
        <is>
          <t>LARGE CORP</t>
        </is>
      </c>
      <c r="AU300" s="29" t="inlineStr">
        <is>
          <t>03645772</t>
        </is>
      </c>
      <c r="AV300" s="29" t="n">
        <v>1</v>
      </c>
      <c r="AW300" s="29" t="inlineStr">
        <is>
          <t>PARTIAL_DOC_CLASS_III_RECONCILED ROWS:p7r85</t>
        </is>
      </c>
    </row>
    <row r="301">
      <c r="A301" s="15" t="inlineStr">
        <is>
          <t>RAVATO DISTRIBUIDORA DE COMBUSTIVEIS LTDA</t>
        </is>
      </c>
      <c r="B301" s="16" t="n">
        <v>373976.81</v>
      </c>
      <c r="C301" s="17" t="inlineStr">
        <is>
          <t>ADVOCACIA WANDERLEI DE PAULA BARRETO</t>
        </is>
      </c>
      <c r="D301" s="18" t="inlineStr">
        <is>
          <t>NEW</t>
        </is>
      </c>
      <c r="E301" s="19" t="inlineStr"/>
      <c r="F301" s="18" t="inlineStr"/>
      <c r="G301" s="19" t="inlineStr"/>
      <c r="H301" s="18" t="inlineStr"/>
      <c r="I301" s="20" t="inlineStr">
        <is>
          <t>LUCIANO DEMICHELI</t>
        </is>
      </c>
      <c r="J301" s="20" t="inlineStr">
        <is>
          <t>Administrador</t>
        </is>
      </c>
      <c r="K301" s="20" t="inlineStr">
        <is>
          <t>(42) 3520-2100</t>
        </is>
      </c>
      <c r="L301" s="20" t="inlineStr">
        <is>
          <t>(42) 3520-2110</t>
        </is>
      </c>
      <c r="M301" s="20" t="inlineStr"/>
      <c r="N301" s="20" t="inlineStr"/>
      <c r="O301" s="20" t="inlineStr"/>
      <c r="P301" s="20" t="inlineStr">
        <is>
          <t>MARLEY DE BRITO ALMEIDA</t>
        </is>
      </c>
      <c r="Q301" s="20" t="inlineStr">
        <is>
          <t>Administrador</t>
        </is>
      </c>
      <c r="R301" s="20" t="inlineStr">
        <is>
          <t>(42) 3520-2110</t>
        </is>
      </c>
      <c r="S301" s="20" t="inlineStr"/>
      <c r="T301" s="21" t="n">
        <v>373976.81</v>
      </c>
      <c r="U301" s="22" t="inlineStr">
        <is>
          <t>B</t>
        </is>
      </c>
      <c r="V301" s="23">
        <f>IFERROR(VLOOKUP(U301,Assumptions!$A$7:$D$11,2,FALSE),0)</f>
        <v/>
      </c>
      <c r="W301" s="24">
        <f>MAX(0.5,IFERROR(VLOOKUP(U301,Assumptions!$A$7:$D$11,3,FALSE),3)+IFERROR(VLOOKUP(U301,Assumptions!$A$7:$D$11,4,FALSE),8)/2-IF(AN301="",0,YEAR(TODAY())-AN301))</f>
        <v/>
      </c>
      <c r="X301" s="21">
        <f>T301*V301/(1+Assumptions!$B$3)^W301</f>
        <v/>
      </c>
      <c r="Y301" s="25">
        <f>IF(T301=0,"",ROUND(X301/T301*100,1))</f>
        <v/>
      </c>
      <c r="Z301" s="26">
        <f>X301*Assumptions!$B$4</f>
        <v/>
      </c>
      <c r="AA301" s="25">
        <f>IF(T301=0,"",ROUND(Z301/T301*100,1))</f>
        <v/>
      </c>
      <c r="AB301" s="26">
        <f>X301-Z301</f>
        <v/>
      </c>
      <c r="AC301" s="25">
        <f>IF(T301=0,"",ROUND((X301-Z301)/T301*100,1))</f>
        <v/>
      </c>
      <c r="AD301" s="27" t="inlineStr">
        <is>
          <t>ESTIMATED</t>
        </is>
      </c>
      <c r="AE301" s="28" t="inlineStr">
        <is>
          <t>https://marquesadmjudicial.com.br/sgc/download.php?file=files/processo_documento/processo_documento17040729052024_1_.pdf&amp;nome=Relação Nominal de Credores AJ-Sintética</t>
        </is>
      </c>
      <c r="AF301" s="27" t="inlineStr">
        <is>
          <t>p12 r14</t>
        </is>
      </c>
      <c r="AG301" s="27" t="inlineStr">
        <is>
          <t>p12: R$ 373.976,81</t>
        </is>
      </c>
      <c r="AH301" s="27" t="inlineStr">
        <is>
          <t>AJ_LIST</t>
        </is>
      </c>
      <c r="AI301" s="27" t="inlineStr">
        <is>
          <t>2024-05-27</t>
        </is>
      </c>
      <c r="AJ301" s="27" t="inlineStr">
        <is>
          <t>QUARANTINED</t>
        </is>
      </c>
      <c r="AK301" s="29" t="inlineStr">
        <is>
          <t>0003971-03.2023.8.16.0119</t>
        </is>
      </c>
      <c r="AL301" s="29" t="inlineStr">
        <is>
          <t>TJPR</t>
        </is>
      </c>
      <c r="AM301" s="29" t="inlineStr">
        <is>
          <t>ACTIVE</t>
        </is>
      </c>
      <c r="AN301" s="29" t="n">
        <v>2023</v>
      </c>
      <c r="AO301" s="29" t="inlineStr">
        <is>
          <t>live case, no plan document yet</t>
        </is>
      </c>
      <c r="AP301" s="29" t="inlineStr">
        <is>
          <t>SAO MATEUS DO SUL</t>
        </is>
      </c>
      <c r="AQ301" s="29" t="inlineStr">
        <is>
          <t>PR</t>
        </is>
      </c>
      <c r="AR301" s="29" t="inlineStr">
        <is>
          <t>Comércio atacadista de álcool carburante, biodiesel, gasolina e demais derivados de petróleo, exceto lubrificantes, não realizado por transportador re</t>
        </is>
      </c>
      <c r="AS301" s="29" t="inlineStr">
        <is>
          <t>DEMAIS</t>
        </is>
      </c>
      <c r="AT301" s="29" t="inlineStr">
        <is>
          <t>MID-MARKET</t>
        </is>
      </c>
      <c r="AU301" s="29" t="inlineStr">
        <is>
          <t>16978251</t>
        </is>
      </c>
      <c r="AV301" s="29" t="n">
        <v>1</v>
      </c>
      <c r="AW301" s="29" t="inlineStr">
        <is>
          <t>PARTIAL_DOC_CLASS_III_RECONCILED ROWS:p12r14</t>
        </is>
      </c>
    </row>
    <row r="302">
      <c r="A302" s="15" t="inlineStr">
        <is>
          <t>TELEFONICA CLOUD E TECNOLOGIA DO BRASIL S.A.</t>
        </is>
      </c>
      <c r="B302" s="16" t="n">
        <v>581750.48</v>
      </c>
      <c r="C302" s="17" t="inlineStr"/>
      <c r="D302" s="18" t="inlineStr">
        <is>
          <t>NEW</t>
        </is>
      </c>
      <c r="E302" s="19" t="inlineStr"/>
      <c r="F302" s="18" t="inlineStr"/>
      <c r="G302" s="19" t="inlineStr"/>
      <c r="H302" s="18" t="inlineStr"/>
      <c r="I302" s="20" t="inlineStr">
        <is>
          <t>DEBORA HEREDIA IGNACIO BORTOLASI</t>
        </is>
      </c>
      <c r="J302" s="20" t="inlineStr">
        <is>
          <t>Presidente</t>
        </is>
      </c>
      <c r="K302" s="20" t="inlineStr">
        <is>
          <t>(11) 3430-2145</t>
        </is>
      </c>
      <c r="L302" s="20" t="inlineStr"/>
      <c r="M302" s="20" t="inlineStr"/>
      <c r="N302" s="20" t="inlineStr"/>
      <c r="O302" s="20" t="inlineStr"/>
      <c r="P302" s="20" t="inlineStr">
        <is>
          <t>BRENO RODRIGO PACHECO DE OLIVEIRA</t>
        </is>
      </c>
      <c r="Q302" s="20" t="inlineStr">
        <is>
          <t>Diretor</t>
        </is>
      </c>
      <c r="R302" s="20" t="inlineStr">
        <is>
          <t>(11) 3430-2145</t>
        </is>
      </c>
      <c r="S302" s="20" t="inlineStr"/>
      <c r="T302" s="21" t="n">
        <v>581750.48</v>
      </c>
      <c r="U302" s="22" t="inlineStr">
        <is>
          <t>B</t>
        </is>
      </c>
      <c r="V302" s="23">
        <f>IFERROR(VLOOKUP(U302,Assumptions!$A$7:$D$11,2,FALSE),0)</f>
        <v/>
      </c>
      <c r="W302" s="24">
        <f>MAX(0.5,IFERROR(VLOOKUP(U302,Assumptions!$A$7:$D$11,3,FALSE),3)+IFERROR(VLOOKUP(U302,Assumptions!$A$7:$D$11,4,FALSE),8)/2-IF(AN302="",0,YEAR(TODAY())-AN302))</f>
        <v/>
      </c>
      <c r="X302" s="21">
        <f>T302*V302/(1+Assumptions!$B$3)^W302</f>
        <v/>
      </c>
      <c r="Y302" s="25">
        <f>IF(T302=0,"",ROUND(X302/T302*100,1))</f>
        <v/>
      </c>
      <c r="Z302" s="26">
        <f>X302*Assumptions!$B$4</f>
        <v/>
      </c>
      <c r="AA302" s="25">
        <f>IF(T302=0,"",ROUND(Z302/T302*100,1))</f>
        <v/>
      </c>
      <c r="AB302" s="26">
        <f>X302-Z302</f>
        <v/>
      </c>
      <c r="AC302" s="25">
        <f>IF(T302=0,"",ROUND((X302-Z302)/T302*100,1))</f>
        <v/>
      </c>
      <c r="AD302" s="27" t="inlineStr">
        <is>
          <t>UNKNOWN</t>
        </is>
      </c>
      <c r="AE302" s="28" t="inlineStr">
        <is>
          <t>https://credibilita.com.br/wp-content/uploads/2025/09/Relacao-Credores-29.04.2026.pdf</t>
        </is>
      </c>
      <c r="AF302" s="27" t="inlineStr">
        <is>
          <t>p2 r20</t>
        </is>
      </c>
      <c r="AG302" s="27" t="inlineStr">
        <is>
          <t>p2: R$ 581.750,48</t>
        </is>
      </c>
      <c r="AH302" s="27" t="inlineStr">
        <is>
          <t>UNKNOWN</t>
        </is>
      </c>
      <c r="AI302" s="27" t="inlineStr"/>
      <c r="AJ302" s="27" t="inlineStr">
        <is>
          <t>OK_NO_TOTALS</t>
        </is>
      </c>
      <c r="AK302" s="29" t="inlineStr">
        <is>
          <t>5057720-48.2025.8.24.0023</t>
        </is>
      </c>
      <c r="AL302" s="29" t="inlineStr">
        <is>
          <t>TJ</t>
        </is>
      </c>
      <c r="AM302" s="29" t="inlineStr"/>
      <c r="AN302" s="29" t="n">
        <v>2025</v>
      </c>
      <c r="AO302" s="29" t="inlineStr">
        <is>
          <t>live case, no plan document yet</t>
        </is>
      </c>
      <c r="AP302" s="29" t="inlineStr">
        <is>
          <t>SANTANA DE PARNAIBA</t>
        </is>
      </c>
      <c r="AQ302" s="29" t="inlineStr">
        <is>
          <t>SP</t>
        </is>
      </c>
      <c r="AR302" s="29" t="inlineStr">
        <is>
          <t>Consultoria em tecnologia da informação</t>
        </is>
      </c>
      <c r="AS302" s="29" t="inlineStr">
        <is>
          <t>DEMAIS</t>
        </is>
      </c>
      <c r="AT302" s="29" t="inlineStr">
        <is>
          <t>LARGE CORP</t>
        </is>
      </c>
      <c r="AU302" s="29" t="inlineStr">
        <is>
          <t>35473014</t>
        </is>
      </c>
      <c r="AV302" s="29" t="n">
        <v>1</v>
      </c>
      <c r="AW302" s="29" t="inlineStr">
        <is>
          <t>ROWS:p2r20 UNRECONCILED_SOURCE VALUE_COL:Valor_Após_Analise</t>
        </is>
      </c>
    </row>
    <row r="303">
      <c r="A303" s="15" t="inlineStr">
        <is>
          <t>VERTICE CONSTRUTORA E INCORPORADORA LTDA</t>
        </is>
      </c>
      <c r="B303" s="16" t="n">
        <v>580000</v>
      </c>
      <c r="C303" s="17" t="inlineStr">
        <is>
          <t>GRUPO CASAS BAHIA S.A.</t>
        </is>
      </c>
      <c r="D303" s="18" t="inlineStr">
        <is>
          <t>NEW</t>
        </is>
      </c>
      <c r="E303" s="19" t="inlineStr"/>
      <c r="F303" s="18" t="inlineStr"/>
      <c r="G303" s="19" t="inlineStr"/>
      <c r="H303" s="18" t="inlineStr"/>
      <c r="I303" s="20" t="inlineStr">
        <is>
          <t>GIANCARLOS AGNOLETTO</t>
        </is>
      </c>
      <c r="J303" s="20" t="inlineStr">
        <is>
          <t>Sócio-Administrador</t>
        </is>
      </c>
      <c r="K303" s="20" t="inlineStr">
        <is>
          <t>(49) 3322-1111</t>
        </is>
      </c>
      <c r="L303" s="20" t="inlineStr"/>
      <c r="M303" s="20" t="inlineStr"/>
      <c r="N303" s="20" t="inlineStr"/>
      <c r="O303" s="20" t="inlineStr"/>
      <c r="P303" s="20" t="inlineStr"/>
      <c r="Q303" s="20" t="inlineStr"/>
      <c r="R303" s="20" t="inlineStr"/>
      <c r="S303" s="20" t="inlineStr"/>
      <c r="T303" s="21" t="n">
        <v>580000</v>
      </c>
      <c r="U303" s="22" t="inlineStr">
        <is>
          <t>B</t>
        </is>
      </c>
      <c r="V303" s="23">
        <f>IFERROR(VLOOKUP(U303,Assumptions!$A$7:$D$11,2,FALSE),0)</f>
        <v/>
      </c>
      <c r="W303" s="24">
        <f>MAX(0.5,IFERROR(VLOOKUP(U303,Assumptions!$A$7:$D$11,3,FALSE),3)+IFERROR(VLOOKUP(U303,Assumptions!$A$7:$D$11,4,FALSE),8)/2-IF(AN303="",0,YEAR(TODAY())-AN303))</f>
        <v/>
      </c>
      <c r="X303" s="21">
        <f>T303*V303/(1+Assumptions!$B$3)^W303</f>
        <v/>
      </c>
      <c r="Y303" s="25">
        <f>IF(T303=0,"",ROUND(X303/T303*100,1))</f>
        <v/>
      </c>
      <c r="Z303" s="26">
        <f>X303*Assumptions!$B$4</f>
        <v/>
      </c>
      <c r="AA303" s="25">
        <f>IF(T303=0,"",ROUND(Z303/T303*100,1))</f>
        <v/>
      </c>
      <c r="AB303" s="26">
        <f>X303-Z303</f>
        <v/>
      </c>
      <c r="AC303" s="25">
        <f>IF(T303=0,"",ROUND((X303-Z303)/T303*100,1))</f>
        <v/>
      </c>
      <c r="AD303" s="27" t="inlineStr">
        <is>
          <t>UNKNOWN</t>
        </is>
      </c>
      <c r="AE303" s="28" t="inlineStr">
        <is>
          <t>https://scalzilliaj.com.br/sgc/download.php?file=files/processo_documento/processo_documento15180810062026_1_.pdf&amp;nome=10 - Relação de credores do art. 7º, §2º, da Lei 11.101/2005</t>
        </is>
      </c>
      <c r="AF303" s="27" t="inlineStr">
        <is>
          <t>p2 r43</t>
        </is>
      </c>
      <c r="AG303" s="27" t="inlineStr">
        <is>
          <t>p2: R$ 580.000,00</t>
        </is>
      </c>
      <c r="AH303" s="27" t="inlineStr">
        <is>
          <t>AJ_LIST</t>
        </is>
      </c>
      <c r="AI303" s="27" t="inlineStr"/>
      <c r="AJ303" s="27" t="inlineStr">
        <is>
          <t>OK_NO_TOTALS</t>
        </is>
      </c>
      <c r="AK303" s="29" t="inlineStr">
        <is>
          <t>5009529-81.2025.8.24.0019</t>
        </is>
      </c>
      <c r="AL303" s="29" t="inlineStr">
        <is>
          <t>TJ</t>
        </is>
      </c>
      <c r="AM303" s="29" t="inlineStr"/>
      <c r="AN303" s="29" t="n">
        <v>2025</v>
      </c>
      <c r="AO303" s="29" t="inlineStr">
        <is>
          <t>live case, no plan document yet</t>
        </is>
      </c>
      <c r="AP303" s="29" t="inlineStr">
        <is>
          <t>CHAPECO</t>
        </is>
      </c>
      <c r="AQ303" s="29" t="inlineStr">
        <is>
          <t>SC</t>
        </is>
      </c>
      <c r="AR303" s="29" t="inlineStr">
        <is>
          <t>Incorporação de empreendimentos imobiliários</t>
        </is>
      </c>
      <c r="AS303" s="29" t="inlineStr">
        <is>
          <t>DEMAIS</t>
        </is>
      </c>
      <c r="AT303" s="29" t="inlineStr">
        <is>
          <t>MID-MARKET</t>
        </is>
      </c>
      <c r="AU303" s="29" t="inlineStr">
        <is>
          <t>07120505</t>
        </is>
      </c>
      <c r="AV303" s="29" t="n">
        <v>1</v>
      </c>
      <c r="AW303" s="29" t="inlineStr">
        <is>
          <t>ROWS:p2r43 UNRECONCILED_SOURCE</t>
        </is>
      </c>
    </row>
    <row r="304">
      <c r="A304" s="15" t="inlineStr">
        <is>
          <t>SUPERFINE STEEL ACOS INOXIDAVEIS LTDA</t>
        </is>
      </c>
      <c r="B304" s="16" t="n">
        <v>540317.62</v>
      </c>
      <c r="C304" s="17" t="inlineStr">
        <is>
          <t>COMERCIO RACOES BEM BOM LTDA</t>
        </is>
      </c>
      <c r="D304" s="18" t="inlineStr">
        <is>
          <t>NEW</t>
        </is>
      </c>
      <c r="E304" s="19" t="inlineStr"/>
      <c r="F304" s="18" t="inlineStr"/>
      <c r="G304" s="19" t="inlineStr"/>
      <c r="H304" s="18" t="inlineStr"/>
      <c r="I304" s="20" t="inlineStr">
        <is>
          <t>JOAO PASSARELLA</t>
        </is>
      </c>
      <c r="J304" s="20" t="inlineStr">
        <is>
          <t>Administrador</t>
        </is>
      </c>
      <c r="K304" s="20" t="inlineStr">
        <is>
          <t>(11) 3129-8590</t>
        </is>
      </c>
      <c r="L304" s="20" t="inlineStr"/>
      <c r="M304" s="20" t="inlineStr"/>
      <c r="N304" s="20" t="inlineStr"/>
      <c r="O304" s="20" t="inlineStr"/>
      <c r="P304" s="20" t="inlineStr"/>
      <c r="Q304" s="20" t="inlineStr"/>
      <c r="R304" s="20" t="inlineStr"/>
      <c r="S304" s="20" t="inlineStr"/>
      <c r="T304" s="21" t="n">
        <v>540317.62</v>
      </c>
      <c r="U304" s="32" t="inlineStr">
        <is>
          <t>A</t>
        </is>
      </c>
      <c r="V304" s="23">
        <f>IFERROR(VLOOKUP(U304,Assumptions!$A$7:$D$11,2,FALSE),0)</f>
        <v/>
      </c>
      <c r="W304" s="24">
        <f>MAX(0.5,IFERROR(VLOOKUP(U304,Assumptions!$A$7:$D$11,3,FALSE),3)+IFERROR(VLOOKUP(U304,Assumptions!$A$7:$D$11,4,FALSE),8)/2-IF(AN304="",0,YEAR(TODAY())-AN304))</f>
        <v/>
      </c>
      <c r="X304" s="21">
        <f>T304*V304/(1+Assumptions!$B$3)^W304</f>
        <v/>
      </c>
      <c r="Y304" s="25">
        <f>IF(T304=0,"",ROUND(X304/T304*100,1))</f>
        <v/>
      </c>
      <c r="Z304" s="26">
        <f>X304*Assumptions!$B$4</f>
        <v/>
      </c>
      <c r="AA304" s="25">
        <f>IF(T304=0,"",ROUND(Z304/T304*100,1))</f>
        <v/>
      </c>
      <c r="AB304" s="26">
        <f>X304-Z304</f>
        <v/>
      </c>
      <c r="AC304" s="25">
        <f>IF(T304=0,"",ROUND((X304-Z304)/T304*100,1))</f>
        <v/>
      </c>
      <c r="AD304" s="27" t="inlineStr">
        <is>
          <t>CONFIRMED</t>
        </is>
      </c>
      <c r="AE304" s="28" t="inlineStr">
        <is>
          <t>https://stenius.com.br/wp-content/uploads/2026/06/EDITAL-GRUPO-3E.pdf</t>
        </is>
      </c>
      <c r="AF304" s="27" t="inlineStr">
        <is>
          <t>p18 r17</t>
        </is>
      </c>
      <c r="AG304" s="27" t="inlineStr">
        <is>
          <t>p18: R$ 540.317,62</t>
        </is>
      </c>
      <c r="AH304" s="27" t="inlineStr">
        <is>
          <t>DEBTOR_LIST</t>
        </is>
      </c>
      <c r="AI304" s="27" t="inlineStr">
        <is>
          <t>2026-06-22</t>
        </is>
      </c>
      <c r="AJ304" s="27" t="inlineStr">
        <is>
          <t>OK_NO_TOTALS</t>
        </is>
      </c>
      <c r="AK304" s="29" t="inlineStr">
        <is>
          <t>5341375-33.2026.8.09.0049</t>
        </is>
      </c>
      <c r="AL304" s="29" t="inlineStr">
        <is>
          <t>TJGO</t>
        </is>
      </c>
      <c r="AM304" s="29" t="inlineStr">
        <is>
          <t>ACTIVE</t>
        </is>
      </c>
      <c r="AN304" s="29" t="n">
        <v>2026</v>
      </c>
      <c r="AO304" s="29" t="inlineStr">
        <is>
          <t>plan/homologation document found</t>
        </is>
      </c>
      <c r="AP304" s="29" t="inlineStr">
        <is>
          <t>SANTA BARBARA D'OESTE</t>
        </is>
      </c>
      <c r="AQ304" s="29" t="inlineStr">
        <is>
          <t>SP</t>
        </is>
      </c>
      <c r="AR304" s="29" t="inlineStr">
        <is>
          <t>Produção de arames de aço</t>
        </is>
      </c>
      <c r="AS304" s="29" t="inlineStr">
        <is>
          <t>DEMAIS</t>
        </is>
      </c>
      <c r="AT304" s="29" t="inlineStr">
        <is>
          <t>MID-MARKET</t>
        </is>
      </c>
      <c r="AU304" s="29" t="inlineStr">
        <is>
          <t>00749526</t>
        </is>
      </c>
      <c r="AV304" s="29" t="n">
        <v>1</v>
      </c>
      <c r="AW304" s="29" t="inlineStr">
        <is>
          <t>ROWS:p18r17 UNRECONCILED_SOURCE</t>
        </is>
      </c>
    </row>
    <row r="305">
      <c r="A305" s="15" t="inlineStr">
        <is>
          <t>IMACA LTDA</t>
        </is>
      </c>
      <c r="B305" s="16" t="n">
        <v>417212.12</v>
      </c>
      <c r="C305" s="17" t="inlineStr"/>
      <c r="D305" s="18" t="inlineStr">
        <is>
          <t>NEW</t>
        </is>
      </c>
      <c r="E305" s="19" t="inlineStr"/>
      <c r="F305" s="18" t="inlineStr"/>
      <c r="G305" s="19" t="inlineStr"/>
      <c r="H305" s="18" t="inlineStr"/>
      <c r="I305" s="20" t="inlineStr">
        <is>
          <t>VITORIA GOOSEN SINGER</t>
        </is>
      </c>
      <c r="J305" s="20" t="inlineStr">
        <is>
          <t>Administrador</t>
        </is>
      </c>
      <c r="K305" s="20" t="inlineStr"/>
      <c r="L305" s="20" t="inlineStr"/>
      <c r="M305" s="20" t="inlineStr"/>
      <c r="N305" s="20" t="inlineStr"/>
      <c r="O305" s="20" t="inlineStr"/>
      <c r="P305" s="20" t="inlineStr"/>
      <c r="Q305" s="20" t="inlineStr"/>
      <c r="R305" s="20" t="inlineStr"/>
      <c r="S305" s="20" t="inlineStr"/>
      <c r="T305" s="21" t="n">
        <v>417212.12</v>
      </c>
      <c r="U305" s="31" t="inlineStr">
        <is>
          <t>C</t>
        </is>
      </c>
      <c r="V305" s="23">
        <f>IFERROR(VLOOKUP(U305,Assumptions!$A$7:$D$11,2,FALSE),0)</f>
        <v/>
      </c>
      <c r="W305" s="24">
        <f>MAX(0.5,IFERROR(VLOOKUP(U305,Assumptions!$A$7:$D$11,3,FALSE),3)+IFERROR(VLOOKUP(U305,Assumptions!$A$7:$D$11,4,FALSE),8)/2-IF(AN305="",0,YEAR(TODAY())-AN305))</f>
        <v/>
      </c>
      <c r="X305" s="21">
        <f>T305*V305/(1+Assumptions!$B$3)^W305</f>
        <v/>
      </c>
      <c r="Y305" s="25">
        <f>IF(T305=0,"",ROUND(X305/T305*100,1))</f>
        <v/>
      </c>
      <c r="Z305" s="26">
        <f>X305*Assumptions!$B$4</f>
        <v/>
      </c>
      <c r="AA305" s="25">
        <f>IF(T305=0,"",ROUND(Z305/T305*100,1))</f>
        <v/>
      </c>
      <c r="AB305" s="26">
        <f>X305-Z305</f>
        <v/>
      </c>
      <c r="AC305" s="25">
        <f>IF(T305=0,"",ROUND((X305-Z305)/T305*100,1))</f>
        <v/>
      </c>
      <c r="AD305" s="27" t="inlineStr">
        <is>
          <t>UNKNOWN</t>
        </is>
      </c>
      <c r="AE305" s="28" t="inlineStr">
        <is>
          <t>https://administradorajudicialgs.com.br/wp-content/uploads/2024/12/relacao-de-credores-da-falida.pdf</t>
        </is>
      </c>
      <c r="AF305" s="27" t="inlineStr">
        <is>
          <t>p15 r22</t>
        </is>
      </c>
      <c r="AG305" s="27" t="inlineStr">
        <is>
          <t>p15: R$ 417.212,12</t>
        </is>
      </c>
      <c r="AH305" s="27" t="inlineStr">
        <is>
          <t>UNKNOWN</t>
        </is>
      </c>
      <c r="AI305" s="27" t="inlineStr">
        <is>
          <t>2025-03-25</t>
        </is>
      </c>
      <c r="AJ305" s="27" t="inlineStr">
        <is>
          <t>OK_NO_TOTALS</t>
        </is>
      </c>
      <c r="AK305" s="29" t="inlineStr">
        <is>
          <t>0005010-50.2013.8.24.0026</t>
        </is>
      </c>
      <c r="AL305" s="29" t="inlineStr">
        <is>
          <t>TJ</t>
        </is>
      </c>
      <c r="AM305" s="29" t="inlineStr"/>
      <c r="AN305" s="29" t="n">
        <v>2013</v>
      </c>
      <c r="AO305" s="29" t="inlineStr">
        <is>
          <t>13y since filing, no plan document</t>
        </is>
      </c>
      <c r="AP305" s="29" t="inlineStr">
        <is>
          <t>CURITIBA</t>
        </is>
      </c>
      <c r="AQ305" s="29" t="inlineStr">
        <is>
          <t>PR</t>
        </is>
      </c>
      <c r="AR305" s="29" t="inlineStr">
        <is>
          <t>Fabricação de artefatos diversos de madeira, exceto móveis</t>
        </is>
      </c>
      <c r="AS305" s="29" t="inlineStr">
        <is>
          <t>DEMAIS</t>
        </is>
      </c>
      <c r="AT305" s="29" t="inlineStr">
        <is>
          <t>MID-MARKET</t>
        </is>
      </c>
      <c r="AU305" s="29" t="inlineStr">
        <is>
          <t>76495209</t>
        </is>
      </c>
      <c r="AV305" s="29" t="n">
        <v>1</v>
      </c>
      <c r="AW305" s="29" t="inlineStr">
        <is>
          <t>ROWS:p15r22 UNRECONCILED_SOURCE</t>
        </is>
      </c>
    </row>
    <row r="306">
      <c r="A306" s="15" t="inlineStr">
        <is>
          <t>AIRELA INDUSTRIA FARMACEUTICA LTDA</t>
        </is>
      </c>
      <c r="B306" s="16" t="n">
        <v>362247.54</v>
      </c>
      <c r="C306" s="17" t="inlineStr">
        <is>
          <t>VEV COMERCIO DE MEDICAMENTOS LTDA EM RECUPERACAO JUDICIAL</t>
        </is>
      </c>
      <c r="D306" s="18" t="inlineStr">
        <is>
          <t>NEW</t>
        </is>
      </c>
      <c r="E306" s="19" t="inlineStr"/>
      <c r="F306" s="18" t="inlineStr"/>
      <c r="G306" s="19" t="inlineStr"/>
      <c r="H306" s="18" t="inlineStr"/>
      <c r="I306" s="20" t="inlineStr">
        <is>
          <t>ADROALDO MACHADO</t>
        </is>
      </c>
      <c r="J306" s="20" t="inlineStr">
        <is>
          <t>Administrador</t>
        </is>
      </c>
      <c r="K306" s="20" t="inlineStr">
        <is>
          <t>(48) 3659-0304</t>
        </is>
      </c>
      <c r="L306" s="20" t="inlineStr"/>
      <c r="M306" s="20" t="inlineStr"/>
      <c r="N306" s="20" t="inlineStr"/>
      <c r="O306" s="20" t="inlineStr"/>
      <c r="P306" s="20" t="inlineStr">
        <is>
          <t>MARCONI TRINDADE SAMPAIO</t>
        </is>
      </c>
      <c r="Q306" s="20" t="inlineStr">
        <is>
          <t>Administrador</t>
        </is>
      </c>
      <c r="R306" s="20" t="inlineStr">
        <is>
          <t>(48) 3659-0304</t>
        </is>
      </c>
      <c r="S306" s="20" t="inlineStr"/>
      <c r="T306" s="21" t="n">
        <v>362247.54</v>
      </c>
      <c r="U306" s="22" t="inlineStr">
        <is>
          <t>B</t>
        </is>
      </c>
      <c r="V306" s="23">
        <f>IFERROR(VLOOKUP(U306,Assumptions!$A$7:$D$11,2,FALSE),0)</f>
        <v/>
      </c>
      <c r="W306" s="24">
        <f>MAX(0.5,IFERROR(VLOOKUP(U306,Assumptions!$A$7:$D$11,3,FALSE),3)+IFERROR(VLOOKUP(U306,Assumptions!$A$7:$D$11,4,FALSE),8)/2-IF(AN306="",0,YEAR(TODAY())-AN306))</f>
        <v/>
      </c>
      <c r="X306" s="21">
        <f>T306*V306/(1+Assumptions!$B$3)^W306</f>
        <v/>
      </c>
      <c r="Y306" s="25">
        <f>IF(T306=0,"",ROUND(X306/T306*100,1))</f>
        <v/>
      </c>
      <c r="Z306" s="26">
        <f>X306*Assumptions!$B$4</f>
        <v/>
      </c>
      <c r="AA306" s="25">
        <f>IF(T306=0,"",ROUND(Z306/T306*100,1))</f>
        <v/>
      </c>
      <c r="AB306" s="26">
        <f>X306-Z306</f>
        <v/>
      </c>
      <c r="AC306" s="25">
        <f>IF(T306=0,"",ROUND((X306-Z306)/T306*100,1))</f>
        <v/>
      </c>
      <c r="AD306" s="27" t="inlineStr">
        <is>
          <t>ESTIMATED</t>
        </is>
      </c>
      <c r="AE306" s="28" t="inlineStr">
        <is>
          <t>https://marquesadmjudicial.com.br/sgc/download.php?file=files/processo_documento/processo_documento15293208032024_1_.pdf&amp;nome=Relação Nominal de Credores da AJ-Sintética</t>
        </is>
      </c>
      <c r="AF306" s="27" t="inlineStr">
        <is>
          <t>p19 r7</t>
        </is>
      </c>
      <c r="AG306" s="27" t="inlineStr">
        <is>
          <t>p19: R$ 362.247,54</t>
        </is>
      </c>
      <c r="AH306" s="27" t="inlineStr">
        <is>
          <t>AJ_LIST</t>
        </is>
      </c>
      <c r="AI306" s="27" t="inlineStr">
        <is>
          <t>2023-03-02</t>
        </is>
      </c>
      <c r="AJ306" s="27" t="inlineStr">
        <is>
          <t>QUARANTINED</t>
        </is>
      </c>
      <c r="AK306" s="29" t="inlineStr">
        <is>
          <t>0005010-98.2023.8.16.0001</t>
        </is>
      </c>
      <c r="AL306" s="29" t="inlineStr">
        <is>
          <t>TJPR</t>
        </is>
      </c>
      <c r="AM306" s="29" t="inlineStr">
        <is>
          <t>ACTIVE</t>
        </is>
      </c>
      <c r="AN306" s="29" t="n">
        <v>2023</v>
      </c>
      <c r="AO306" s="29" t="inlineStr">
        <is>
          <t>live case, no plan document yet</t>
        </is>
      </c>
      <c r="AP306" s="29" t="inlineStr">
        <is>
          <t>PEDRAS GRANDES</t>
        </is>
      </c>
      <c r="AQ306" s="29" t="inlineStr">
        <is>
          <t>SC</t>
        </is>
      </c>
      <c r="AR306" s="29" t="inlineStr">
        <is>
          <t>Fabricação de medicamentos alopáticos para uso humano</t>
        </is>
      </c>
      <c r="AS306" s="29" t="inlineStr">
        <is>
          <t>DEMAIS</t>
        </is>
      </c>
      <c r="AT306" s="29" t="inlineStr">
        <is>
          <t>LARGE CORP</t>
        </is>
      </c>
      <c r="AU306" s="29" t="inlineStr">
        <is>
          <t>01858973</t>
        </is>
      </c>
      <c r="AV306" s="29" t="n">
        <v>1</v>
      </c>
      <c r="AW306" s="29" t="inlineStr">
        <is>
          <t>PARTIAL_DOC_CLASS_III_RECONCILED ROWS:p19r7</t>
        </is>
      </c>
    </row>
    <row r="307">
      <c r="A307" s="15" t="inlineStr">
        <is>
          <t>A X M ADMINISTRACAO E PARTICIPACOES LTDA</t>
        </is>
      </c>
      <c r="B307" s="16" t="n">
        <v>288256.26</v>
      </c>
      <c r="C307" s="17" t="inlineStr">
        <is>
          <t>R W CONSTRUCOES LTDA</t>
        </is>
      </c>
      <c r="D307" s="18" t="inlineStr">
        <is>
          <t>NEW</t>
        </is>
      </c>
      <c r="E307" s="19" t="inlineStr"/>
      <c r="F307" s="18" t="inlineStr"/>
      <c r="G307" s="19" t="inlineStr"/>
      <c r="H307" s="18" t="inlineStr"/>
      <c r="I307" s="20" t="inlineStr">
        <is>
          <t>ANA LUCIA LEITE GIACCIO</t>
        </is>
      </c>
      <c r="J307" s="20" t="inlineStr">
        <is>
          <t>Sócio-Administrador</t>
        </is>
      </c>
      <c r="K307" s="20" t="inlineStr">
        <is>
          <t>(41) 3233-9848</t>
        </is>
      </c>
      <c r="L307" s="20" t="inlineStr"/>
      <c r="M307" s="20" t="inlineStr"/>
      <c r="N307" s="20" t="inlineStr"/>
      <c r="O307" s="20" t="inlineStr"/>
      <c r="P307" s="20" t="inlineStr">
        <is>
          <t>MARCELO DE AMORIM LEITE</t>
        </is>
      </c>
      <c r="Q307" s="20" t="inlineStr">
        <is>
          <t>Sócio-Administrador</t>
        </is>
      </c>
      <c r="R307" s="20" t="inlineStr">
        <is>
          <t>(41) 3233-9848</t>
        </is>
      </c>
      <c r="S307" s="20" t="inlineStr"/>
      <c r="T307" s="21" t="n">
        <v>288256.26</v>
      </c>
      <c r="U307" s="22" t="inlineStr">
        <is>
          <t>B</t>
        </is>
      </c>
      <c r="V307" s="23">
        <f>IFERROR(VLOOKUP(U307,Assumptions!$A$7:$D$11,2,FALSE),0)</f>
        <v/>
      </c>
      <c r="W307" s="24">
        <f>MAX(0.5,IFERROR(VLOOKUP(U307,Assumptions!$A$7:$D$11,3,FALSE),3)+IFERROR(VLOOKUP(U307,Assumptions!$A$7:$D$11,4,FALSE),8)/2-IF(AN307="",0,YEAR(TODAY())-AN307))</f>
        <v/>
      </c>
      <c r="X307" s="21">
        <f>T307*V307/(1+Assumptions!$B$3)^W307</f>
        <v/>
      </c>
      <c r="Y307" s="25">
        <f>IF(T307=0,"",ROUND(X307/T307*100,1))</f>
        <v/>
      </c>
      <c r="Z307" s="26">
        <f>X307*Assumptions!$B$4</f>
        <v/>
      </c>
      <c r="AA307" s="25">
        <f>IF(T307=0,"",ROUND(Z307/T307*100,1))</f>
        <v/>
      </c>
      <c r="AB307" s="26">
        <f>X307-Z307</f>
        <v/>
      </c>
      <c r="AC307" s="25">
        <f>IF(T307=0,"",ROUND((X307-Z307)/T307*100,1))</f>
        <v/>
      </c>
      <c r="AD307" s="27" t="inlineStr">
        <is>
          <t>ESTIMATED</t>
        </is>
      </c>
      <c r="AE307" s="28" t="inlineStr">
        <is>
          <t>https://lrflideres.com.br/wp-content/plugins/download-attachments/includes/download.php?id=4023</t>
        </is>
      </c>
      <c r="AF307" s="27" t="inlineStr">
        <is>
          <t>p4 r54</t>
        </is>
      </c>
      <c r="AG307" s="27" t="inlineStr">
        <is>
          <t>p4: R$ 288.256,26</t>
        </is>
      </c>
      <c r="AH307" s="27" t="inlineStr">
        <is>
          <t>DEBTOR_LIST</t>
        </is>
      </c>
      <c r="AI307" s="27" t="inlineStr"/>
      <c r="AJ307" s="27" t="inlineStr">
        <is>
          <t>QUARANTINED</t>
        </is>
      </c>
      <c r="AK307" s="29" t="inlineStr">
        <is>
          <t>0002484-82.2022.8.17.2001</t>
        </is>
      </c>
      <c r="AL307" s="29" t="inlineStr">
        <is>
          <t>TJPE</t>
        </is>
      </c>
      <c r="AM307" s="29" t="inlineStr">
        <is>
          <t>ACTIVE</t>
        </is>
      </c>
      <c r="AN307" s="29" t="n">
        <v>2022</v>
      </c>
      <c r="AO307" s="29" t="inlineStr">
        <is>
          <t>live case, no plan document yet</t>
        </is>
      </c>
      <c r="AP307" s="29" t="inlineStr">
        <is>
          <t>CURITIBA</t>
        </is>
      </c>
      <c r="AQ307" s="29" t="inlineStr">
        <is>
          <t>PR</t>
        </is>
      </c>
      <c r="AR307" s="29" t="inlineStr">
        <is>
          <t>Aluguel de imóveis próprios</t>
        </is>
      </c>
      <c r="AS307" s="29" t="inlineStr">
        <is>
          <t>DEMAIS</t>
        </is>
      </c>
      <c r="AT307" s="29" t="inlineStr">
        <is>
          <t>MID-MARKET</t>
        </is>
      </c>
      <c r="AU307" s="29" t="inlineStr">
        <is>
          <t>24649441</t>
        </is>
      </c>
      <c r="AV307" s="29" t="n">
        <v>1</v>
      </c>
      <c r="AW307" s="29" t="inlineStr">
        <is>
          <t>PARTIAL_DOC_CLASS_III_RECONCILED ROWS:p4r54</t>
        </is>
      </c>
    </row>
    <row r="308">
      <c r="A308" s="15" t="inlineStr">
        <is>
          <t>GG ADMINISTRADORA DE BENS S/A</t>
        </is>
      </c>
      <c r="B308" s="16" t="n">
        <v>288256.26</v>
      </c>
      <c r="C308" s="17" t="inlineStr">
        <is>
          <t>R W CONSTRUCOES LTDA</t>
        </is>
      </c>
      <c r="D308" s="18" t="inlineStr">
        <is>
          <t>NEW</t>
        </is>
      </c>
      <c r="E308" s="19" t="inlineStr"/>
      <c r="F308" s="18" t="inlineStr"/>
      <c r="G308" s="19" t="inlineStr"/>
      <c r="H308" s="18" t="inlineStr"/>
      <c r="I308" s="20" t="inlineStr">
        <is>
          <t>ANA LUCIA LEITE GIACCIO</t>
        </is>
      </c>
      <c r="J308" s="20" t="inlineStr">
        <is>
          <t>Diretor</t>
        </is>
      </c>
      <c r="K308" s="20" t="inlineStr">
        <is>
          <t>(48) 9961-4240</t>
        </is>
      </c>
      <c r="L308" s="20" t="inlineStr"/>
      <c r="M308" s="20" t="inlineStr"/>
      <c r="N308" s="20" t="inlineStr"/>
      <c r="O308" s="20" t="inlineStr"/>
      <c r="P308" s="20" t="inlineStr">
        <is>
          <t>GABRIELA LEITE GIACCIO BEWALSKI</t>
        </is>
      </c>
      <c r="Q308" s="20" t="inlineStr">
        <is>
          <t>Diretor</t>
        </is>
      </c>
      <c r="R308" s="20" t="inlineStr">
        <is>
          <t>(48) 9961-4240</t>
        </is>
      </c>
      <c r="S308" s="20" t="inlineStr"/>
      <c r="T308" s="21" t="n">
        <v>288256.26</v>
      </c>
      <c r="U308" s="22" t="inlineStr">
        <is>
          <t>B</t>
        </is>
      </c>
      <c r="V308" s="23">
        <f>IFERROR(VLOOKUP(U308,Assumptions!$A$7:$D$11,2,FALSE),0)</f>
        <v/>
      </c>
      <c r="W308" s="24">
        <f>MAX(0.5,IFERROR(VLOOKUP(U308,Assumptions!$A$7:$D$11,3,FALSE),3)+IFERROR(VLOOKUP(U308,Assumptions!$A$7:$D$11,4,FALSE),8)/2-IF(AN308="",0,YEAR(TODAY())-AN308))</f>
        <v/>
      </c>
      <c r="X308" s="21">
        <f>T308*V308/(1+Assumptions!$B$3)^W308</f>
        <v/>
      </c>
      <c r="Y308" s="25">
        <f>IF(T308=0,"",ROUND(X308/T308*100,1))</f>
        <v/>
      </c>
      <c r="Z308" s="26">
        <f>X308*Assumptions!$B$4</f>
        <v/>
      </c>
      <c r="AA308" s="25">
        <f>IF(T308=0,"",ROUND(Z308/T308*100,1))</f>
        <v/>
      </c>
      <c r="AB308" s="26">
        <f>X308-Z308</f>
        <v/>
      </c>
      <c r="AC308" s="25">
        <f>IF(T308=0,"",ROUND((X308-Z308)/T308*100,1))</f>
        <v/>
      </c>
      <c r="AD308" s="27" t="inlineStr">
        <is>
          <t>ESTIMATED</t>
        </is>
      </c>
      <c r="AE308" s="28" t="inlineStr">
        <is>
          <t>https://lrflideres.com.br/wp-content/plugins/download-attachments/includes/download.php?id=4023</t>
        </is>
      </c>
      <c r="AF308" s="27" t="inlineStr">
        <is>
          <t>p4 r75</t>
        </is>
      </c>
      <c r="AG308" s="27" t="inlineStr">
        <is>
          <t>p4: R$ 288.256,26</t>
        </is>
      </c>
      <c r="AH308" s="27" t="inlineStr">
        <is>
          <t>DEBTOR_LIST</t>
        </is>
      </c>
      <c r="AI308" s="27" t="inlineStr"/>
      <c r="AJ308" s="27" t="inlineStr">
        <is>
          <t>QUARANTINED</t>
        </is>
      </c>
      <c r="AK308" s="29" t="inlineStr">
        <is>
          <t>0002484-82.2022.8.17.2001</t>
        </is>
      </c>
      <c r="AL308" s="29" t="inlineStr">
        <is>
          <t>TJPE</t>
        </is>
      </c>
      <c r="AM308" s="29" t="inlineStr">
        <is>
          <t>ACTIVE</t>
        </is>
      </c>
      <c r="AN308" s="29" t="n">
        <v>2022</v>
      </c>
      <c r="AO308" s="29" t="inlineStr">
        <is>
          <t>live case, no plan document yet</t>
        </is>
      </c>
      <c r="AP308" s="29" t="inlineStr">
        <is>
          <t>CURITIBA</t>
        </is>
      </c>
      <c r="AQ308" s="29" t="inlineStr">
        <is>
          <t>PR</t>
        </is>
      </c>
      <c r="AR308" s="29" t="inlineStr">
        <is>
          <t>Aluguel de imóveis próprios</t>
        </is>
      </c>
      <c r="AS308" s="29" t="inlineStr">
        <is>
          <t>DEMAIS</t>
        </is>
      </c>
      <c r="AT308" s="29" t="inlineStr">
        <is>
          <t>MID-MARKET</t>
        </is>
      </c>
      <c r="AU308" s="29" t="inlineStr">
        <is>
          <t>24221282</t>
        </is>
      </c>
      <c r="AV308" s="29" t="n">
        <v>1</v>
      </c>
      <c r="AW308" s="29" t="inlineStr">
        <is>
          <t>PARTIAL_DOC_CLASS_III_RECONCILED ROWS:p4r75</t>
        </is>
      </c>
    </row>
    <row r="309">
      <c r="A309" s="15" t="inlineStr">
        <is>
          <t>COMPANHIA DE DESENVOLVIMENTO DOS VALES DO SAO FRANCISCO E DO PARNAIBA</t>
        </is>
      </c>
      <c r="B309" s="16" t="n">
        <v>410504.45</v>
      </c>
      <c r="C309" s="17" t="inlineStr">
        <is>
          <t>E FALENCIA</t>
        </is>
      </c>
      <c r="D309" s="18" t="inlineStr">
        <is>
          <t>NEW</t>
        </is>
      </c>
      <c r="E309" s="19" t="inlineStr"/>
      <c r="F309" s="18" t="inlineStr"/>
      <c r="G309" s="19" t="inlineStr"/>
      <c r="H309" s="18" t="inlineStr"/>
      <c r="I309" s="20" t="inlineStr">
        <is>
          <t>LUCAS FELIPE DE OLIVEIRA</t>
        </is>
      </c>
      <c r="J309" s="20" t="inlineStr">
        <is>
          <t>Presidente</t>
        </is>
      </c>
      <c r="K309" s="20" t="inlineStr"/>
      <c r="L309" s="20" t="inlineStr"/>
      <c r="M309" s="20" t="inlineStr"/>
      <c r="N309" s="20" t="inlineStr"/>
      <c r="O309" s="20" t="inlineStr"/>
      <c r="P309" s="20" t="inlineStr">
        <is>
          <t>ALESSANDRA CRISTINA ROSSIN</t>
        </is>
      </c>
      <c r="Q309" s="20" t="inlineStr">
        <is>
          <t>Diretor</t>
        </is>
      </c>
      <c r="R309" s="20" t="inlineStr"/>
      <c r="S309" s="20" t="inlineStr"/>
      <c r="T309" s="21" t="n">
        <v>410504.45</v>
      </c>
      <c r="U309" s="31" t="inlineStr">
        <is>
          <t>C</t>
        </is>
      </c>
      <c r="V309" s="23">
        <f>IFERROR(VLOOKUP(U309,Assumptions!$A$7:$D$11,2,FALSE),0)</f>
        <v/>
      </c>
      <c r="W309" s="24">
        <f>MAX(0.5,IFERROR(VLOOKUP(U309,Assumptions!$A$7:$D$11,3,FALSE),3)+IFERROR(VLOOKUP(U309,Assumptions!$A$7:$D$11,4,FALSE),8)/2-IF(AN309="",0,YEAR(TODAY())-AN309))</f>
        <v/>
      </c>
      <c r="X309" s="21">
        <f>T309*V309/(1+Assumptions!$B$3)^W309</f>
        <v/>
      </c>
      <c r="Y309" s="25">
        <f>IF(T309=0,"",ROUND(X309/T309*100,1))</f>
        <v/>
      </c>
      <c r="Z309" s="26">
        <f>X309*Assumptions!$B$4</f>
        <v/>
      </c>
      <c r="AA309" s="25">
        <f>IF(T309=0,"",ROUND(Z309/T309*100,1))</f>
        <v/>
      </c>
      <c r="AB309" s="26">
        <f>X309-Z309</f>
        <v/>
      </c>
      <c r="AC309" s="25">
        <f>IF(T309=0,"",ROUND((X309-Z309)/T309*100,1))</f>
        <v/>
      </c>
      <c r="AD309" s="27" t="inlineStr">
        <is>
          <t>UNKNOWN</t>
        </is>
      </c>
      <c r="AE309" s="28" t="inlineStr">
        <is>
          <t>https://diligence.adm.br/wp-content/plugins/download-attachments/includes/download.php?id=4579</t>
        </is>
      </c>
      <c r="AF309" s="27" t="inlineStr">
        <is>
          <t>p8 r4</t>
        </is>
      </c>
      <c r="AG309" s="27" t="inlineStr">
        <is>
          <t>p8: R$ 410.504,45</t>
        </is>
      </c>
      <c r="AH309" s="27" t="inlineStr">
        <is>
          <t>AJ_LIST</t>
        </is>
      </c>
      <c r="AI309" s="27" t="inlineStr">
        <is>
          <t>2024-06-11</t>
        </is>
      </c>
      <c r="AJ309" s="27" t="inlineStr">
        <is>
          <t>OK_NO_TOTALS</t>
        </is>
      </c>
      <c r="AK309" s="29" t="inlineStr">
        <is>
          <t>0032731-52.2010.8.17.0001</t>
        </is>
      </c>
      <c r="AL309" s="29" t="inlineStr">
        <is>
          <t>TJ</t>
        </is>
      </c>
      <c r="AM309" s="29" t="inlineStr"/>
      <c r="AN309" s="29" t="n">
        <v>2010</v>
      </c>
      <c r="AO309" s="29" t="inlineStr">
        <is>
          <t>16y since filing, no plan document</t>
        </is>
      </c>
      <c r="AP309" s="29" t="inlineStr">
        <is>
          <t>BRASILIA</t>
        </is>
      </c>
      <c r="AQ309" s="29" t="inlineStr">
        <is>
          <t>DF</t>
        </is>
      </c>
      <c r="AR309" s="29" t="inlineStr">
        <is>
          <t>Administração pública em geral</t>
        </is>
      </c>
      <c r="AS309" s="29" t="inlineStr">
        <is>
          <t>DEMAIS</t>
        </is>
      </c>
      <c r="AT309" s="29" t="inlineStr">
        <is>
          <t>LARGE CORP</t>
        </is>
      </c>
      <c r="AU309" s="29" t="inlineStr">
        <is>
          <t>00399857</t>
        </is>
      </c>
      <c r="AV309" s="29" t="n">
        <v>1</v>
      </c>
      <c r="AW309" s="29" t="inlineStr">
        <is>
          <t>ROWS:p8r4 UNRECONCILED_SOURCE VALUE_COL:Crédito_1ª_Lista</t>
        </is>
      </c>
    </row>
    <row r="310">
      <c r="A310" s="15" t="inlineStr">
        <is>
          <t>GSV MONTAGENS INDUSTRIAIS LTDA</t>
        </is>
      </c>
      <c r="B310" s="16" t="n">
        <v>525000</v>
      </c>
      <c r="C310" s="17" t="inlineStr">
        <is>
          <t>COMERCIO RACOES BEM BOM LTDA</t>
        </is>
      </c>
      <c r="D310" s="18" t="inlineStr">
        <is>
          <t>NEW</t>
        </is>
      </c>
      <c r="E310" s="19" t="inlineStr"/>
      <c r="F310" s="18" t="inlineStr"/>
      <c r="G310" s="19" t="inlineStr"/>
      <c r="H310" s="18" t="inlineStr"/>
      <c r="I310" s="20" t="inlineStr">
        <is>
          <t>LUIZ CARLOS PEREIRA SANTANA</t>
        </is>
      </c>
      <c r="J310" s="20" t="inlineStr">
        <is>
          <t>Sócio-Administrador</t>
        </is>
      </c>
      <c r="K310" s="20" t="inlineStr">
        <is>
          <t>(62) 3353-6092</t>
        </is>
      </c>
      <c r="L310" s="20" t="inlineStr"/>
      <c r="M310" s="20" t="inlineStr"/>
      <c r="N310" s="20" t="inlineStr"/>
      <c r="O310" s="20" t="inlineStr"/>
      <c r="P310" s="20" t="inlineStr">
        <is>
          <t>VANDERLEI VIEIRA DA FONSECA</t>
        </is>
      </c>
      <c r="Q310" s="20" t="inlineStr">
        <is>
          <t>Sócio-Administrador</t>
        </is>
      </c>
      <c r="R310" s="20" t="inlineStr">
        <is>
          <t>(62) 3353-6092</t>
        </is>
      </c>
      <c r="S310" s="20" t="inlineStr"/>
      <c r="T310" s="21" t="n">
        <v>525000</v>
      </c>
      <c r="U310" s="32" t="inlineStr">
        <is>
          <t>A</t>
        </is>
      </c>
      <c r="V310" s="23">
        <f>IFERROR(VLOOKUP(U310,Assumptions!$A$7:$D$11,2,FALSE),0)</f>
        <v/>
      </c>
      <c r="W310" s="24">
        <f>MAX(0.5,IFERROR(VLOOKUP(U310,Assumptions!$A$7:$D$11,3,FALSE),3)+IFERROR(VLOOKUP(U310,Assumptions!$A$7:$D$11,4,FALSE),8)/2-IF(AN310="",0,YEAR(TODAY())-AN310))</f>
        <v/>
      </c>
      <c r="X310" s="21">
        <f>T310*V310/(1+Assumptions!$B$3)^W310</f>
        <v/>
      </c>
      <c r="Y310" s="25">
        <f>IF(T310=0,"",ROUND(X310/T310*100,1))</f>
        <v/>
      </c>
      <c r="Z310" s="26">
        <f>X310*Assumptions!$B$4</f>
        <v/>
      </c>
      <c r="AA310" s="25">
        <f>IF(T310=0,"",ROUND(Z310/T310*100,1))</f>
        <v/>
      </c>
      <c r="AB310" s="26">
        <f>X310-Z310</f>
        <v/>
      </c>
      <c r="AC310" s="25">
        <f>IF(T310=0,"",ROUND((X310-Z310)/T310*100,1))</f>
        <v/>
      </c>
      <c r="AD310" s="27" t="inlineStr">
        <is>
          <t>CONFIRMED</t>
        </is>
      </c>
      <c r="AE310" s="28" t="inlineStr">
        <is>
          <t>https://stenius.com.br/wp-content/uploads/2026/06/EDITAL-GRUPO-3E.pdf</t>
        </is>
      </c>
      <c r="AF310" s="27" t="inlineStr">
        <is>
          <t>p14 r22</t>
        </is>
      </c>
      <c r="AG310" s="27" t="inlineStr">
        <is>
          <t>p14: R$ 525.000,00</t>
        </is>
      </c>
      <c r="AH310" s="27" t="inlineStr">
        <is>
          <t>DEBTOR_LIST</t>
        </is>
      </c>
      <c r="AI310" s="27" t="inlineStr">
        <is>
          <t>2026-06-22</t>
        </is>
      </c>
      <c r="AJ310" s="27" t="inlineStr">
        <is>
          <t>OK_NO_TOTALS</t>
        </is>
      </c>
      <c r="AK310" s="29" t="inlineStr">
        <is>
          <t>5341375-33.2026.8.09.0049</t>
        </is>
      </c>
      <c r="AL310" s="29" t="inlineStr">
        <is>
          <t>TJGO</t>
        </is>
      </c>
      <c r="AM310" s="29" t="inlineStr">
        <is>
          <t>ACTIVE</t>
        </is>
      </c>
      <c r="AN310" s="29" t="n">
        <v>2026</v>
      </c>
      <c r="AO310" s="29" t="inlineStr">
        <is>
          <t>plan/homologation document found</t>
        </is>
      </c>
      <c r="AP310" s="29" t="inlineStr">
        <is>
          <t>GOIANESIA</t>
        </is>
      </c>
      <c r="AQ310" s="29" t="inlineStr">
        <is>
          <t>GO</t>
        </is>
      </c>
      <c r="AR310" s="29" t="inlineStr">
        <is>
          <t>Fabricação de estruturas metálicas</t>
        </is>
      </c>
      <c r="AS310" s="29" t="inlineStr">
        <is>
          <t>DEMAIS</t>
        </is>
      </c>
      <c r="AT310" s="29" t="inlineStr">
        <is>
          <t>MID-MARKET</t>
        </is>
      </c>
      <c r="AU310" s="29" t="inlineStr">
        <is>
          <t>11225183</t>
        </is>
      </c>
      <c r="AV310" s="29" t="n">
        <v>1</v>
      </c>
      <c r="AW310" s="29" t="inlineStr">
        <is>
          <t>ROWS:p14r22 UNRECONCILED_SOURCE</t>
        </is>
      </c>
    </row>
    <row r="311">
      <c r="A311" s="15" t="inlineStr">
        <is>
          <t>CCP - INDUSTRIA E COMERCIO DE COMPOSTOS DE PVC LTDA</t>
        </is>
      </c>
      <c r="B311" s="16" t="n">
        <v>407429.66</v>
      </c>
      <c r="C311" s="17" t="inlineStr"/>
      <c r="D311" s="18" t="inlineStr">
        <is>
          <t>NEW</t>
        </is>
      </c>
      <c r="E311" s="19" t="inlineStr"/>
      <c r="F311" s="18" t="inlineStr"/>
      <c r="G311" s="19" t="inlineStr"/>
      <c r="H311" s="18" t="inlineStr"/>
      <c r="I311" s="20" t="inlineStr">
        <is>
          <t>Fernando Rescarolli</t>
        </is>
      </c>
      <c r="J311" s="20" t="inlineStr">
        <is>
          <t>Controller na Ccp</t>
        </is>
      </c>
      <c r="K311" s="20" t="inlineStr">
        <is>
          <t>(47) 3447-4800</t>
        </is>
      </c>
      <c r="L311" s="20" t="inlineStr"/>
      <c r="M311" s="20" t="inlineStr"/>
      <c r="N311" s="20" t="inlineStr">
        <is>
          <t>fernando.rescarolli@ccp.ind.br</t>
        </is>
      </c>
      <c r="O311" s="20" t="inlineStr">
        <is>
          <t>contasapagar@ccp.ind.br</t>
        </is>
      </c>
      <c r="P311" s="20" t="inlineStr">
        <is>
          <t>Greice Lorencetti</t>
        </is>
      </c>
      <c r="Q311" s="20" t="inlineStr">
        <is>
          <t>Financial Analyst</t>
        </is>
      </c>
      <c r="R311" s="20" t="inlineStr"/>
      <c r="S311" s="20" t="inlineStr">
        <is>
          <t>contasapagar@ccp.ind.br</t>
        </is>
      </c>
      <c r="T311" s="21" t="n">
        <v>407429.66</v>
      </c>
      <c r="U311" s="31" t="inlineStr">
        <is>
          <t>C</t>
        </is>
      </c>
      <c r="V311" s="23">
        <f>IFERROR(VLOOKUP(U311,Assumptions!$A$7:$D$11,2,FALSE),0)</f>
        <v/>
      </c>
      <c r="W311" s="24">
        <f>MAX(0.5,IFERROR(VLOOKUP(U311,Assumptions!$A$7:$D$11,3,FALSE),3)+IFERROR(VLOOKUP(U311,Assumptions!$A$7:$D$11,4,FALSE),8)/2-IF(AN311="",0,YEAR(TODAY())-AN311))</f>
        <v/>
      </c>
      <c r="X311" s="21">
        <f>T311*V311/(1+Assumptions!$B$3)^W311</f>
        <v/>
      </c>
      <c r="Y311" s="25">
        <f>IF(T311=0,"",ROUND(X311/T311*100,1))</f>
        <v/>
      </c>
      <c r="Z311" s="26">
        <f>X311*Assumptions!$B$4</f>
        <v/>
      </c>
      <c r="AA311" s="25">
        <f>IF(T311=0,"",ROUND(Z311/T311*100,1))</f>
        <v/>
      </c>
      <c r="AB311" s="26">
        <f>X311-Z311</f>
        <v/>
      </c>
      <c r="AC311" s="25">
        <f>IF(T311=0,"",ROUND((X311-Z311)/T311*100,1))</f>
        <v/>
      </c>
      <c r="AD311" s="27" t="inlineStr">
        <is>
          <t>UNKNOWN</t>
        </is>
      </c>
      <c r="AE311" s="28" t="inlineStr">
        <is>
          <t>https://ajruiz.com.br/sites/default/files/public/arquivos-processos/2024-04/relacao_de_credores_recuperanda_1.pdf</t>
        </is>
      </c>
      <c r="AF311" s="27" t="inlineStr">
        <is>
          <t>p4 r6; p4 r7; p4 r8; p4 r9</t>
        </is>
      </c>
      <c r="AG311" s="27" t="inlineStr">
        <is>
          <t>p4: R$ 151.777,50; p4: R$ 7.227,50; p4: R$ 166.232,50; p4: R$ 82.192,16</t>
        </is>
      </c>
      <c r="AH311" s="27" t="inlineStr">
        <is>
          <t>QGC</t>
        </is>
      </c>
      <c r="AI311" s="27" t="inlineStr">
        <is>
          <t>2024-01-31</t>
        </is>
      </c>
      <c r="AJ311" s="27" t="inlineStr">
        <is>
          <t>OK</t>
        </is>
      </c>
      <c r="AK311" s="29" t="inlineStr">
        <is>
          <t>0000148-67.1996.8.24.0079</t>
        </is>
      </c>
      <c r="AL311" s="29" t="inlineStr">
        <is>
          <t>TJ</t>
        </is>
      </c>
      <c r="AM311" s="29" t="inlineStr"/>
      <c r="AN311" s="29" t="n">
        <v>1996</v>
      </c>
      <c r="AO311" s="29" t="inlineStr">
        <is>
          <t>30y since filing, no plan document</t>
        </is>
      </c>
      <c r="AP311" s="29" t="inlineStr">
        <is>
          <t>ARAQUARI</t>
        </is>
      </c>
      <c r="AQ311" s="29" t="inlineStr">
        <is>
          <t>SC</t>
        </is>
      </c>
      <c r="AR311" s="29" t="inlineStr">
        <is>
          <t>Fabricação de resinas termoplásticas</t>
        </is>
      </c>
      <c r="AS311" s="29" t="inlineStr">
        <is>
          <t>DEMAIS</t>
        </is>
      </c>
      <c r="AT311" s="29" t="inlineStr">
        <is>
          <t>MID-MARKET</t>
        </is>
      </c>
      <c r="AU311" s="29" t="inlineStr">
        <is>
          <t>08048078</t>
        </is>
      </c>
      <c r="AV311" s="29" t="n">
        <v>4</v>
      </c>
      <c r="AW311" s="29" t="inlineStr">
        <is>
          <t>ROWS:p4r6,p4r7,p4r8,p4r9</t>
        </is>
      </c>
    </row>
    <row r="312">
      <c r="A312" s="15" t="inlineStr">
        <is>
          <t>ALIRIO COMERCIO DE CONFECCOES LTDA</t>
        </is>
      </c>
      <c r="B312" s="16" t="n">
        <v>284189.67</v>
      </c>
      <c r="C312" s="17" t="inlineStr">
        <is>
          <t>R W CONSTRUCOES LTDA</t>
        </is>
      </c>
      <c r="D312" s="18" t="inlineStr">
        <is>
          <t>NEW</t>
        </is>
      </c>
      <c r="E312" s="19" t="inlineStr"/>
      <c r="F312" s="18" t="inlineStr"/>
      <c r="G312" s="19" t="inlineStr"/>
      <c r="H312" s="18" t="inlineStr"/>
      <c r="I312" s="20" t="inlineStr">
        <is>
          <t>CHARLES NAHRA</t>
        </is>
      </c>
      <c r="J312" s="20" t="inlineStr">
        <is>
          <t>Sócio-Administrador</t>
        </is>
      </c>
      <c r="K312" s="20" t="inlineStr">
        <is>
          <t>(11) 2081-6261</t>
        </is>
      </c>
      <c r="L312" s="20" t="inlineStr"/>
      <c r="M312" s="20" t="inlineStr"/>
      <c r="N312" s="20" t="inlineStr"/>
      <c r="O312" s="20" t="inlineStr"/>
      <c r="P312" s="20" t="inlineStr"/>
      <c r="Q312" s="20" t="inlineStr"/>
      <c r="R312" s="20" t="inlineStr"/>
      <c r="S312" s="20" t="inlineStr"/>
      <c r="T312" s="21" t="n">
        <v>284189.67</v>
      </c>
      <c r="U312" s="22" t="inlineStr">
        <is>
          <t>B</t>
        </is>
      </c>
      <c r="V312" s="23">
        <f>IFERROR(VLOOKUP(U312,Assumptions!$A$7:$D$11,2,FALSE),0)</f>
        <v/>
      </c>
      <c r="W312" s="24">
        <f>MAX(0.5,IFERROR(VLOOKUP(U312,Assumptions!$A$7:$D$11,3,FALSE),3)+IFERROR(VLOOKUP(U312,Assumptions!$A$7:$D$11,4,FALSE),8)/2-IF(AN312="",0,YEAR(TODAY())-AN312))</f>
        <v/>
      </c>
      <c r="X312" s="21">
        <f>T312*V312/(1+Assumptions!$B$3)^W312</f>
        <v/>
      </c>
      <c r="Y312" s="25">
        <f>IF(T312=0,"",ROUND(X312/T312*100,1))</f>
        <v/>
      </c>
      <c r="Z312" s="26">
        <f>X312*Assumptions!$B$4</f>
        <v/>
      </c>
      <c r="AA312" s="25">
        <f>IF(T312=0,"",ROUND(Z312/T312*100,1))</f>
        <v/>
      </c>
      <c r="AB312" s="26">
        <f>X312-Z312</f>
        <v/>
      </c>
      <c r="AC312" s="25">
        <f>IF(T312=0,"",ROUND((X312-Z312)/T312*100,1))</f>
        <v/>
      </c>
      <c r="AD312" s="27" t="inlineStr">
        <is>
          <t>ESTIMATED</t>
        </is>
      </c>
      <c r="AE312" s="28" t="inlineStr">
        <is>
          <t>https://lrflideres.com.br/wp-content/plugins/download-attachments/includes/download.php?id=4023</t>
        </is>
      </c>
      <c r="AF312" s="27" t="inlineStr">
        <is>
          <t>p7 r70; p9 r53</t>
        </is>
      </c>
      <c r="AG312" s="27" t="inlineStr">
        <is>
          <t>p7: R$ 241.980,69; p9: R$ 42.208,98</t>
        </is>
      </c>
      <c r="AH312" s="27" t="inlineStr">
        <is>
          <t>DEBTOR_LIST</t>
        </is>
      </c>
      <c r="AI312" s="27" t="inlineStr"/>
      <c r="AJ312" s="27" t="inlineStr">
        <is>
          <t>QUARANTINED</t>
        </is>
      </c>
      <c r="AK312" s="29" t="inlineStr">
        <is>
          <t>0002484-82.2022.8.17.2001</t>
        </is>
      </c>
      <c r="AL312" s="29" t="inlineStr">
        <is>
          <t>TJPE</t>
        </is>
      </c>
      <c r="AM312" s="29" t="inlineStr">
        <is>
          <t>ACTIVE</t>
        </is>
      </c>
      <c r="AN312" s="29" t="n">
        <v>2022</v>
      </c>
      <c r="AO312" s="29" t="inlineStr">
        <is>
          <t>live case, no plan document yet</t>
        </is>
      </c>
      <c r="AP312" s="29" t="inlineStr">
        <is>
          <t>ARAQUARI</t>
        </is>
      </c>
      <c r="AQ312" s="29" t="inlineStr">
        <is>
          <t>SC</t>
        </is>
      </c>
      <c r="AR312" s="29" t="inlineStr">
        <is>
          <t>Comércio atacadista de artigos do vestuário e acessórios, exceto profissionais e de segurança</t>
        </is>
      </c>
      <c r="AS312" s="29" t="inlineStr">
        <is>
          <t>DEMAIS</t>
        </is>
      </c>
      <c r="AT312" s="29" t="inlineStr">
        <is>
          <t>MID-MARKET</t>
        </is>
      </c>
      <c r="AU312" s="29" t="inlineStr">
        <is>
          <t>20203358</t>
        </is>
      </c>
      <c r="AV312" s="29" t="n">
        <v>2</v>
      </c>
      <c r="AW312" s="29" t="inlineStr">
        <is>
          <t>PARTIAL_DOC_CLASS_III_RECONCILED ROWS:p7r70,p9r53</t>
        </is>
      </c>
    </row>
    <row r="313">
      <c r="A313" s="15" t="inlineStr">
        <is>
          <t>RDF CONSULTORIA EMPRESARIAL LTDA</t>
        </is>
      </c>
      <c r="B313" s="16" t="n">
        <v>709622.12</v>
      </c>
      <c r="C313" s="17" t="inlineStr">
        <is>
          <t>VECTOR INDUSTRIA DE PRODUTOS METALURGICOS LTDA - EM RECUPERACAO JUDICIAL</t>
        </is>
      </c>
      <c r="D313" s="18" t="inlineStr">
        <is>
          <t>NEW</t>
        </is>
      </c>
      <c r="E313" s="19" t="inlineStr"/>
      <c r="F313" s="18" t="inlineStr"/>
      <c r="G313" s="19" t="inlineStr"/>
      <c r="H313" s="18" t="inlineStr"/>
      <c r="I313" s="20" t="inlineStr">
        <is>
          <t>EDUARDO SCHULTZE BRAESKE ROTUNNO</t>
        </is>
      </c>
      <c r="J313" s="20" t="inlineStr">
        <is>
          <t>Sócio-Administrador</t>
        </is>
      </c>
      <c r="K313" s="20" t="inlineStr">
        <is>
          <t>(51) 3377-9787</t>
        </is>
      </c>
      <c r="L313" s="20" t="inlineStr"/>
      <c r="M313" s="20" t="inlineStr"/>
      <c r="N313" s="20" t="inlineStr"/>
      <c r="O313" s="20" t="inlineStr"/>
      <c r="P313" s="20" t="inlineStr">
        <is>
          <t>ROGERIO SIMOES ROTUNNO</t>
        </is>
      </c>
      <c r="Q313" s="20" t="inlineStr">
        <is>
          <t>Sócio-Administrador</t>
        </is>
      </c>
      <c r="R313" s="20" t="inlineStr">
        <is>
          <t>(51) 3377-9787</t>
        </is>
      </c>
      <c r="S313" s="20" t="inlineStr"/>
      <c r="T313" s="21" t="n">
        <v>709622.12</v>
      </c>
      <c r="U313" s="31" t="inlineStr">
        <is>
          <t>C</t>
        </is>
      </c>
      <c r="V313" s="23">
        <f>IFERROR(VLOOKUP(U313,Assumptions!$A$7:$D$11,2,FALSE),0)</f>
        <v/>
      </c>
      <c r="W313" s="24">
        <f>MAX(0.5,IFERROR(VLOOKUP(U313,Assumptions!$A$7:$D$11,3,FALSE),3)+IFERROR(VLOOKUP(U313,Assumptions!$A$7:$D$11,4,FALSE),8)/2-IF(AN313="",0,YEAR(TODAY())-AN313))</f>
        <v/>
      </c>
      <c r="X313" s="21">
        <f>T313*V313/(1+Assumptions!$B$3)^W313</f>
        <v/>
      </c>
      <c r="Y313" s="25">
        <f>IF(T313=0,"",ROUND(X313/T313*100,1))</f>
        <v/>
      </c>
      <c r="Z313" s="26">
        <f>X313*Assumptions!$B$4</f>
        <v/>
      </c>
      <c r="AA313" s="25">
        <f>IF(T313=0,"",ROUND(Z313/T313*100,1))</f>
        <v/>
      </c>
      <c r="AB313" s="26">
        <f>X313-Z313</f>
        <v/>
      </c>
      <c r="AC313" s="25">
        <f>IF(T313=0,"",ROUND((X313-Z313)/T313*100,1))</f>
        <v/>
      </c>
      <c r="AD313" s="27" t="inlineStr">
        <is>
          <t>ESTIMATED</t>
        </is>
      </c>
      <c r="AE313" s="28" t="inlineStr">
        <is>
          <t>https://scalzilliaj.com.br/sgc/download.php?file=files/processo_documento/processo_documento15513401112022_1_.pdf&amp;nome=15 - Edital do art. 7º, §2º (segunda lista de credores) e do art. 53 da Lei 11.101/2005 (recebimento do plano)</t>
        </is>
      </c>
      <c r="AF313" s="27" t="inlineStr">
        <is>
          <t>p9 r12</t>
        </is>
      </c>
      <c r="AG313" s="27" t="inlineStr">
        <is>
          <t>p9: R$ 709.622,12</t>
        </is>
      </c>
      <c r="AH313" s="27" t="inlineStr">
        <is>
          <t>AJ_LIST</t>
        </is>
      </c>
      <c r="AI313" s="27" t="inlineStr">
        <is>
          <t>2022-11-01</t>
        </is>
      </c>
      <c r="AJ313" s="27" t="inlineStr">
        <is>
          <t>OK_NO_TOTALS</t>
        </is>
      </c>
      <c r="AK313" s="29" t="inlineStr">
        <is>
          <t>5014104-85.2021.8.21.0010</t>
        </is>
      </c>
      <c r="AL313" s="29" t="inlineStr">
        <is>
          <t>TJRS</t>
        </is>
      </c>
      <c r="AM313" s="29" t="inlineStr">
        <is>
          <t>ACTIVE</t>
        </is>
      </c>
      <c r="AN313" s="29" t="n">
        <v>2021</v>
      </c>
      <c r="AO313" s="29" t="inlineStr">
        <is>
          <t>5y since filing, no plan document</t>
        </is>
      </c>
      <c r="AP313" s="29" t="inlineStr">
        <is>
          <t>PORTO ALEGRE</t>
        </is>
      </c>
      <c r="AQ313" s="29" t="inlineStr">
        <is>
          <t>RS</t>
        </is>
      </c>
      <c r="AR313" s="29" t="inlineStr">
        <is>
          <t>Atividades de consultoria em gestão empresarial, exceto consultoria técnica específica</t>
        </is>
      </c>
      <c r="AS313" s="29" t="inlineStr">
        <is>
          <t>DEMAIS</t>
        </is>
      </c>
      <c r="AT313" s="29" t="inlineStr">
        <is>
          <t>MID-MARKET</t>
        </is>
      </c>
      <c r="AU313" s="29" t="inlineStr">
        <is>
          <t>19362088</t>
        </is>
      </c>
      <c r="AV313" s="29" t="n">
        <v>1</v>
      </c>
      <c r="AW313" s="29" t="inlineStr">
        <is>
          <t>ROWS:p9r12 UNRECONCILED_SOURCE</t>
        </is>
      </c>
    </row>
    <row r="314">
      <c r="A314" s="15" t="inlineStr">
        <is>
          <t>ESCRITORIO CENTRAL DE ARRECADACAO E DISTRIBUICAO ECAD</t>
        </is>
      </c>
      <c r="B314" s="16" t="n">
        <v>453771.76</v>
      </c>
      <c r="C314" s="17" t="inlineStr">
        <is>
          <t>Grupo Arnon de Mello — Lindoso e Araujo</t>
        </is>
      </c>
      <c r="D314" s="18" t="inlineStr">
        <is>
          <t>NEW</t>
        </is>
      </c>
      <c r="E314" s="19" t="inlineStr"/>
      <c r="F314" s="18" t="inlineStr"/>
      <c r="G314" s="19" t="inlineStr"/>
      <c r="H314" s="18" t="inlineStr"/>
      <c r="I314" s="20" t="inlineStr">
        <is>
          <t>ISABEL AMORIM SICHERLE</t>
        </is>
      </c>
      <c r="J314" s="20" t="inlineStr">
        <is>
          <t>Presidente</t>
        </is>
      </c>
      <c r="K314" s="20" t="inlineStr">
        <is>
          <t>(21) 3505-8500</t>
        </is>
      </c>
      <c r="L314" s="20" t="inlineStr"/>
      <c r="M314" s="20" t="inlineStr"/>
      <c r="N314" s="20" t="inlineStr"/>
      <c r="O314" s="20" t="inlineStr"/>
      <c r="P314" s="20" t="inlineStr"/>
      <c r="Q314" s="20" t="inlineStr"/>
      <c r="R314" s="20" t="inlineStr"/>
      <c r="S314" s="20" t="inlineStr"/>
      <c r="T314" s="21" t="n">
        <v>453771.76</v>
      </c>
      <c r="U314" s="31" t="inlineStr">
        <is>
          <t>C</t>
        </is>
      </c>
      <c r="V314" s="23">
        <f>IFERROR(VLOOKUP(U314,Assumptions!$A$7:$D$11,2,FALSE),0)</f>
        <v/>
      </c>
      <c r="W314" s="24">
        <f>MAX(0.5,IFERROR(VLOOKUP(U314,Assumptions!$A$7:$D$11,3,FALSE),3)+IFERROR(VLOOKUP(U314,Assumptions!$A$7:$D$11,4,FALSE),8)/2-IF(AN314="",0,YEAR(TODAY())-AN314))</f>
        <v/>
      </c>
      <c r="X314" s="21">
        <f>T314*V314/(1+Assumptions!$B$3)^W314</f>
        <v/>
      </c>
      <c r="Y314" s="25">
        <f>IF(T314=0,"",ROUND(X314/T314*100,1))</f>
        <v/>
      </c>
      <c r="Z314" s="26">
        <f>X314*Assumptions!$B$4</f>
        <v/>
      </c>
      <c r="AA314" s="25">
        <f>IF(T314=0,"",ROUND(Z314/T314*100,1))</f>
        <v/>
      </c>
      <c r="AB314" s="26">
        <f>X314-Z314</f>
        <v/>
      </c>
      <c r="AC314" s="25">
        <f>IF(T314=0,"",ROUND((X314-Z314)/T314*100,1))</f>
        <v/>
      </c>
      <c r="AD314" s="27" t="inlineStr">
        <is>
          <t>UNKNOWN</t>
        </is>
      </c>
      <c r="AE314" s="28" t="inlineStr">
        <is>
          <t>https://recuperacaojudicial.squarespace.com/s/RJ-Grupo-Arnon-de-Melo-Lista-de-Credores-Consolidada-abril-2022.pdf</t>
        </is>
      </c>
      <c r="AF314" s="27" t="inlineStr">
        <is>
          <t>p8 r4</t>
        </is>
      </c>
      <c r="AG314" s="27" t="inlineStr">
        <is>
          <t>p8: R$ 453.771,76</t>
        </is>
      </c>
      <c r="AH314" s="27" t="inlineStr">
        <is>
          <t>AJ_LIST</t>
        </is>
      </c>
      <c r="AI314" s="27" t="inlineStr"/>
      <c r="AJ314" s="27" t="inlineStr">
        <is>
          <t>OK_NO_TOTALS</t>
        </is>
      </c>
      <c r="AK314" s="29" t="inlineStr">
        <is>
          <t>0700256-03.2019.8.02.0066</t>
        </is>
      </c>
      <c r="AL314" s="29" t="inlineStr">
        <is>
          <t>TJ</t>
        </is>
      </c>
      <c r="AM314" s="29" t="inlineStr"/>
      <c r="AN314" s="29" t="n">
        <v>2019</v>
      </c>
      <c r="AO314" s="29" t="inlineStr">
        <is>
          <t>7y since filing, no plan document</t>
        </is>
      </c>
      <c r="AP314" s="29" t="inlineStr">
        <is>
          <t>RIO DE JANEIRO</t>
        </is>
      </c>
      <c r="AQ314" s="29" t="inlineStr">
        <is>
          <t>RJ</t>
        </is>
      </c>
      <c r="AR314" s="29" t="inlineStr">
        <is>
          <t>Atividades de organizações associativas ligadas à cultura e à arte</t>
        </is>
      </c>
      <c r="AS314" s="29" t="inlineStr">
        <is>
          <t>DEMAIS</t>
        </is>
      </c>
      <c r="AT314" s="29" t="inlineStr">
        <is>
          <t>MID-MARKET</t>
        </is>
      </c>
      <c r="AU314" s="29" t="inlineStr">
        <is>
          <t>00474973</t>
        </is>
      </c>
      <c r="AV314" s="29" t="n">
        <v>1</v>
      </c>
      <c r="AW314" s="29" t="inlineStr">
        <is>
          <t>ROWS:p8r4 UNRECONCILED_SOURCE</t>
        </is>
      </c>
    </row>
    <row r="315">
      <c r="A315" s="15" t="inlineStr">
        <is>
          <t>COMPANHIA ENERGETICA DE PERNAMBUCO</t>
        </is>
      </c>
      <c r="B315" s="16" t="n">
        <v>354296.22</v>
      </c>
      <c r="C315" s="17" t="inlineStr">
        <is>
          <t>CLUBE NAUTICO CAPIBARIBE - EM RECUPERACAO JUDICIAL</t>
        </is>
      </c>
      <c r="D315" s="18" t="inlineStr">
        <is>
          <t>NEW</t>
        </is>
      </c>
      <c r="E315" s="19" t="inlineStr"/>
      <c r="F315" s="18" t="inlineStr"/>
      <c r="G315" s="19" t="inlineStr"/>
      <c r="H315" s="18" t="inlineStr"/>
      <c r="I315" s="20" t="inlineStr">
        <is>
          <t>SAULO CABRAL E SILVA</t>
        </is>
      </c>
      <c r="J315" s="20" t="inlineStr">
        <is>
          <t>Presidente</t>
        </is>
      </c>
      <c r="K315" s="20" t="inlineStr">
        <is>
          <t>(81) 3217-5226</t>
        </is>
      </c>
      <c r="L315" s="20" t="inlineStr"/>
      <c r="M315" s="20" t="inlineStr"/>
      <c r="N315" s="20" t="inlineStr"/>
      <c r="O315" s="20" t="inlineStr"/>
      <c r="P315" s="20" t="inlineStr">
        <is>
          <t>FABIANO DA ROSA CARVALHO</t>
        </is>
      </c>
      <c r="Q315" s="20" t="inlineStr">
        <is>
          <t>Diretor</t>
        </is>
      </c>
      <c r="R315" s="20" t="inlineStr">
        <is>
          <t>(81) 3217-5226</t>
        </is>
      </c>
      <c r="S315" s="20" t="inlineStr"/>
      <c r="T315" s="21" t="n">
        <v>354296.22</v>
      </c>
      <c r="U315" s="22" t="inlineStr">
        <is>
          <t>B</t>
        </is>
      </c>
      <c r="V315" s="23">
        <f>IFERROR(VLOOKUP(U315,Assumptions!$A$7:$D$11,2,FALSE),0)</f>
        <v/>
      </c>
      <c r="W315" s="24">
        <f>MAX(0.5,IFERROR(VLOOKUP(U315,Assumptions!$A$7:$D$11,3,FALSE),3)+IFERROR(VLOOKUP(U315,Assumptions!$A$7:$D$11,4,FALSE),8)/2-IF(AN315="",0,YEAR(TODAY())-AN315))</f>
        <v/>
      </c>
      <c r="X315" s="21">
        <f>T315*V315/(1+Assumptions!$B$3)^W315</f>
        <v/>
      </c>
      <c r="Y315" s="25">
        <f>IF(T315=0,"",ROUND(X315/T315*100,1))</f>
        <v/>
      </c>
      <c r="Z315" s="26">
        <f>X315*Assumptions!$B$4</f>
        <v/>
      </c>
      <c r="AA315" s="25">
        <f>IF(T315=0,"",ROUND(Z315/T315*100,1))</f>
        <v/>
      </c>
      <c r="AB315" s="26">
        <f>X315-Z315</f>
        <v/>
      </c>
      <c r="AC315" s="25">
        <f>IF(T315=0,"",ROUND((X315-Z315)/T315*100,1))</f>
        <v/>
      </c>
      <c r="AD315" s="27" t="inlineStr">
        <is>
          <t>ESTIMATED</t>
        </is>
      </c>
      <c r="AE315" s="28" t="inlineStr">
        <is>
          <t>https://lrflideres.com.br/wp-content/plugins/download-attachments/includes/download.php?id=5589</t>
        </is>
      </c>
      <c r="AF315" s="27" t="inlineStr">
        <is>
          <t>p11 r71</t>
        </is>
      </c>
      <c r="AG315" s="27" t="inlineStr">
        <is>
          <t>p11: R$ 354.296,22</t>
        </is>
      </c>
      <c r="AH315" s="27" t="inlineStr">
        <is>
          <t>AJ_LIST</t>
        </is>
      </c>
      <c r="AI315" s="27" t="inlineStr">
        <is>
          <t>2023-11-27</t>
        </is>
      </c>
      <c r="AJ315" s="27" t="inlineStr">
        <is>
          <t>QUARANTINED</t>
        </is>
      </c>
      <c r="AK315" s="29" t="inlineStr">
        <is>
          <t>0011283-80.2023.8.17.2001</t>
        </is>
      </c>
      <c r="AL315" s="29" t="inlineStr">
        <is>
          <t>TJPE</t>
        </is>
      </c>
      <c r="AM315" s="29" t="inlineStr">
        <is>
          <t>ACTIVE</t>
        </is>
      </c>
      <c r="AN315" s="29" t="n">
        <v>2023</v>
      </c>
      <c r="AO315" s="29" t="inlineStr">
        <is>
          <t>live case, no plan document yet</t>
        </is>
      </c>
      <c r="AP315" s="29" t="inlineStr">
        <is>
          <t>RECIFE</t>
        </is>
      </c>
      <c r="AQ315" s="29" t="inlineStr">
        <is>
          <t>PE</t>
        </is>
      </c>
      <c r="AR315" s="29" t="inlineStr">
        <is>
          <t>Distribuição de energia elétrica</t>
        </is>
      </c>
      <c r="AS315" s="29" t="inlineStr">
        <is>
          <t>DEMAIS</t>
        </is>
      </c>
      <c r="AT315" s="29" t="inlineStr">
        <is>
          <t>LARGE CORP</t>
        </is>
      </c>
      <c r="AU315" s="29" t="inlineStr">
        <is>
          <t>10835932</t>
        </is>
      </c>
      <c r="AV315" s="29" t="n">
        <v>1</v>
      </c>
      <c r="AW315" s="29" t="inlineStr">
        <is>
          <t>PARTIAL_DOC_CLASS_III_RECONCILED ROWS:p11r71</t>
        </is>
      </c>
    </row>
    <row r="316">
      <c r="A316" s="15" t="inlineStr">
        <is>
          <t>CONTATTI COMERCIO E REPRESENTACOES LTDA</t>
        </is>
      </c>
      <c r="B316" s="16" t="n">
        <v>283293.5</v>
      </c>
      <c r="C316" s="17" t="inlineStr">
        <is>
          <t>ASSOCIACAO DE CARIDADE SANTA CASA DE RIO GRANDE</t>
        </is>
      </c>
      <c r="D316" s="18" t="inlineStr">
        <is>
          <t>NEW</t>
        </is>
      </c>
      <c r="E316" s="19" t="inlineStr"/>
      <c r="F316" s="18" t="inlineStr"/>
      <c r="G316" s="19" t="inlineStr"/>
      <c r="H316" s="18" t="inlineStr"/>
      <c r="I316" s="20" t="inlineStr">
        <is>
          <t>ALESSANDRO DOMENICO PALLAMOLLA</t>
        </is>
      </c>
      <c r="J316" s="20" t="inlineStr">
        <is>
          <t>Sócio-Administrador</t>
        </is>
      </c>
      <c r="K316" s="20" t="inlineStr">
        <is>
          <t>(51) 2104-9500</t>
        </is>
      </c>
      <c r="L316" s="20" t="inlineStr"/>
      <c r="M316" s="20" t="inlineStr"/>
      <c r="N316" s="20" t="inlineStr"/>
      <c r="O316" s="20" t="inlineStr"/>
      <c r="P316" s="20" t="inlineStr">
        <is>
          <t>MARCO HUGO RODOLFO PALLAMOLLA</t>
        </is>
      </c>
      <c r="Q316" s="20" t="inlineStr">
        <is>
          <t>Sócio-Administrador</t>
        </is>
      </c>
      <c r="R316" s="20" t="inlineStr">
        <is>
          <t>(51) 2104-9500</t>
        </is>
      </c>
      <c r="S316" s="20" t="inlineStr"/>
      <c r="T316" s="21" t="n">
        <v>283293.5</v>
      </c>
      <c r="U316" s="22" t="inlineStr">
        <is>
          <t>B</t>
        </is>
      </c>
      <c r="V316" s="23">
        <f>IFERROR(VLOOKUP(U316,Assumptions!$A$7:$D$11,2,FALSE),0)</f>
        <v/>
      </c>
      <c r="W316" s="24">
        <f>MAX(0.5,IFERROR(VLOOKUP(U316,Assumptions!$A$7:$D$11,3,FALSE),3)+IFERROR(VLOOKUP(U316,Assumptions!$A$7:$D$11,4,FALSE),8)/2-IF(AN316="",0,YEAR(TODAY())-AN316))</f>
        <v/>
      </c>
      <c r="X316" s="21">
        <f>T316*V316/(1+Assumptions!$B$3)^W316</f>
        <v/>
      </c>
      <c r="Y316" s="25">
        <f>IF(T316=0,"",ROUND(X316/T316*100,1))</f>
        <v/>
      </c>
      <c r="Z316" s="26">
        <f>X316*Assumptions!$B$4</f>
        <v/>
      </c>
      <c r="AA316" s="25">
        <f>IF(T316=0,"",ROUND(Z316/T316*100,1))</f>
        <v/>
      </c>
      <c r="AB316" s="26">
        <f>X316-Z316</f>
        <v/>
      </c>
      <c r="AC316" s="25">
        <f>IF(T316=0,"",ROUND((X316-Z316)/T316*100,1))</f>
        <v/>
      </c>
      <c r="AD316" s="27" t="inlineStr">
        <is>
          <t>ESTIMATED</t>
        </is>
      </c>
      <c r="AE316" s="28" t="inlineStr">
        <is>
          <t>https://scalzilliaj.com.br/sgc/download.php?file=files/processo_documento/processo_documento09120721032023_1_.pdf&amp;nome=15 - Edital do art. 7º, §2º e 53 da Lei 11.101/2005 (segunda lista de credores e recebimento do plano))</t>
        </is>
      </c>
      <c r="AF316" s="27" t="inlineStr">
        <is>
          <t>p26 r46</t>
        </is>
      </c>
      <c r="AG316" s="27" t="inlineStr">
        <is>
          <t>p26: R$ 283.293,50</t>
        </is>
      </c>
      <c r="AH316" s="27" t="inlineStr">
        <is>
          <t>AJ_LIST</t>
        </is>
      </c>
      <c r="AI316" s="27" t="inlineStr">
        <is>
          <t>2023-03-21</t>
        </is>
      </c>
      <c r="AJ316" s="27" t="inlineStr">
        <is>
          <t>OK_NO_TOTALS</t>
        </is>
      </c>
      <c r="AK316" s="29" t="inlineStr">
        <is>
          <t>5012306-16.2022.8.21.0023</t>
        </is>
      </c>
      <c r="AL316" s="29" t="inlineStr">
        <is>
          <t>TJRS</t>
        </is>
      </c>
      <c r="AM316" s="29" t="inlineStr">
        <is>
          <t>ACTIVE</t>
        </is>
      </c>
      <c r="AN316" s="29" t="n">
        <v>2022</v>
      </c>
      <c r="AO316" s="29" t="inlineStr">
        <is>
          <t>live case, no plan document yet</t>
        </is>
      </c>
      <c r="AP316" s="29" t="inlineStr">
        <is>
          <t>PORTO ALEGRE</t>
        </is>
      </c>
      <c r="AQ316" s="29" t="inlineStr">
        <is>
          <t>RS</t>
        </is>
      </c>
      <c r="AR316" s="29" t="inlineStr">
        <is>
          <t>Comércio atacadista de instrumentos e materiais para uso médico, cirúrgico, hospitalar e de laboratórios</t>
        </is>
      </c>
      <c r="AS316" s="29" t="inlineStr">
        <is>
          <t>DEMAIS</t>
        </is>
      </c>
      <c r="AT316" s="29" t="inlineStr">
        <is>
          <t>MID-MARKET</t>
        </is>
      </c>
      <c r="AU316" s="29" t="inlineStr">
        <is>
          <t>90108283</t>
        </is>
      </c>
      <c r="AV316" s="29" t="n">
        <v>1</v>
      </c>
      <c r="AW316" s="29" t="inlineStr">
        <is>
          <t>ROWS:p26r46 UNRECONCILED_SOURCE</t>
        </is>
      </c>
    </row>
    <row r="317">
      <c r="A317" s="15" t="inlineStr">
        <is>
          <t>CAMPO BOM INSUMOS AGRICOLAS LTDA</t>
        </is>
      </c>
      <c r="B317" s="16" t="n">
        <v>691120</v>
      </c>
      <c r="C317" s="17" t="inlineStr"/>
      <c r="D317" s="18" t="inlineStr">
        <is>
          <t>NEW</t>
        </is>
      </c>
      <c r="E317" s="19" t="inlineStr"/>
      <c r="F317" s="18" t="inlineStr"/>
      <c r="G317" s="19" t="inlineStr"/>
      <c r="H317" s="18" t="inlineStr"/>
      <c r="I317" s="20" t="inlineStr">
        <is>
          <t>ANDREIA PATRICIA MAGGIONI MOURA</t>
        </is>
      </c>
      <c r="J317" s="20" t="inlineStr">
        <is>
          <t>Sócio-Administrador</t>
        </is>
      </c>
      <c r="K317" s="20" t="inlineStr">
        <is>
          <t>(64) 3636-2178</t>
        </is>
      </c>
      <c r="L317" s="20" t="inlineStr"/>
      <c r="M317" s="20" t="inlineStr"/>
      <c r="N317" s="20" t="inlineStr"/>
      <c r="O317" s="20" t="inlineStr"/>
      <c r="P317" s="20" t="inlineStr">
        <is>
          <t>FAGNER DE MOURA COSTA</t>
        </is>
      </c>
      <c r="Q317" s="20" t="inlineStr">
        <is>
          <t>Sócio-Administrador</t>
        </is>
      </c>
      <c r="R317" s="20" t="inlineStr">
        <is>
          <t>(64) 3636-2178</t>
        </is>
      </c>
      <c r="S317" s="20" t="inlineStr"/>
      <c r="T317" s="21" t="n">
        <v>691120</v>
      </c>
      <c r="U317" s="22" t="inlineStr">
        <is>
          <t>B</t>
        </is>
      </c>
      <c r="V317" s="23">
        <f>IFERROR(VLOOKUP(U317,Assumptions!$A$7:$D$11,2,FALSE),0)</f>
        <v/>
      </c>
      <c r="W317" s="24">
        <f>MAX(0.5,IFERROR(VLOOKUP(U317,Assumptions!$A$7:$D$11,3,FALSE),3)+IFERROR(VLOOKUP(U317,Assumptions!$A$7:$D$11,4,FALSE),8)/2-IF(AN317="",0,YEAR(TODAY())-AN317))</f>
        <v/>
      </c>
      <c r="X317" s="21">
        <f>T317*V317/(1+Assumptions!$B$3)^W317</f>
        <v/>
      </c>
      <c r="Y317" s="25">
        <f>IF(T317=0,"",ROUND(X317/T317*100,1))</f>
        <v/>
      </c>
      <c r="Z317" s="26">
        <f>X317*Assumptions!$B$4</f>
        <v/>
      </c>
      <c r="AA317" s="25">
        <f>IF(T317=0,"",ROUND(Z317/T317*100,1))</f>
        <v/>
      </c>
      <c r="AB317" s="26">
        <f>X317-Z317</f>
        <v/>
      </c>
      <c r="AC317" s="25">
        <f>IF(T317=0,"",ROUND((X317-Z317)/T317*100,1))</f>
        <v/>
      </c>
      <c r="AD317" s="27" t="inlineStr">
        <is>
          <t>ESTIMATED</t>
        </is>
      </c>
      <c r="AE317" s="28" t="inlineStr">
        <is>
          <t>https://scalzilliaj.com.br/sgc/download.php?file=files/processo_documento/processo_documento11421222052026_1_.pdf&amp;nome=08. Lista de credores do edital do art. 52, §1º da LREF</t>
        </is>
      </c>
      <c r="AF317" s="27" t="inlineStr">
        <is>
          <t>p2 r2</t>
        </is>
      </c>
      <c r="AG317" s="27" t="inlineStr">
        <is>
          <t>p2: R$ 691.120,00</t>
        </is>
      </c>
      <c r="AH317" s="27" t="inlineStr">
        <is>
          <t>UNKNOWN</t>
        </is>
      </c>
      <c r="AI317" s="27" t="inlineStr"/>
      <c r="AJ317" s="27" t="inlineStr">
        <is>
          <t>OK_NO_TOTALS</t>
        </is>
      </c>
      <c r="AK317" s="29" t="inlineStr">
        <is>
          <t>5011369-81.2026.8.09.0093</t>
        </is>
      </c>
      <c r="AL317" s="29" t="inlineStr">
        <is>
          <t>TJGO</t>
        </is>
      </c>
      <c r="AM317" s="29" t="inlineStr">
        <is>
          <t>ACTIVE</t>
        </is>
      </c>
      <c r="AN317" s="29" t="n">
        <v>2026</v>
      </c>
      <c r="AO317" s="29" t="inlineStr">
        <is>
          <t>live case, no plan document yet</t>
        </is>
      </c>
      <c r="AP317" s="29" t="inlineStr">
        <is>
          <t>JATAI</t>
        </is>
      </c>
      <c r="AQ317" s="29" t="inlineStr">
        <is>
          <t>GO</t>
        </is>
      </c>
      <c r="AR317" s="29" t="inlineStr">
        <is>
          <t>Comércio atacadista de defensivos agrícolas, adubos, fertilizantes e corretivos do solo</t>
        </is>
      </c>
      <c r="AS317" s="29" t="inlineStr">
        <is>
          <t>DEMAIS</t>
        </is>
      </c>
      <c r="AT317" s="29" t="inlineStr">
        <is>
          <t>MID-MARKET</t>
        </is>
      </c>
      <c r="AU317" s="29" t="inlineStr">
        <is>
          <t>08078241</t>
        </is>
      </c>
      <c r="AV317" s="29" t="n">
        <v>1</v>
      </c>
      <c r="AW317" s="29" t="inlineStr">
        <is>
          <t>ROWS:p2r2 UNRECONCILED_SOURCE</t>
        </is>
      </c>
    </row>
    <row r="318">
      <c r="A318" s="15" t="inlineStr">
        <is>
          <t>PMSM PUBLICIDADE E COMUNICACAO LTDA</t>
        </is>
      </c>
      <c r="B318" s="16" t="n">
        <v>351926.88</v>
      </c>
      <c r="C318" s="17" t="inlineStr">
        <is>
          <t>CLUBE NAUTICO CAPIBARIBE - EM RECUPERACAO JUDICIAL</t>
        </is>
      </c>
      <c r="D318" s="18" t="inlineStr">
        <is>
          <t>NEW</t>
        </is>
      </c>
      <c r="E318" s="19" t="inlineStr"/>
      <c r="F318" s="18" t="inlineStr"/>
      <c r="G318" s="19" t="inlineStr"/>
      <c r="H318" s="18" t="inlineStr"/>
      <c r="I318" s="20" t="inlineStr">
        <is>
          <t>FREDERICO MATHIAS DE MORAES</t>
        </is>
      </c>
      <c r="J318" s="20" t="inlineStr">
        <is>
          <t>Sócio-Administrador</t>
        </is>
      </c>
      <c r="K318" s="20" t="inlineStr">
        <is>
          <t>(21) 3713-2606</t>
        </is>
      </c>
      <c r="L318" s="20" t="inlineStr"/>
      <c r="M318" s="20" t="inlineStr"/>
      <c r="N318" s="20" t="inlineStr"/>
      <c r="O318" s="20" t="inlineStr"/>
      <c r="P318" s="20" t="inlineStr">
        <is>
          <t>GUSTAVO PINTO BAZILIO</t>
        </is>
      </c>
      <c r="Q318" s="20" t="inlineStr">
        <is>
          <t>Sócio-Administrador</t>
        </is>
      </c>
      <c r="R318" s="20" t="inlineStr">
        <is>
          <t>(21) 3713-2606</t>
        </is>
      </c>
      <c r="S318" s="20" t="inlineStr"/>
      <c r="T318" s="21" t="n">
        <v>351926.88</v>
      </c>
      <c r="U318" s="22" t="inlineStr">
        <is>
          <t>B</t>
        </is>
      </c>
      <c r="V318" s="23">
        <f>IFERROR(VLOOKUP(U318,Assumptions!$A$7:$D$11,2,FALSE),0)</f>
        <v/>
      </c>
      <c r="W318" s="24">
        <f>MAX(0.5,IFERROR(VLOOKUP(U318,Assumptions!$A$7:$D$11,3,FALSE),3)+IFERROR(VLOOKUP(U318,Assumptions!$A$7:$D$11,4,FALSE),8)/2-IF(AN318="",0,YEAR(TODAY())-AN318))</f>
        <v/>
      </c>
      <c r="X318" s="21">
        <f>T318*V318/(1+Assumptions!$B$3)^W318</f>
        <v/>
      </c>
      <c r="Y318" s="25">
        <f>IF(T318=0,"",ROUND(X318/T318*100,1))</f>
        <v/>
      </c>
      <c r="Z318" s="26">
        <f>X318*Assumptions!$B$4</f>
        <v/>
      </c>
      <c r="AA318" s="25">
        <f>IF(T318=0,"",ROUND(Z318/T318*100,1))</f>
        <v/>
      </c>
      <c r="AB318" s="26">
        <f>X318-Z318</f>
        <v/>
      </c>
      <c r="AC318" s="25">
        <f>IF(T318=0,"",ROUND((X318-Z318)/T318*100,1))</f>
        <v/>
      </c>
      <c r="AD318" s="27" t="inlineStr">
        <is>
          <t>ESTIMATED</t>
        </is>
      </c>
      <c r="AE318" s="28" t="inlineStr">
        <is>
          <t>https://lrflideres.com.br/wp-content/plugins/download-attachments/includes/download.php?id=5589</t>
        </is>
      </c>
      <c r="AF318" s="27" t="inlineStr">
        <is>
          <t>p12 r36</t>
        </is>
      </c>
      <c r="AG318" s="27" t="inlineStr">
        <is>
          <t>p12: R$ 351.926,88</t>
        </is>
      </c>
      <c r="AH318" s="27" t="inlineStr">
        <is>
          <t>AJ_LIST</t>
        </is>
      </c>
      <c r="AI318" s="27" t="inlineStr">
        <is>
          <t>2023-11-27</t>
        </is>
      </c>
      <c r="AJ318" s="27" t="inlineStr">
        <is>
          <t>QUARANTINED</t>
        </is>
      </c>
      <c r="AK318" s="29" t="inlineStr">
        <is>
          <t>0011283-80.2023.8.17.2001</t>
        </is>
      </c>
      <c r="AL318" s="29" t="inlineStr">
        <is>
          <t>TJPE</t>
        </is>
      </c>
      <c r="AM318" s="29" t="inlineStr">
        <is>
          <t>ACTIVE</t>
        </is>
      </c>
      <c r="AN318" s="29" t="n">
        <v>2023</v>
      </c>
      <c r="AO318" s="29" t="inlineStr">
        <is>
          <t>live case, no plan document yet</t>
        </is>
      </c>
      <c r="AP318" s="29" t="inlineStr">
        <is>
          <t>NITEROI</t>
        </is>
      </c>
      <c r="AQ318" s="29" t="inlineStr">
        <is>
          <t>RJ</t>
        </is>
      </c>
      <c r="AR318" s="29" t="inlineStr">
        <is>
          <t>Outras atividades de publicidade não especificadas anteriormente</t>
        </is>
      </c>
      <c r="AS318" s="29" t="inlineStr">
        <is>
          <t>DEMAIS</t>
        </is>
      </c>
      <c r="AT318" s="29" t="inlineStr">
        <is>
          <t>MID-MARKET</t>
        </is>
      </c>
      <c r="AU318" s="29" t="inlineStr">
        <is>
          <t>04431548</t>
        </is>
      </c>
      <c r="AV318" s="29" t="n">
        <v>1</v>
      </c>
      <c r="AW318" s="29" t="inlineStr">
        <is>
          <t>PARTIAL_DOC_CLASS_III_RECONCILED ROWS:p12r36</t>
        </is>
      </c>
    </row>
    <row r="319">
      <c r="A319" s="15" t="inlineStr">
        <is>
          <t>ROMAR F MANN &amp; CIA. LTDA.</t>
        </is>
      </c>
      <c r="B319" s="16" t="n">
        <v>549424.8199999999</v>
      </c>
      <c r="C319" s="17" t="inlineStr"/>
      <c r="D319" s="18" t="inlineStr">
        <is>
          <t>NEW</t>
        </is>
      </c>
      <c r="E319" s="19" t="inlineStr"/>
      <c r="F319" s="18" t="inlineStr"/>
      <c r="G319" s="19" t="inlineStr"/>
      <c r="H319" s="18" t="inlineStr"/>
      <c r="I319" s="20" t="inlineStr">
        <is>
          <t>MARTA MANN BAIOTTO</t>
        </is>
      </c>
      <c r="J319" s="20" t="inlineStr">
        <is>
          <t>Sócio-Administrador</t>
        </is>
      </c>
      <c r="K319" s="20" t="inlineStr">
        <is>
          <t>(55) 3539-4000</t>
        </is>
      </c>
      <c r="L319" s="20" t="inlineStr"/>
      <c r="M319" s="20" t="inlineStr"/>
      <c r="N319" s="20" t="inlineStr"/>
      <c r="O319" s="20" t="inlineStr"/>
      <c r="P319" s="20" t="inlineStr"/>
      <c r="Q319" s="20" t="inlineStr"/>
      <c r="R319" s="20" t="inlineStr"/>
      <c r="S319" s="20" t="inlineStr"/>
      <c r="T319" s="21" t="n">
        <v>549424.8199999999</v>
      </c>
      <c r="U319" s="22" t="inlineStr">
        <is>
          <t>B</t>
        </is>
      </c>
      <c r="V319" s="23">
        <f>IFERROR(VLOOKUP(U319,Assumptions!$A$7:$D$11,2,FALSE),0)</f>
        <v/>
      </c>
      <c r="W319" s="24">
        <f>MAX(0.5,IFERROR(VLOOKUP(U319,Assumptions!$A$7:$D$11,3,FALSE),3)+IFERROR(VLOOKUP(U319,Assumptions!$A$7:$D$11,4,FALSE),8)/2-IF(AN319="",0,YEAR(TODAY())-AN319))</f>
        <v/>
      </c>
      <c r="X319" s="21">
        <f>T319*V319/(1+Assumptions!$B$3)^W319</f>
        <v/>
      </c>
      <c r="Y319" s="25">
        <f>IF(T319=0,"",ROUND(X319/T319*100,1))</f>
        <v/>
      </c>
      <c r="Z319" s="26">
        <f>X319*Assumptions!$B$4</f>
        <v/>
      </c>
      <c r="AA319" s="25">
        <f>IF(T319=0,"",ROUND(Z319/T319*100,1))</f>
        <v/>
      </c>
      <c r="AB319" s="26">
        <f>X319-Z319</f>
        <v/>
      </c>
      <c r="AC319" s="25">
        <f>IF(T319=0,"",ROUND((X319-Z319)/T319*100,1))</f>
        <v/>
      </c>
      <c r="AD319" s="27" t="inlineStr">
        <is>
          <t>UNKNOWN</t>
        </is>
      </c>
      <c r="AE319" s="28" t="inlineStr">
        <is>
          <t>https://credibilita.com.br/wp-content/uploads/2025/09/Relacao-Credores-29.04.2026.pdf</t>
        </is>
      </c>
      <c r="AF319" s="27" t="inlineStr">
        <is>
          <t>p2 r14</t>
        </is>
      </c>
      <c r="AG319" s="27" t="inlineStr">
        <is>
          <t>p2: R$ 549.424,82</t>
        </is>
      </c>
      <c r="AH319" s="27" t="inlineStr">
        <is>
          <t>UNKNOWN</t>
        </is>
      </c>
      <c r="AI319" s="27" t="inlineStr"/>
      <c r="AJ319" s="27" t="inlineStr">
        <is>
          <t>OK_NO_TOTALS</t>
        </is>
      </c>
      <c r="AK319" s="29" t="inlineStr">
        <is>
          <t>5057720-48.2025.8.24.0023</t>
        </is>
      </c>
      <c r="AL319" s="29" t="inlineStr">
        <is>
          <t>TJ</t>
        </is>
      </c>
      <c r="AM319" s="29" t="inlineStr"/>
      <c r="AN319" s="29" t="n">
        <v>2025</v>
      </c>
      <c r="AO319" s="29" t="inlineStr">
        <is>
          <t>live case, no plan document yet</t>
        </is>
      </c>
      <c r="AP319" s="29" t="inlineStr">
        <is>
          <t>INDEPENDENCIA</t>
        </is>
      </c>
      <c r="AQ319" s="29" t="inlineStr">
        <is>
          <t>RS</t>
        </is>
      </c>
      <c r="AR319" s="29" t="inlineStr">
        <is>
          <t>Fabricação de máquinas e equipamentos para a agricultura e pecuária, peças e acessórios, exceto para irrigação</t>
        </is>
      </c>
      <c r="AS319" s="29" t="inlineStr">
        <is>
          <t>DEMAIS</t>
        </is>
      </c>
      <c r="AT319" s="29" t="inlineStr">
        <is>
          <t>MID-MARKET</t>
        </is>
      </c>
      <c r="AU319" s="29" t="inlineStr">
        <is>
          <t>90316407</t>
        </is>
      </c>
      <c r="AV319" s="29" t="n">
        <v>1</v>
      </c>
      <c r="AW319" s="29" t="inlineStr">
        <is>
          <t>ROWS:p2r14 UNRECONCILED_SOURCE VALUE_COL:Valor_Após_Analise</t>
        </is>
      </c>
    </row>
    <row r="320">
      <c r="A320" s="15" t="inlineStr">
        <is>
          <t>DANTAS CONFECCOES E COMERCIO LTDA - EM RECUPERACAO JUDICIAL</t>
        </is>
      </c>
      <c r="B320" s="16" t="n">
        <v>280000</v>
      </c>
      <c r="C320" s="17" t="inlineStr">
        <is>
          <t>R W CONSTRUCOES LTDA</t>
        </is>
      </c>
      <c r="D320" s="18" t="inlineStr">
        <is>
          <t>NEW</t>
        </is>
      </c>
      <c r="E320" s="19" t="inlineStr"/>
      <c r="F320" s="18" t="inlineStr"/>
      <c r="G320" s="19" t="inlineStr"/>
      <c r="H320" s="18" t="inlineStr"/>
      <c r="I320" s="20" t="inlineStr">
        <is>
          <t>FLAVIO DANTAS CATAO</t>
        </is>
      </c>
      <c r="J320" s="20" t="inlineStr">
        <is>
          <t>Sócio-Administrador</t>
        </is>
      </c>
      <c r="K320" s="20" t="inlineStr">
        <is>
          <t>(81) 3419-8550</t>
        </is>
      </c>
      <c r="L320" s="20" t="inlineStr">
        <is>
          <t>(81) 3032-8400</t>
        </is>
      </c>
      <c r="M320" s="20" t="inlineStr"/>
      <c r="N320" s="20" t="inlineStr"/>
      <c r="O320" s="20" t="inlineStr"/>
      <c r="P320" s="20" t="inlineStr"/>
      <c r="Q320" s="20" t="inlineStr"/>
      <c r="R320" s="20" t="inlineStr"/>
      <c r="S320" s="20" t="inlineStr"/>
      <c r="T320" s="21" t="n">
        <v>280000</v>
      </c>
      <c r="U320" s="22" t="inlineStr">
        <is>
          <t>B</t>
        </is>
      </c>
      <c r="V320" s="23">
        <f>IFERROR(VLOOKUP(U320,Assumptions!$A$7:$D$11,2,FALSE),0)</f>
        <v/>
      </c>
      <c r="W320" s="24">
        <f>MAX(0.5,IFERROR(VLOOKUP(U320,Assumptions!$A$7:$D$11,3,FALSE),3)+IFERROR(VLOOKUP(U320,Assumptions!$A$7:$D$11,4,FALSE),8)/2-IF(AN320="",0,YEAR(TODAY())-AN320))</f>
        <v/>
      </c>
      <c r="X320" s="21">
        <f>T320*V320/(1+Assumptions!$B$3)^W320</f>
        <v/>
      </c>
      <c r="Y320" s="25">
        <f>IF(T320=0,"",ROUND(X320/T320*100,1))</f>
        <v/>
      </c>
      <c r="Z320" s="26">
        <f>X320*Assumptions!$B$4</f>
        <v/>
      </c>
      <c r="AA320" s="25">
        <f>IF(T320=0,"",ROUND(Z320/T320*100,1))</f>
        <v/>
      </c>
      <c r="AB320" s="26">
        <f>X320-Z320</f>
        <v/>
      </c>
      <c r="AC320" s="25">
        <f>IF(T320=0,"",ROUND((X320-Z320)/T320*100,1))</f>
        <v/>
      </c>
      <c r="AD320" s="27" t="inlineStr">
        <is>
          <t>ESTIMATED</t>
        </is>
      </c>
      <c r="AE320" s="28" t="inlineStr">
        <is>
          <t>https://lrflideres.com.br/wp-content/plugins/download-attachments/includes/download.php?id=4023</t>
        </is>
      </c>
      <c r="AF320" s="27" t="inlineStr">
        <is>
          <t>p4 r67; p9 r67</t>
        </is>
      </c>
      <c r="AG320" s="27" t="inlineStr">
        <is>
          <t>p4: R$ 270.000,00; p9: R$ 10.000,00</t>
        </is>
      </c>
      <c r="AH320" s="27" t="inlineStr">
        <is>
          <t>DEBTOR_LIST</t>
        </is>
      </c>
      <c r="AI320" s="27" t="inlineStr"/>
      <c r="AJ320" s="27" t="inlineStr">
        <is>
          <t>QUARANTINED</t>
        </is>
      </c>
      <c r="AK320" s="29" t="inlineStr">
        <is>
          <t>0002484-82.2022.8.17.2001</t>
        </is>
      </c>
      <c r="AL320" s="29" t="inlineStr">
        <is>
          <t>TJPE</t>
        </is>
      </c>
      <c r="AM320" s="29" t="inlineStr">
        <is>
          <t>ACTIVE</t>
        </is>
      </c>
      <c r="AN320" s="29" t="n">
        <v>2022</v>
      </c>
      <c r="AO320" s="29" t="inlineStr">
        <is>
          <t>live case, no plan document yet</t>
        </is>
      </c>
      <c r="AP320" s="29" t="inlineStr">
        <is>
          <t>RECIFE</t>
        </is>
      </c>
      <c r="AQ320" s="29" t="inlineStr">
        <is>
          <t>PE</t>
        </is>
      </c>
      <c r="AR320" s="29" t="inlineStr">
        <is>
          <t>Comércio varejista de artigos do vestuário e acessórios</t>
        </is>
      </c>
      <c r="AS320" s="29" t="inlineStr">
        <is>
          <t>DEMAIS</t>
        </is>
      </c>
      <c r="AT320" s="29" t="inlineStr">
        <is>
          <t>MID-MARKET</t>
        </is>
      </c>
      <c r="AU320" s="29" t="inlineStr">
        <is>
          <t>08627082</t>
        </is>
      </c>
      <c r="AV320" s="29" t="n">
        <v>2</v>
      </c>
      <c r="AW320" s="29" t="inlineStr">
        <is>
          <t>PARTIAL_DOC_CLASS_III_RECONCILED ROWS:p4r67,p9r67</t>
        </is>
      </c>
    </row>
    <row r="321">
      <c r="A321" s="15" t="inlineStr">
        <is>
          <t>IFOOD BENEFICIOS E SERVICOS LTDA.</t>
        </is>
      </c>
      <c r="B321" s="16" t="n">
        <v>545456.1</v>
      </c>
      <c r="C321" s="17" t="inlineStr">
        <is>
          <t>- VENEZA SERVIÇOS ADMINISTRATIVOS LTDA</t>
        </is>
      </c>
      <c r="D321" s="18" t="inlineStr">
        <is>
          <t>NEW</t>
        </is>
      </c>
      <c r="E321" s="19" t="inlineStr"/>
      <c r="F321" s="18" t="inlineStr"/>
      <c r="G321" s="19" t="inlineStr"/>
      <c r="H321" s="18" t="inlineStr"/>
      <c r="I321" s="20" t="inlineStr">
        <is>
          <t>DIEGO CARNEIRO BARRETO</t>
        </is>
      </c>
      <c r="J321" s="20" t="inlineStr">
        <is>
          <t>Administrador</t>
        </is>
      </c>
      <c r="K321" s="20" t="inlineStr">
        <is>
          <t>(11) 3634-3360</t>
        </is>
      </c>
      <c r="L321" s="20" t="inlineStr"/>
      <c r="M321" s="20" t="inlineStr"/>
      <c r="N321" s="20" t="inlineStr"/>
      <c r="O321" s="20" t="inlineStr"/>
      <c r="P321" s="20" t="inlineStr">
        <is>
          <t>FLAVIO DE FREITAS STECCA</t>
        </is>
      </c>
      <c r="Q321" s="20" t="inlineStr">
        <is>
          <t>Administrador</t>
        </is>
      </c>
      <c r="R321" s="20" t="inlineStr">
        <is>
          <t>(11) 3634-3360</t>
        </is>
      </c>
      <c r="S321" s="20" t="inlineStr"/>
      <c r="T321" s="21" t="n">
        <v>545456.1</v>
      </c>
      <c r="U321" s="22" t="inlineStr">
        <is>
          <t>B</t>
        </is>
      </c>
      <c r="V321" s="23">
        <f>IFERROR(VLOOKUP(U321,Assumptions!$A$7:$D$11,2,FALSE),0)</f>
        <v/>
      </c>
      <c r="W321" s="24">
        <f>MAX(0.5,IFERROR(VLOOKUP(U321,Assumptions!$A$7:$D$11,3,FALSE),3)+IFERROR(VLOOKUP(U321,Assumptions!$A$7:$D$11,4,FALSE),8)/2-IF(AN321="",0,YEAR(TODAY())-AN321))</f>
        <v/>
      </c>
      <c r="X321" s="21">
        <f>T321*V321/(1+Assumptions!$B$3)^W321</f>
        <v/>
      </c>
      <c r="Y321" s="25">
        <f>IF(T321=0,"",ROUND(X321/T321*100,1))</f>
        <v/>
      </c>
      <c r="Z321" s="26">
        <f>X321*Assumptions!$B$4</f>
        <v/>
      </c>
      <c r="AA321" s="25">
        <f>IF(T321=0,"",ROUND(Z321/T321*100,1))</f>
        <v/>
      </c>
      <c r="AB321" s="26">
        <f>X321-Z321</f>
        <v/>
      </c>
      <c r="AC321" s="25">
        <f>IF(T321=0,"",ROUND((X321-Z321)/T321*100,1))</f>
        <v/>
      </c>
      <c r="AD321" s="27" t="inlineStr">
        <is>
          <t>ESTIMATED</t>
        </is>
      </c>
      <c r="AE321" s="28" t="inlineStr">
        <is>
          <t>https://bugarimecoelho.com.br/ws/media-library/b6b7ea42b9fa2afe30bc728fe00cd5c6/07---edital-do-processamento-da-recuperacao-judicial.pdf</t>
        </is>
      </c>
      <c r="AF321" s="27" t="inlineStr">
        <is>
          <t>p16 r9</t>
        </is>
      </c>
      <c r="AG321" s="27" t="inlineStr">
        <is>
          <t>p16: R$ 545.456,10</t>
        </is>
      </c>
      <c r="AH321" s="27" t="inlineStr">
        <is>
          <t>UNKNOWN</t>
        </is>
      </c>
      <c r="AI321" s="27" t="inlineStr">
        <is>
          <t>2026-07-09</t>
        </is>
      </c>
      <c r="AJ321" s="27" t="inlineStr">
        <is>
          <t>OK</t>
        </is>
      </c>
      <c r="AK321" s="29" t="inlineStr">
        <is>
          <t>3000117-40.2025.8.06.0512</t>
        </is>
      </c>
      <c r="AL321" s="29" t="inlineStr">
        <is>
          <t>TJCE</t>
        </is>
      </c>
      <c r="AM321" s="29" t="inlineStr">
        <is>
          <t>ACTIVE</t>
        </is>
      </c>
      <c r="AN321" s="29" t="n">
        <v>2025</v>
      </c>
      <c r="AO321" s="29" t="inlineStr">
        <is>
          <t>live case, no plan document yet</t>
        </is>
      </c>
      <c r="AP321" s="29" t="inlineStr">
        <is>
          <t>OSASCO</t>
        </is>
      </c>
      <c r="AQ321" s="29" t="inlineStr">
        <is>
          <t>SP</t>
        </is>
      </c>
      <c r="AR321" s="29" t="inlineStr">
        <is>
          <t>Emissão de vales-alimentação, vales-transporte e similares</t>
        </is>
      </c>
      <c r="AS321" s="29" t="inlineStr">
        <is>
          <t>DEMAIS</t>
        </is>
      </c>
      <c r="AT321" s="29" t="inlineStr">
        <is>
          <t>LARGE CORP</t>
        </is>
      </c>
      <c r="AU321" s="29" t="inlineStr">
        <is>
          <t>33157312</t>
        </is>
      </c>
      <c r="AV321" s="29" t="n">
        <v>1</v>
      </c>
      <c r="AW321" s="29" t="inlineStr">
        <is>
          <t>ROWS:p16r9</t>
        </is>
      </c>
    </row>
    <row r="322">
      <c r="A322" s="15" t="inlineStr">
        <is>
          <t>EPE - PRODUTOS AGROPECUARIOS LTDA</t>
        </is>
      </c>
      <c r="B322" s="16" t="n">
        <v>399413.94</v>
      </c>
      <c r="C322" s="17" t="inlineStr">
        <is>
          <t>AGROPECUÁRIA SERROTE REDONDO – LRF Líderes em Recuperação Judicial e Falência</t>
        </is>
      </c>
      <c r="D322" s="18" t="inlineStr">
        <is>
          <t>NEW</t>
        </is>
      </c>
      <c r="E322" s="19" t="inlineStr"/>
      <c r="F322" s="18" t="inlineStr"/>
      <c r="G322" s="19" t="inlineStr"/>
      <c r="H322" s="18" t="inlineStr"/>
      <c r="I322" s="20" t="inlineStr">
        <is>
          <t>EDIVAL VERAS DE BARROS CAMPELO FILHO</t>
        </is>
      </c>
      <c r="J322" s="20" t="inlineStr">
        <is>
          <t>Sócio-Administrador</t>
        </is>
      </c>
      <c r="K322" s="20" t="inlineStr">
        <is>
          <t>(81) 3465-3775</t>
        </is>
      </c>
      <c r="L322" s="20" t="inlineStr">
        <is>
          <t>(81) 8865-3037</t>
        </is>
      </c>
      <c r="M322" s="20" t="inlineStr"/>
      <c r="N322" s="20" t="inlineStr"/>
      <c r="O322" s="20" t="inlineStr"/>
      <c r="P322" s="20" t="inlineStr">
        <is>
          <t>EMMANUEL LIMA DA ROCHA</t>
        </is>
      </c>
      <c r="Q322" s="20" t="inlineStr">
        <is>
          <t>Sócio-Administrador</t>
        </is>
      </c>
      <c r="R322" s="20" t="inlineStr">
        <is>
          <t>(81) 8865-3037</t>
        </is>
      </c>
      <c r="S322" s="20" t="inlineStr"/>
      <c r="T322" s="21" t="n">
        <v>399413.94</v>
      </c>
      <c r="U322" s="31" t="inlineStr">
        <is>
          <t>C</t>
        </is>
      </c>
      <c r="V322" s="23">
        <f>IFERROR(VLOOKUP(U322,Assumptions!$A$7:$D$11,2,FALSE),0)</f>
        <v/>
      </c>
      <c r="W322" s="24">
        <f>MAX(0.5,IFERROR(VLOOKUP(U322,Assumptions!$A$7:$D$11,3,FALSE),3)+IFERROR(VLOOKUP(U322,Assumptions!$A$7:$D$11,4,FALSE),8)/2-IF(AN322="",0,YEAR(TODAY())-AN322))</f>
        <v/>
      </c>
      <c r="X322" s="21">
        <f>T322*V322/(1+Assumptions!$B$3)^W322</f>
        <v/>
      </c>
      <c r="Y322" s="25">
        <f>IF(T322=0,"",ROUND(X322/T322*100,1))</f>
        <v/>
      </c>
      <c r="Z322" s="26">
        <f>X322*Assumptions!$B$4</f>
        <v/>
      </c>
      <c r="AA322" s="25">
        <f>IF(T322=0,"",ROUND(Z322/T322*100,1))</f>
        <v/>
      </c>
      <c r="AB322" s="26">
        <f>X322-Z322</f>
        <v/>
      </c>
      <c r="AC322" s="25">
        <f>IF(T322=0,"",ROUND((X322-Z322)/T322*100,1))</f>
        <v/>
      </c>
      <c r="AD322" s="27" t="inlineStr">
        <is>
          <t>UNKNOWN</t>
        </is>
      </c>
      <c r="AE322" s="28" t="inlineStr">
        <is>
          <t>https://lrflideres.com.br/wp-content/plugins/download-attachments/includes/download.php?id=5001</t>
        </is>
      </c>
      <c r="AF322" s="27" t="inlineStr">
        <is>
          <t>p2 r4</t>
        </is>
      </c>
      <c r="AG322" s="27" t="inlineStr">
        <is>
          <t>p2: R$ 399.413,94</t>
        </is>
      </c>
      <c r="AH322" s="27" t="inlineStr">
        <is>
          <t>UNKNOWN</t>
        </is>
      </c>
      <c r="AI322" s="27" t="inlineStr"/>
      <c r="AJ322" s="27" t="inlineStr">
        <is>
          <t>OK</t>
        </is>
      </c>
      <c r="AK322" s="29" t="inlineStr">
        <is>
          <t>0000206-69.2013.8.17.1340</t>
        </is>
      </c>
      <c r="AL322" s="29" t="inlineStr">
        <is>
          <t>TJ</t>
        </is>
      </c>
      <c r="AM322" s="29" t="inlineStr"/>
      <c r="AN322" s="29" t="n">
        <v>2013</v>
      </c>
      <c r="AO322" s="29" t="inlineStr">
        <is>
          <t>13y since filing, no plan document</t>
        </is>
      </c>
      <c r="AP322" s="29" t="inlineStr">
        <is>
          <t>GARANHUNS</t>
        </is>
      </c>
      <c r="AQ322" s="29" t="inlineStr">
        <is>
          <t>PE</t>
        </is>
      </c>
      <c r="AR322" s="29" t="inlineStr">
        <is>
          <t>Comércio atacadista de mercadorias em geral, com predominância de insumos agropecuários</t>
        </is>
      </c>
      <c r="AS322" s="29" t="inlineStr">
        <is>
          <t>DEMAIS</t>
        </is>
      </c>
      <c r="AT322" s="29" t="inlineStr">
        <is>
          <t>MID-MARKET</t>
        </is>
      </c>
      <c r="AU322" s="29" t="inlineStr">
        <is>
          <t>05860157</t>
        </is>
      </c>
      <c r="AV322" s="29" t="n">
        <v>1</v>
      </c>
      <c r="AW322" s="29" t="inlineStr">
        <is>
          <t>ALT_VALUE:399.413,94 ROWS:p2r4</t>
        </is>
      </c>
    </row>
    <row r="323">
      <c r="A323" s="15" t="inlineStr">
        <is>
          <t>JOHNSON &amp; JOHNSON DO BRASIL INDUSTRIA E COMERCIO DE PRODUTOS PARA SAUDE LTDA.</t>
        </is>
      </c>
      <c r="B323" s="16" t="n">
        <v>278216.77</v>
      </c>
      <c r="C323" s="17" t="inlineStr">
        <is>
          <t>ASSOCIACAO DE CARIDADE SANTA CASA DE RIO GRANDE</t>
        </is>
      </c>
      <c r="D323" s="18" t="inlineStr">
        <is>
          <t>NEW</t>
        </is>
      </c>
      <c r="E323" s="19" t="inlineStr"/>
      <c r="F323" s="18" t="inlineStr"/>
      <c r="G323" s="19" t="inlineStr"/>
      <c r="H323" s="18" t="inlineStr"/>
      <c r="I323" s="20" t="inlineStr">
        <is>
          <t>ALEXANDRE DALLA VALLE BAPTISTA DA SILVA</t>
        </is>
      </c>
      <c r="J323" s="20" t="inlineStr">
        <is>
          <t>Administrador</t>
        </is>
      </c>
      <c r="K323" s="20" t="inlineStr">
        <is>
          <t>(11) 2788-1332</t>
        </is>
      </c>
      <c r="L323" s="20" t="inlineStr"/>
      <c r="M323" s="20" t="inlineStr"/>
      <c r="N323" s="20" t="inlineStr"/>
      <c r="O323" s="20" t="inlineStr"/>
      <c r="P323" s="20" t="inlineStr">
        <is>
          <t>ALEXANDRE LUQUE</t>
        </is>
      </c>
      <c r="Q323" s="20" t="inlineStr">
        <is>
          <t>Administrador</t>
        </is>
      </c>
      <c r="R323" s="20" t="inlineStr">
        <is>
          <t>(11) 2788-1332</t>
        </is>
      </c>
      <c r="S323" s="20" t="inlineStr"/>
      <c r="T323" s="21" t="n">
        <v>278216.77</v>
      </c>
      <c r="U323" s="22" t="inlineStr">
        <is>
          <t>B</t>
        </is>
      </c>
      <c r="V323" s="23">
        <f>IFERROR(VLOOKUP(U323,Assumptions!$A$7:$D$11,2,FALSE),0)</f>
        <v/>
      </c>
      <c r="W323" s="24">
        <f>MAX(0.5,IFERROR(VLOOKUP(U323,Assumptions!$A$7:$D$11,3,FALSE),3)+IFERROR(VLOOKUP(U323,Assumptions!$A$7:$D$11,4,FALSE),8)/2-IF(AN323="",0,YEAR(TODAY())-AN323))</f>
        <v/>
      </c>
      <c r="X323" s="21">
        <f>T323*V323/(1+Assumptions!$B$3)^W323</f>
        <v/>
      </c>
      <c r="Y323" s="25">
        <f>IF(T323=0,"",ROUND(X323/T323*100,1))</f>
        <v/>
      </c>
      <c r="Z323" s="26">
        <f>X323*Assumptions!$B$4</f>
        <v/>
      </c>
      <c r="AA323" s="25">
        <f>IF(T323=0,"",ROUND(Z323/T323*100,1))</f>
        <v/>
      </c>
      <c r="AB323" s="26">
        <f>X323-Z323</f>
        <v/>
      </c>
      <c r="AC323" s="25">
        <f>IF(T323=0,"",ROUND((X323-Z323)/T323*100,1))</f>
        <v/>
      </c>
      <c r="AD323" s="27" t="inlineStr">
        <is>
          <t>ESTIMATED</t>
        </is>
      </c>
      <c r="AE323" s="28" t="inlineStr">
        <is>
          <t>https://scalzilliaj.com.br/sgc/download.php?file=files/processo_documento/processo_documento09120721032023_1_.pdf&amp;nome=15 - Edital do art. 7º, §2º e 53 da Lei 11.101/2005 (segunda lista de credores e recebimento do plano))</t>
        </is>
      </c>
      <c r="AF323" s="27" t="inlineStr">
        <is>
          <t>p28 r19; p28 r20</t>
        </is>
      </c>
      <c r="AG323" s="27" t="inlineStr">
        <is>
          <t>p28: R$ 11.892,00; p28: R$ 266.324,77</t>
        </is>
      </c>
      <c r="AH323" s="27" t="inlineStr">
        <is>
          <t>AJ_LIST</t>
        </is>
      </c>
      <c r="AI323" s="27" t="inlineStr">
        <is>
          <t>2023-03-21</t>
        </is>
      </c>
      <c r="AJ323" s="27" t="inlineStr">
        <is>
          <t>OK_NO_TOTALS</t>
        </is>
      </c>
      <c r="AK323" s="29" t="inlineStr">
        <is>
          <t>5012306-16.2022.8.21.0023</t>
        </is>
      </c>
      <c r="AL323" s="29" t="inlineStr">
        <is>
          <t>TJRS</t>
        </is>
      </c>
      <c r="AM323" s="29" t="inlineStr">
        <is>
          <t>ACTIVE</t>
        </is>
      </c>
      <c r="AN323" s="29" t="n">
        <v>2022</v>
      </c>
      <c r="AO323" s="29" t="inlineStr">
        <is>
          <t>live case, no plan document yet</t>
        </is>
      </c>
      <c r="AP323" s="29" t="inlineStr">
        <is>
          <t>SAO PAULO</t>
        </is>
      </c>
      <c r="AQ323" s="29" t="inlineStr">
        <is>
          <t>SP</t>
        </is>
      </c>
      <c r="AR323" s="29" t="inlineStr">
        <is>
          <t>Fabricação de instrumentos não-eletrônicos e utensílios para uso médico, cirúrgico, odontológico e de laboratório</t>
        </is>
      </c>
      <c r="AS323" s="29" t="inlineStr">
        <is>
          <t>DEMAIS</t>
        </is>
      </c>
      <c r="AT323" s="29" t="inlineStr">
        <is>
          <t>LARGE CORP</t>
        </is>
      </c>
      <c r="AU323" s="29" t="inlineStr">
        <is>
          <t>54516661</t>
        </is>
      </c>
      <c r="AV323" s="29" t="n">
        <v>2</v>
      </c>
      <c r="AW323" s="29" t="inlineStr">
        <is>
          <t>ROWS:p28r19,p28r20 UNRECONCILED_SOURCE</t>
        </is>
      </c>
    </row>
    <row r="324">
      <c r="A324" s="15" t="inlineStr">
        <is>
          <t>PORTOLOG TRANSPORTES LTDA</t>
        </is>
      </c>
      <c r="B324" s="16" t="n">
        <v>540028.76</v>
      </c>
      <c r="C324" s="17" t="inlineStr"/>
      <c r="D324" s="18" t="inlineStr">
        <is>
          <t>NEW</t>
        </is>
      </c>
      <c r="E324" s="19" t="inlineStr"/>
      <c r="F324" s="18" t="inlineStr"/>
      <c r="G324" s="19" t="inlineStr"/>
      <c r="H324" s="18" t="inlineStr"/>
      <c r="I324" s="20" t="inlineStr">
        <is>
          <t>Bruna Costa</t>
        </is>
      </c>
      <c r="J324" s="20" t="inlineStr">
        <is>
          <t>Administrative Manager (empresária / owner)</t>
        </is>
      </c>
      <c r="K324" s="20" t="inlineStr">
        <is>
          <t>(47) 3344-0990</t>
        </is>
      </c>
      <c r="L324" s="20" t="inlineStr"/>
      <c r="M324" s="20" t="inlineStr"/>
      <c r="N324" s="20" t="inlineStr">
        <is>
          <t>bruna@portolog.com.br</t>
        </is>
      </c>
      <c r="O324" s="20" t="inlineStr">
        <is>
          <t>costa@portolog.com.br</t>
        </is>
      </c>
      <c r="P324" s="20" t="inlineStr">
        <is>
          <t>Costa Portolog</t>
        </is>
      </c>
      <c r="Q324" s="20" t="inlineStr">
        <is>
          <t>Diretor Administrativo</t>
        </is>
      </c>
      <c r="R324" s="20" t="inlineStr"/>
      <c r="S324" s="20" t="inlineStr">
        <is>
          <t>costa@portolog.com.br</t>
        </is>
      </c>
      <c r="T324" s="21" t="n">
        <v>540028.76</v>
      </c>
      <c r="U324" s="22" t="inlineStr">
        <is>
          <t>B</t>
        </is>
      </c>
      <c r="V324" s="23">
        <f>IFERROR(VLOOKUP(U324,Assumptions!$A$7:$D$11,2,FALSE),0)</f>
        <v/>
      </c>
      <c r="W324" s="24">
        <f>MAX(0.5,IFERROR(VLOOKUP(U324,Assumptions!$A$7:$D$11,3,FALSE),3)+IFERROR(VLOOKUP(U324,Assumptions!$A$7:$D$11,4,FALSE),8)/2-IF(AN324="",0,YEAR(TODAY())-AN324))</f>
        <v/>
      </c>
      <c r="X324" s="21">
        <f>T324*V324/(1+Assumptions!$B$3)^W324</f>
        <v/>
      </c>
      <c r="Y324" s="25">
        <f>IF(T324=0,"",ROUND(X324/T324*100,1))</f>
        <v/>
      </c>
      <c r="Z324" s="26">
        <f>X324*Assumptions!$B$4</f>
        <v/>
      </c>
      <c r="AA324" s="25">
        <f>IF(T324=0,"",ROUND(Z324/T324*100,1))</f>
        <v/>
      </c>
      <c r="AB324" s="26">
        <f>X324-Z324</f>
        <v/>
      </c>
      <c r="AC324" s="25">
        <f>IF(T324=0,"",ROUND((X324-Z324)/T324*100,1))</f>
        <v/>
      </c>
      <c r="AD324" s="27" t="inlineStr">
        <is>
          <t>UNKNOWN</t>
        </is>
      </c>
      <c r="AE324" s="28" t="inlineStr">
        <is>
          <t>https://credibilita.com.br/wp-content/uploads/2025/09/Relacao-Credores-29.04.2026.pdf</t>
        </is>
      </c>
      <c r="AF324" s="27" t="inlineStr">
        <is>
          <t>p2 r8</t>
        </is>
      </c>
      <c r="AG324" s="27" t="inlineStr">
        <is>
          <t>p2: R$ 540.028,76</t>
        </is>
      </c>
      <c r="AH324" s="27" t="inlineStr">
        <is>
          <t>UNKNOWN</t>
        </is>
      </c>
      <c r="AI324" s="27" t="inlineStr"/>
      <c r="AJ324" s="27" t="inlineStr">
        <is>
          <t>OK_NO_TOTALS</t>
        </is>
      </c>
      <c r="AK324" s="29" t="inlineStr">
        <is>
          <t>5057720-48.2025.8.24.0023</t>
        </is>
      </c>
      <c r="AL324" s="29" t="inlineStr">
        <is>
          <t>TJ</t>
        </is>
      </c>
      <c r="AM324" s="29" t="inlineStr"/>
      <c r="AN324" s="29" t="n">
        <v>2025</v>
      </c>
      <c r="AO324" s="29" t="inlineStr">
        <is>
          <t>live case, no plan document yet</t>
        </is>
      </c>
      <c r="AP324" s="29" t="inlineStr">
        <is>
          <t>ITAJAI</t>
        </is>
      </c>
      <c r="AQ324" s="29" t="inlineStr">
        <is>
          <t>SC</t>
        </is>
      </c>
      <c r="AR324" s="29" t="inlineStr">
        <is>
          <t>Transporte rodoviário de carga, exceto produtos perigosos e mudanças, municipal.</t>
        </is>
      </c>
      <c r="AS324" s="29" t="inlineStr">
        <is>
          <t>DEMAIS</t>
        </is>
      </c>
      <c r="AT324" s="29" t="inlineStr">
        <is>
          <t>MID-MARKET</t>
        </is>
      </c>
      <c r="AU324" s="29" t="inlineStr">
        <is>
          <t>07746756</t>
        </is>
      </c>
      <c r="AV324" s="29" t="n">
        <v>1</v>
      </c>
      <c r="AW324" s="29" t="inlineStr">
        <is>
          <t>ROWS:p2r8 UNRECONCILED_SOURCE VALUE_COL:Valor_Após_Analise</t>
        </is>
      </c>
    </row>
    <row r="325">
      <c r="A325" s="15" t="inlineStr">
        <is>
          <t>REPOM INSTITUICAO DE PAGAMENTO HUSA S.A</t>
        </is>
      </c>
      <c r="B325" s="16" t="n">
        <v>1008821.27</v>
      </c>
      <c r="C325" s="17" t="inlineStr"/>
      <c r="D325" s="18" t="inlineStr">
        <is>
          <t>NEW</t>
        </is>
      </c>
      <c r="E325" s="19" t="inlineStr"/>
      <c r="F325" s="18" t="inlineStr"/>
      <c r="G325" s="19" t="inlineStr"/>
      <c r="H325" s="18" t="inlineStr"/>
      <c r="I325" s="20" t="inlineStr">
        <is>
          <t>Guilherme Frasson</t>
        </is>
      </c>
      <c r="J325" s="20" t="inlineStr">
        <is>
          <t>Business Controller na Edenred Repom S.A.</t>
        </is>
      </c>
      <c r="K325" s="20" t="inlineStr">
        <is>
          <t>(11) 4191-1161</t>
        </is>
      </c>
      <c r="L325" s="20" t="inlineStr"/>
      <c r="M325" s="20" t="inlineStr"/>
      <c r="N325" s="20" t="inlineStr">
        <is>
          <t>guilherme.frasson@edenred.com</t>
        </is>
      </c>
      <c r="O325" s="20" t="inlineStr">
        <is>
          <t>vinicios.fernandes@edenred.com</t>
        </is>
      </c>
      <c r="P325" s="20" t="inlineStr">
        <is>
          <t>Vinicios Fernandes</t>
        </is>
      </c>
      <c r="Q325" s="20" t="inlineStr">
        <is>
          <t>Diretor de BU - Edenred Frete (Repom + Pagbem)</t>
        </is>
      </c>
      <c r="R325" s="20" t="inlineStr"/>
      <c r="S325" s="20" t="inlineStr">
        <is>
          <t>vinicios.fernandes@edenred.com</t>
        </is>
      </c>
      <c r="T325" s="21" t="n">
        <v>1008821.27</v>
      </c>
      <c r="U325" s="30" t="inlineStr">
        <is>
          <t>?</t>
        </is>
      </c>
      <c r="V325" s="23">
        <f>IFERROR(VLOOKUP(U325,Assumptions!$A$7:$D$11,2,FALSE),0)</f>
        <v/>
      </c>
      <c r="W325" s="24">
        <f>MAX(0.5,IFERROR(VLOOKUP(U325,Assumptions!$A$7:$D$11,3,FALSE),3)+IFERROR(VLOOKUP(U325,Assumptions!$A$7:$D$11,4,FALSE),8)/2-IF(AN325="",0,YEAR(TODAY())-AN325))</f>
        <v/>
      </c>
      <c r="X325" s="21">
        <f>T325*V325/(1+Assumptions!$B$3)^W325</f>
        <v/>
      </c>
      <c r="Y325" s="25">
        <f>IF(T325=0,"",ROUND(X325/T325*100,1))</f>
        <v/>
      </c>
      <c r="Z325" s="26">
        <f>X325*Assumptions!$B$4</f>
        <v/>
      </c>
      <c r="AA325" s="25">
        <f>IF(T325=0,"",ROUND(Z325/T325*100,1))</f>
        <v/>
      </c>
      <c r="AB325" s="26">
        <f>X325-Z325</f>
        <v/>
      </c>
      <c r="AC325" s="25">
        <f>IF(T325=0,"",ROUND((X325-Z325)/T325*100,1))</f>
        <v/>
      </c>
      <c r="AD325" s="27" t="inlineStr">
        <is>
          <t>UNKNOWN</t>
        </is>
      </c>
      <c r="AE325" s="28" t="inlineStr">
        <is>
          <t>https://ajruiz.com.br/sites/default/files/public/arquivos-processos/2023-11/4_relacao_de_credores_analitica_art._51_iii_da_lre.pdf</t>
        </is>
      </c>
      <c r="AF325" s="27" t="inlineStr">
        <is>
          <t>p3 r50</t>
        </is>
      </c>
      <c r="AG325" s="27" t="inlineStr">
        <is>
          <t>p3: R$ 1.008.821,27</t>
        </is>
      </c>
      <c r="AH325" s="27" t="inlineStr">
        <is>
          <t>UNKNOWN</t>
        </is>
      </c>
      <c r="AI325" s="27" t="inlineStr"/>
      <c r="AJ325" s="27" t="inlineStr">
        <is>
          <t>OK</t>
        </is>
      </c>
      <c r="AK325" s="29" t="inlineStr">
        <is>
          <t>(not printed)</t>
        </is>
      </c>
      <c r="AL325" s="29" t="inlineStr"/>
      <c r="AM325" s="29" t="inlineStr"/>
      <c r="AN325" s="29" t="inlineStr"/>
      <c r="AO325" s="29" t="inlineStr">
        <is>
          <t>RJ case number not identified on the document</t>
        </is>
      </c>
      <c r="AP325" s="29" t="inlineStr">
        <is>
          <t>SAO PAULO</t>
        </is>
      </c>
      <c r="AQ325" s="29" t="inlineStr">
        <is>
          <t>SP</t>
        </is>
      </c>
      <c r="AR325" s="29" t="inlineStr">
        <is>
          <t>Tratamento de dados, provedores de serviços de aplicação e serviços de hospedagem na internet</t>
        </is>
      </c>
      <c r="AS325" s="29" t="inlineStr">
        <is>
          <t>DEMAIS</t>
        </is>
      </c>
      <c r="AT325" s="29" t="inlineStr">
        <is>
          <t>LARGE CORP</t>
        </is>
      </c>
      <c r="AU325" s="29" t="inlineStr">
        <is>
          <t>65697260</t>
        </is>
      </c>
      <c r="AV325" s="29" t="n">
        <v>1</v>
      </c>
      <c r="AW325" s="29" t="inlineStr">
        <is>
          <t>ROWS:p3r50 CASE_NUMBER_CORRECTED</t>
        </is>
      </c>
    </row>
    <row r="326">
      <c r="A326" s="15" t="inlineStr">
        <is>
          <t>GOODYEAR DO BRASIL PRODUTOS DE BORRACHA LTDA</t>
        </is>
      </c>
      <c r="B326" s="16" t="n">
        <v>1007717.64</v>
      </c>
      <c r="C326" s="17" t="inlineStr"/>
      <c r="D326" s="18" t="inlineStr">
        <is>
          <t>NEW</t>
        </is>
      </c>
      <c r="E326" s="19" t="inlineStr"/>
      <c r="F326" s="18" t="inlineStr"/>
      <c r="G326" s="19" t="inlineStr"/>
      <c r="H326" s="18" t="inlineStr"/>
      <c r="I326" s="20" t="inlineStr">
        <is>
          <t>ALFREDO GAMBOA OLIVEROS</t>
        </is>
      </c>
      <c r="J326" s="20" t="inlineStr">
        <is>
          <t>Administrador</t>
        </is>
      </c>
      <c r="K326" s="20" t="inlineStr">
        <is>
          <t>(11) 2818-4128</t>
        </is>
      </c>
      <c r="L326" s="20" t="inlineStr"/>
      <c r="M326" s="20" t="inlineStr"/>
      <c r="N326" s="20" t="inlineStr"/>
      <c r="O326" s="20" t="inlineStr"/>
      <c r="P326" s="20" t="inlineStr">
        <is>
          <t>ANTONIO DIMAS RONCOLATI</t>
        </is>
      </c>
      <c r="Q326" s="20" t="inlineStr">
        <is>
          <t>Administrador</t>
        </is>
      </c>
      <c r="R326" s="20" t="inlineStr">
        <is>
          <t>(11) 2818-4128</t>
        </is>
      </c>
      <c r="S326" s="20" t="inlineStr"/>
      <c r="T326" s="21" t="n">
        <v>1007717.64</v>
      </c>
      <c r="U326" s="30" t="inlineStr">
        <is>
          <t>?</t>
        </is>
      </c>
      <c r="V326" s="23">
        <f>IFERROR(VLOOKUP(U326,Assumptions!$A$7:$D$11,2,FALSE),0)</f>
        <v/>
      </c>
      <c r="W326" s="24">
        <f>MAX(0.5,IFERROR(VLOOKUP(U326,Assumptions!$A$7:$D$11,3,FALSE),3)+IFERROR(VLOOKUP(U326,Assumptions!$A$7:$D$11,4,FALSE),8)/2-IF(AN326="",0,YEAR(TODAY())-AN326))</f>
        <v/>
      </c>
      <c r="X326" s="21">
        <f>T326*V326/(1+Assumptions!$B$3)^W326</f>
        <v/>
      </c>
      <c r="Y326" s="25">
        <f>IF(T326=0,"",ROUND(X326/T326*100,1))</f>
        <v/>
      </c>
      <c r="Z326" s="26">
        <f>X326*Assumptions!$B$4</f>
        <v/>
      </c>
      <c r="AA326" s="25">
        <f>IF(T326=0,"",ROUND(Z326/T326*100,1))</f>
        <v/>
      </c>
      <c r="AB326" s="26">
        <f>X326-Z326</f>
        <v/>
      </c>
      <c r="AC326" s="25">
        <f>IF(T326=0,"",ROUND((X326-Z326)/T326*100,1))</f>
        <v/>
      </c>
      <c r="AD326" s="27" t="inlineStr">
        <is>
          <t>UNKNOWN</t>
        </is>
      </c>
      <c r="AE326" s="28" t="inlineStr">
        <is>
          <t>https://ajruiz.com.br/sites/default/files/public/arquivos-processos/2023-11/4_relacao_de_credores_analitica_art._51_iii_da_lre.pdf</t>
        </is>
      </c>
      <c r="AF326" s="27" t="inlineStr">
        <is>
          <t>p3 r12</t>
        </is>
      </c>
      <c r="AG326" s="27" t="inlineStr">
        <is>
          <t>p3: R$ 1.007.717,64</t>
        </is>
      </c>
      <c r="AH326" s="27" t="inlineStr">
        <is>
          <t>UNKNOWN</t>
        </is>
      </c>
      <c r="AI326" s="27" t="inlineStr"/>
      <c r="AJ326" s="27" t="inlineStr">
        <is>
          <t>OK</t>
        </is>
      </c>
      <c r="AK326" s="29" t="inlineStr">
        <is>
          <t>(not printed)</t>
        </is>
      </c>
      <c r="AL326" s="29" t="inlineStr"/>
      <c r="AM326" s="29" t="inlineStr"/>
      <c r="AN326" s="29" t="inlineStr"/>
      <c r="AO326" s="29" t="inlineStr">
        <is>
          <t>RJ case number not identified on the document</t>
        </is>
      </c>
      <c r="AP326" s="29" t="inlineStr">
        <is>
          <t>SANTA BARBARA D'OESTE</t>
        </is>
      </c>
      <c r="AQ326" s="29" t="inlineStr">
        <is>
          <t>SP</t>
        </is>
      </c>
      <c r="AR326" s="29" t="inlineStr">
        <is>
          <t>Fabricação de pneumáticos e de câmaras-de-ar</t>
        </is>
      </c>
      <c r="AS326" s="29" t="inlineStr">
        <is>
          <t>DEMAIS</t>
        </is>
      </c>
      <c r="AT326" s="29" t="inlineStr">
        <is>
          <t>LARGE CORP</t>
        </is>
      </c>
      <c r="AU326" s="29" t="inlineStr">
        <is>
          <t>60500246</t>
        </is>
      </c>
      <c r="AV326" s="29" t="n">
        <v>1</v>
      </c>
      <c r="AW326" s="29" t="inlineStr">
        <is>
          <t>ROWS:p3r12 CASE_NUMBER_CORRECTED</t>
        </is>
      </c>
    </row>
    <row r="327">
      <c r="A327" s="15" t="inlineStr">
        <is>
          <t>MICROMAZZA INDUSTRIA DE VALVULAS LTDA</t>
        </is>
      </c>
      <c r="B327" s="16" t="n">
        <v>1006062.4</v>
      </c>
      <c r="C327" s="17" t="inlineStr">
        <is>
          <t>EGESA ENGENHARIA S/A (Consórcio ETDI)</t>
        </is>
      </c>
      <c r="D327" s="18" t="inlineStr">
        <is>
          <t>NEW</t>
        </is>
      </c>
      <c r="E327" s="19" t="inlineStr"/>
      <c r="F327" s="18" t="inlineStr"/>
      <c r="G327" s="19" t="inlineStr"/>
      <c r="H327" s="18" t="inlineStr"/>
      <c r="I327" s="20" t="inlineStr">
        <is>
          <t>Karla Ticz</t>
        </is>
      </c>
      <c r="J327" s="20" t="inlineStr">
        <is>
          <t>Senior Accounting Analyst</t>
        </is>
      </c>
      <c r="K327" s="20" t="inlineStr">
        <is>
          <t>(54) 3447-2700</t>
        </is>
      </c>
      <c r="L327" s="20" t="inlineStr"/>
      <c r="M327" s="20" t="inlineStr"/>
      <c r="N327" s="20" t="inlineStr">
        <is>
          <t>karla@micromazza.ind.br</t>
        </is>
      </c>
      <c r="O327" s="20" t="inlineStr"/>
      <c r="P327" s="20" t="inlineStr">
        <is>
          <t>JACKSON FELIPE CAMANA</t>
        </is>
      </c>
      <c r="Q327" s="20" t="inlineStr">
        <is>
          <t>Administrador</t>
        </is>
      </c>
      <c r="R327" s="20" t="inlineStr">
        <is>
          <t>(54) 3447-2700</t>
        </is>
      </c>
      <c r="S327" s="20" t="inlineStr"/>
      <c r="T327" s="21" t="n">
        <v>1006062.4</v>
      </c>
      <c r="U327" s="30" t="inlineStr">
        <is>
          <t>?</t>
        </is>
      </c>
      <c r="V327" s="23">
        <f>IFERROR(VLOOKUP(U327,Assumptions!$A$7:$D$11,2,FALSE),0)</f>
        <v/>
      </c>
      <c r="W327" s="24">
        <f>MAX(0.5,IFERROR(VLOOKUP(U327,Assumptions!$A$7:$D$11,3,FALSE),3)+IFERROR(VLOOKUP(U327,Assumptions!$A$7:$D$11,4,FALSE),8)/2-IF(AN327="",0,YEAR(TODAY())-AN327))</f>
        <v/>
      </c>
      <c r="X327" s="21">
        <f>T327*V327/(1+Assumptions!$B$3)^W327</f>
        <v/>
      </c>
      <c r="Y327" s="25">
        <f>IF(T327=0,"",ROUND(X327/T327*100,1))</f>
        <v/>
      </c>
      <c r="Z327" s="26">
        <f>X327*Assumptions!$B$4</f>
        <v/>
      </c>
      <c r="AA327" s="25">
        <f>IF(T327=0,"",ROUND(Z327/T327*100,1))</f>
        <v/>
      </c>
      <c r="AB327" s="26">
        <f>X327-Z327</f>
        <v/>
      </c>
      <c r="AC327" s="25">
        <f>IF(T327=0,"",ROUND((X327-Z327)/T327*100,1))</f>
        <v/>
      </c>
      <c r="AD327" s="27" t="inlineStr">
        <is>
          <t>UNKNOWN</t>
        </is>
      </c>
      <c r="AE327" s="28" t="inlineStr">
        <is>
          <t>https://scalzilliaj.com.br/sgc/download.php?file=files/processo_documento/processo_documento09514021082025_1_.pdf&amp;nome=04 - Relação de credores das Recuperandas</t>
        </is>
      </c>
      <c r="AF327" s="27" t="inlineStr">
        <is>
          <t>p69 r18</t>
        </is>
      </c>
      <c r="AG327" s="27" t="inlineStr">
        <is>
          <t>p69: R$ 1.006.062,40</t>
        </is>
      </c>
      <c r="AH327" s="27" t="inlineStr">
        <is>
          <t>DEBTOR_LIST</t>
        </is>
      </c>
      <c r="AI327" s="27" t="inlineStr"/>
      <c r="AJ327" s="27" t="inlineStr">
        <is>
          <t>OK</t>
        </is>
      </c>
      <c r="AK327" s="29" t="inlineStr">
        <is>
          <t>(not printed)</t>
        </is>
      </c>
      <c r="AL327" s="29" t="inlineStr"/>
      <c r="AM327" s="29" t="inlineStr"/>
      <c r="AN327" s="29" t="inlineStr"/>
      <c r="AO327" s="29" t="inlineStr">
        <is>
          <t>RJ case number not identified on the document</t>
        </is>
      </c>
      <c r="AP327" s="29" t="inlineStr">
        <is>
          <t>VILA FLORES</t>
        </is>
      </c>
      <c r="AQ327" s="29" t="inlineStr">
        <is>
          <t>RS</t>
        </is>
      </c>
      <c r="AR327" s="29" t="inlineStr">
        <is>
          <t>Fabricação de válvulas, registros e dispositivos semelhantes, peças e acessórios</t>
        </is>
      </c>
      <c r="AS327" s="29" t="inlineStr">
        <is>
          <t>DEMAIS</t>
        </is>
      </c>
      <c r="AT327" s="29" t="inlineStr">
        <is>
          <t>MID-MARKET</t>
        </is>
      </c>
      <c r="AU327" s="29" t="inlineStr">
        <is>
          <t>72096100</t>
        </is>
      </c>
      <c r="AV327" s="29" t="n">
        <v>1</v>
      </c>
      <c r="AW327" s="29" t="inlineStr">
        <is>
          <t>ROWS:p69r18 VALUE_COL:Valor_Atualizado CASE_NUMBER_CORRECTED</t>
        </is>
      </c>
    </row>
    <row r="328">
      <c r="A328" s="15" t="inlineStr">
        <is>
          <t>TOTVS S.A.</t>
        </is>
      </c>
      <c r="B328" s="16" t="n">
        <v>391959.35</v>
      </c>
      <c r="C328" s="17" t="inlineStr">
        <is>
          <t>E FALENCIA</t>
        </is>
      </c>
      <c r="D328" s="18" t="inlineStr">
        <is>
          <t>NEW</t>
        </is>
      </c>
      <c r="E328" s="19" t="inlineStr"/>
      <c r="F328" s="18" t="inlineStr"/>
      <c r="G328" s="19" t="inlineStr"/>
      <c r="H328" s="18" t="inlineStr"/>
      <c r="I328" s="20" t="inlineStr">
        <is>
          <t>Maiara Parisotto</t>
        </is>
      </c>
      <c r="J328" s="20" t="inlineStr">
        <is>
          <t>Gerente de Contas a Receber, Crédito e Cobrança</t>
        </is>
      </c>
      <c r="K328" s="20" t="inlineStr">
        <is>
          <t>(11) 4004-0015</t>
        </is>
      </c>
      <c r="L328" s="20" t="inlineStr"/>
      <c r="M328" s="20" t="inlineStr"/>
      <c r="N328" s="20" t="inlineStr">
        <is>
          <t>maiara.parisotto@totvs.com.br</t>
        </is>
      </c>
      <c r="O328" s="20" t="inlineStr"/>
      <c r="P328" s="20" t="inlineStr">
        <is>
          <t>ALEXANDRE HADDAD APENDINO</t>
        </is>
      </c>
      <c r="Q328" s="20" t="inlineStr">
        <is>
          <t>Diretor</t>
        </is>
      </c>
      <c r="R328" s="20" t="inlineStr">
        <is>
          <t>(11) 4004-0015</t>
        </is>
      </c>
      <c r="S328" s="20" t="inlineStr"/>
      <c r="T328" s="21" t="n">
        <v>391959.35</v>
      </c>
      <c r="U328" s="31" t="inlineStr">
        <is>
          <t>C</t>
        </is>
      </c>
      <c r="V328" s="23">
        <f>IFERROR(VLOOKUP(U328,Assumptions!$A$7:$D$11,2,FALSE),0)</f>
        <v/>
      </c>
      <c r="W328" s="24">
        <f>MAX(0.5,IFERROR(VLOOKUP(U328,Assumptions!$A$7:$D$11,3,FALSE),3)+IFERROR(VLOOKUP(U328,Assumptions!$A$7:$D$11,4,FALSE),8)/2-IF(AN328="",0,YEAR(TODAY())-AN328))</f>
        <v/>
      </c>
      <c r="X328" s="21">
        <f>T328*V328/(1+Assumptions!$B$3)^W328</f>
        <v/>
      </c>
      <c r="Y328" s="25">
        <f>IF(T328=0,"",ROUND(X328/T328*100,1))</f>
        <v/>
      </c>
      <c r="Z328" s="26">
        <f>X328*Assumptions!$B$4</f>
        <v/>
      </c>
      <c r="AA328" s="25">
        <f>IF(T328=0,"",ROUND(Z328/T328*100,1))</f>
        <v/>
      </c>
      <c r="AB328" s="26">
        <f>X328-Z328</f>
        <v/>
      </c>
      <c r="AC328" s="25">
        <f>IF(T328=0,"",ROUND((X328-Z328)/T328*100,1))</f>
        <v/>
      </c>
      <c r="AD328" s="27" t="inlineStr">
        <is>
          <t>UNKNOWN</t>
        </is>
      </c>
      <c r="AE328" s="28" t="inlineStr">
        <is>
          <t>https://diligence.adm.br/wp-content/plugins/download-attachments/includes/download.php?id=4579</t>
        </is>
      </c>
      <c r="AF328" s="27" t="inlineStr">
        <is>
          <t>p8 r12</t>
        </is>
      </c>
      <c r="AG328" s="27" t="inlineStr">
        <is>
          <t>p8: R$ 391.959,35</t>
        </is>
      </c>
      <c r="AH328" s="27" t="inlineStr">
        <is>
          <t>AJ_LIST</t>
        </is>
      </c>
      <c r="AI328" s="27" t="inlineStr">
        <is>
          <t>2024-06-11</t>
        </is>
      </c>
      <c r="AJ328" s="27" t="inlineStr">
        <is>
          <t>OK_NO_TOTALS</t>
        </is>
      </c>
      <c r="AK328" s="29" t="inlineStr">
        <is>
          <t>0032731-52.2010.8.17.0001</t>
        </is>
      </c>
      <c r="AL328" s="29" t="inlineStr">
        <is>
          <t>TJ</t>
        </is>
      </c>
      <c r="AM328" s="29" t="inlineStr"/>
      <c r="AN328" s="29" t="n">
        <v>2010</v>
      </c>
      <c r="AO328" s="29" t="inlineStr">
        <is>
          <t>16y since filing, no plan document</t>
        </is>
      </c>
      <c r="AP328" s="29" t="inlineStr">
        <is>
          <t>SAO PAULO</t>
        </is>
      </c>
      <c r="AQ328" s="29" t="inlineStr">
        <is>
          <t>SP</t>
        </is>
      </c>
      <c r="AR328" s="29" t="inlineStr">
        <is>
          <t>Desenvolvimento de programas de computador sob encomenda</t>
        </is>
      </c>
      <c r="AS328" s="29" t="inlineStr">
        <is>
          <t>DEMAIS</t>
        </is>
      </c>
      <c r="AT328" s="29" t="inlineStr">
        <is>
          <t>LARGE CORP</t>
        </is>
      </c>
      <c r="AU328" s="29" t="inlineStr">
        <is>
          <t>53113791</t>
        </is>
      </c>
      <c r="AV328" s="29" t="n">
        <v>1</v>
      </c>
      <c r="AW328" s="29" t="inlineStr">
        <is>
          <t>ROWS:p8r12 UNRECONCILED_SOURCE VALUE_COL:Crédito_1ª_Lista</t>
        </is>
      </c>
    </row>
    <row r="329">
      <c r="A329" s="15" t="inlineStr">
        <is>
          <t>COMPANHIA ENERGETICA DE PERNAMBUCO</t>
        </is>
      </c>
      <c r="B329" s="16" t="n">
        <v>391331.27</v>
      </c>
      <c r="C329" s="17" t="inlineStr">
        <is>
          <t>CENTRO DE TRATAMENTO RENAL ZONA SUL LTDA - EM RECUPERACAO JUDICIAL</t>
        </is>
      </c>
      <c r="D329" s="18" t="inlineStr">
        <is>
          <t>NEW</t>
        </is>
      </c>
      <c r="E329" s="19" t="inlineStr"/>
      <c r="F329" s="18" t="inlineStr"/>
      <c r="G329" s="19" t="inlineStr"/>
      <c r="H329" s="18" t="inlineStr"/>
      <c r="I329" s="20" t="inlineStr">
        <is>
          <t>SAULO CABRAL E SILVA</t>
        </is>
      </c>
      <c r="J329" s="20" t="inlineStr">
        <is>
          <t>Presidente</t>
        </is>
      </c>
      <c r="K329" s="20" t="inlineStr">
        <is>
          <t>(81) 3217-5226</t>
        </is>
      </c>
      <c r="L329" s="20" t="inlineStr"/>
      <c r="M329" s="20" t="inlineStr"/>
      <c r="N329" s="20" t="inlineStr"/>
      <c r="O329" s="20" t="inlineStr"/>
      <c r="P329" s="20" t="inlineStr">
        <is>
          <t>FABIANO DA ROSA CARVALHO</t>
        </is>
      </c>
      <c r="Q329" s="20" t="inlineStr">
        <is>
          <t>Diretor</t>
        </is>
      </c>
      <c r="R329" s="20" t="inlineStr">
        <is>
          <t>(81) 3217-5226</t>
        </is>
      </c>
      <c r="S329" s="20" t="inlineStr"/>
      <c r="T329" s="21" t="n">
        <v>391331.27</v>
      </c>
      <c r="U329" s="31" t="inlineStr">
        <is>
          <t>C</t>
        </is>
      </c>
      <c r="V329" s="23">
        <f>IFERROR(VLOOKUP(U329,Assumptions!$A$7:$D$11,2,FALSE),0)</f>
        <v/>
      </c>
      <c r="W329" s="24">
        <f>MAX(0.5,IFERROR(VLOOKUP(U329,Assumptions!$A$7:$D$11,3,FALSE),3)+IFERROR(VLOOKUP(U329,Assumptions!$A$7:$D$11,4,FALSE),8)/2-IF(AN329="",0,YEAR(TODAY())-AN329))</f>
        <v/>
      </c>
      <c r="X329" s="21">
        <f>T329*V329/(1+Assumptions!$B$3)^W329</f>
        <v/>
      </c>
      <c r="Y329" s="25">
        <f>IF(T329=0,"",ROUND(X329/T329*100,1))</f>
        <v/>
      </c>
      <c r="Z329" s="26">
        <f>X329*Assumptions!$B$4</f>
        <v/>
      </c>
      <c r="AA329" s="25">
        <f>IF(T329=0,"",ROUND(Z329/T329*100,1))</f>
        <v/>
      </c>
      <c r="AB329" s="26">
        <f>X329-Z329</f>
        <v/>
      </c>
      <c r="AC329" s="25">
        <f>IF(T329=0,"",ROUND((X329-Z329)/T329*100,1))</f>
        <v/>
      </c>
      <c r="AD329" s="27" t="inlineStr">
        <is>
          <t>UNKNOWN</t>
        </is>
      </c>
      <c r="AE329" s="28" t="inlineStr">
        <is>
          <t>https://recuperacaojudicial.squarespace.com/s/4-RJCTREditalda2ListadeCredoresnovembro2019.pdf</t>
        </is>
      </c>
      <c r="AF329" s="27" t="inlineStr">
        <is>
          <t>p3 r10</t>
        </is>
      </c>
      <c r="AG329" s="27" t="inlineStr">
        <is>
          <t>p3: R$ 391.331,27</t>
        </is>
      </c>
      <c r="AH329" s="27" t="inlineStr">
        <is>
          <t>AJ_LIST</t>
        </is>
      </c>
      <c r="AI329" s="27" t="inlineStr">
        <is>
          <t>2019-11-25</t>
        </is>
      </c>
      <c r="AJ329" s="27" t="inlineStr">
        <is>
          <t>OK</t>
        </is>
      </c>
      <c r="AK329" s="29" t="inlineStr">
        <is>
          <t>0015488-29.2018.8.17.2810</t>
        </is>
      </c>
      <c r="AL329" s="29" t="inlineStr">
        <is>
          <t>TJ</t>
        </is>
      </c>
      <c r="AM329" s="29" t="inlineStr"/>
      <c r="AN329" s="29" t="n">
        <v>2018</v>
      </c>
      <c r="AO329" s="29" t="inlineStr">
        <is>
          <t>8y since filing, no plan document</t>
        </is>
      </c>
      <c r="AP329" s="29" t="inlineStr">
        <is>
          <t>RECIFE</t>
        </is>
      </c>
      <c r="AQ329" s="29" t="inlineStr">
        <is>
          <t>PE</t>
        </is>
      </c>
      <c r="AR329" s="29" t="inlineStr">
        <is>
          <t>Distribuição de energia elétrica</t>
        </is>
      </c>
      <c r="AS329" s="29" t="inlineStr">
        <is>
          <t>DEMAIS</t>
        </is>
      </c>
      <c r="AT329" s="29" t="inlineStr">
        <is>
          <t>LARGE CORP</t>
        </is>
      </c>
      <c r="AU329" s="29" t="inlineStr">
        <is>
          <t>10835932</t>
        </is>
      </c>
      <c r="AV329" s="29" t="n">
        <v>1</v>
      </c>
      <c r="AW329" s="29" t="inlineStr">
        <is>
          <t>ROWS:p3r10</t>
        </is>
      </c>
    </row>
    <row r="330">
      <c r="A330" s="15" t="inlineStr">
        <is>
          <t>POLYEXCEL INDUSTRIA E COMERCIO DE COMPOSTOS POLIMERICOS LTDA</t>
        </is>
      </c>
      <c r="B330" s="16" t="n">
        <v>341250</v>
      </c>
      <c r="C330" s="17" t="inlineStr">
        <is>
          <t>Conduscabos Brasil Indústria Comércio de</t>
        </is>
      </c>
      <c r="D330" s="18" t="inlineStr">
        <is>
          <t>NEW</t>
        </is>
      </c>
      <c r="E330" s="19" t="inlineStr"/>
      <c r="F330" s="18" t="inlineStr"/>
      <c r="G330" s="19" t="inlineStr"/>
      <c r="H330" s="18" t="inlineStr"/>
      <c r="I330" s="20" t="inlineStr">
        <is>
          <t>RODRIGO NACHLE BOREGGIO</t>
        </is>
      </c>
      <c r="J330" s="20" t="inlineStr">
        <is>
          <t>Sócio-Administrador</t>
        </is>
      </c>
      <c r="K330" s="20" t="inlineStr">
        <is>
          <t>(11) 4161-6775</t>
        </is>
      </c>
      <c r="L330" s="20" t="inlineStr"/>
      <c r="M330" s="20" t="inlineStr"/>
      <c r="N330" s="20" t="inlineStr"/>
      <c r="O330" s="20" t="inlineStr"/>
      <c r="P330" s="20" t="inlineStr"/>
      <c r="Q330" s="20" t="inlineStr"/>
      <c r="R330" s="20" t="inlineStr"/>
      <c r="S330" s="20" t="inlineStr"/>
      <c r="T330" s="21" t="n">
        <v>341250</v>
      </c>
      <c r="U330" s="22" t="inlineStr">
        <is>
          <t>B</t>
        </is>
      </c>
      <c r="V330" s="23">
        <f>IFERROR(VLOOKUP(U330,Assumptions!$A$7:$D$11,2,FALSE),0)</f>
        <v/>
      </c>
      <c r="W330" s="24">
        <f>MAX(0.5,IFERROR(VLOOKUP(U330,Assumptions!$A$7:$D$11,3,FALSE),3)+IFERROR(VLOOKUP(U330,Assumptions!$A$7:$D$11,4,FALSE),8)/2-IF(AN330="",0,YEAR(TODAY())-AN330))</f>
        <v/>
      </c>
      <c r="X330" s="21">
        <f>T330*V330/(1+Assumptions!$B$3)^W330</f>
        <v/>
      </c>
      <c r="Y330" s="25">
        <f>IF(T330=0,"",ROUND(X330/T330*100,1))</f>
        <v/>
      </c>
      <c r="Z330" s="26">
        <f>X330*Assumptions!$B$4</f>
        <v/>
      </c>
      <c r="AA330" s="25">
        <f>IF(T330=0,"",ROUND(Z330/T330*100,1))</f>
        <v/>
      </c>
      <c r="AB330" s="26">
        <f>X330-Z330</f>
        <v/>
      </c>
      <c r="AC330" s="25">
        <f>IF(T330=0,"",ROUND((X330-Z330)/T330*100,1))</f>
        <v/>
      </c>
      <c r="AD330" s="27" t="inlineStr">
        <is>
          <t>ESTIMATED</t>
        </is>
      </c>
      <c r="AE330" s="28" t="inlineStr">
        <is>
          <t>https://assistjud.com.br/wp-content/uploads/elementor/forms/65098c80a5824.pdf</t>
        </is>
      </c>
      <c r="AF330" s="27" t="inlineStr">
        <is>
          <t>p9 r6</t>
        </is>
      </c>
      <c r="AG330" s="27" t="inlineStr">
        <is>
          <t>p9: R$ 341.250,00</t>
        </is>
      </c>
      <c r="AH330" s="27" t="inlineStr">
        <is>
          <t>AJ_LIST</t>
        </is>
      </c>
      <c r="AI330" s="27" t="inlineStr">
        <is>
          <t>2023-09-18</t>
        </is>
      </c>
      <c r="AJ330" s="27" t="inlineStr">
        <is>
          <t>OK_NO_TOTALS</t>
        </is>
      </c>
      <c r="AK330" s="29" t="inlineStr">
        <is>
          <t>8005129-09.2023.8.05.0039</t>
        </is>
      </c>
      <c r="AL330" s="29" t="inlineStr">
        <is>
          <t>TJBA</t>
        </is>
      </c>
      <c r="AM330" s="29" t="inlineStr">
        <is>
          <t>ACTIVE</t>
        </is>
      </c>
      <c r="AN330" s="29" t="n">
        <v>2023</v>
      </c>
      <c r="AO330" s="29" t="inlineStr">
        <is>
          <t>live case, no plan document yet</t>
        </is>
      </c>
      <c r="AP330" s="29" t="inlineStr">
        <is>
          <t>BARUERI</t>
        </is>
      </c>
      <c r="AQ330" s="29" t="inlineStr">
        <is>
          <t>SP</t>
        </is>
      </c>
      <c r="AR330" s="29" t="inlineStr">
        <is>
          <t>Fabricação de artefatos de material plástico para usos industriais</t>
        </is>
      </c>
      <c r="AS330" s="29" t="inlineStr">
        <is>
          <t>DEMAIS</t>
        </is>
      </c>
      <c r="AT330" s="29" t="inlineStr">
        <is>
          <t>MID-MARKET</t>
        </is>
      </c>
      <c r="AU330" s="29" t="inlineStr">
        <is>
          <t>14492564</t>
        </is>
      </c>
      <c r="AV330" s="29" t="n">
        <v>1</v>
      </c>
      <c r="AW330" s="29" t="inlineStr">
        <is>
          <t>ROWS:p9r6 UNRECONCILED_SOURCE</t>
        </is>
      </c>
    </row>
    <row r="331">
      <c r="A331" s="15" t="inlineStr">
        <is>
          <t>TRUST - IMPORTACAO E EXPORTACAO LTDA</t>
        </is>
      </c>
      <c r="B331" s="16" t="n">
        <v>533171.8100000001</v>
      </c>
      <c r="C331" s="17" t="inlineStr">
        <is>
          <t>Cerealista Sa</t>
        </is>
      </c>
      <c r="D331" s="18" t="inlineStr">
        <is>
          <t>NEW</t>
        </is>
      </c>
      <c r="E331" s="19" t="inlineStr"/>
      <c r="F331" s="18" t="inlineStr"/>
      <c r="G331" s="19" t="inlineStr"/>
      <c r="H331" s="18" t="inlineStr"/>
      <c r="I331" s="20" t="inlineStr">
        <is>
          <t>JULIANO D ALMEIDA VICTORINO</t>
        </is>
      </c>
      <c r="J331" s="20" t="inlineStr">
        <is>
          <t>Administrador</t>
        </is>
      </c>
      <c r="K331" s="20" t="inlineStr">
        <is>
          <t>(47) 3405-8300</t>
        </is>
      </c>
      <c r="L331" s="20" t="inlineStr"/>
      <c r="M331" s="20" t="inlineStr"/>
      <c r="N331" s="20" t="inlineStr"/>
      <c r="O331" s="20" t="inlineStr"/>
      <c r="P331" s="20" t="inlineStr"/>
      <c r="Q331" s="20" t="inlineStr"/>
      <c r="R331" s="20" t="inlineStr"/>
      <c r="S331" s="20" t="inlineStr"/>
      <c r="T331" s="21" t="n">
        <v>533171.8100000001</v>
      </c>
      <c r="U331" s="22" t="inlineStr">
        <is>
          <t>B</t>
        </is>
      </c>
      <c r="V331" s="23">
        <f>IFERROR(VLOOKUP(U331,Assumptions!$A$7:$D$11,2,FALSE),0)</f>
        <v/>
      </c>
      <c r="W331" s="24">
        <f>MAX(0.5,IFERROR(VLOOKUP(U331,Assumptions!$A$7:$D$11,3,FALSE),3)+IFERROR(VLOOKUP(U331,Assumptions!$A$7:$D$11,4,FALSE),8)/2-IF(AN331="",0,YEAR(TODAY())-AN331))</f>
        <v/>
      </c>
      <c r="X331" s="21">
        <f>T331*V331/(1+Assumptions!$B$3)^W331</f>
        <v/>
      </c>
      <c r="Y331" s="25">
        <f>IF(T331=0,"",ROUND(X331/T331*100,1))</f>
        <v/>
      </c>
      <c r="Z331" s="26">
        <f>X331*Assumptions!$B$4</f>
        <v/>
      </c>
      <c r="AA331" s="25">
        <f>IF(T331=0,"",ROUND(Z331/T331*100,1))</f>
        <v/>
      </c>
      <c r="AB331" s="26">
        <f>X331-Z331</f>
        <v/>
      </c>
      <c r="AC331" s="25">
        <f>IF(T331=0,"",ROUND((X331-Z331)/T331*100,1))</f>
        <v/>
      </c>
      <c r="AD331" s="27" t="inlineStr">
        <is>
          <t>ESTIMATED</t>
        </is>
      </c>
      <c r="AE331" s="28" t="inlineStr">
        <is>
          <t>https://ajruiz.com.br/sites/default/files/public/arquivos-processos/2026-01/safrasul_relacao_de_credores_recuperanda.pdf</t>
        </is>
      </c>
      <c r="AF331" s="27" t="inlineStr">
        <is>
          <t>p8 r36</t>
        </is>
      </c>
      <c r="AG331" s="27" t="inlineStr">
        <is>
          <t>p8: R$ 533.171,81</t>
        </is>
      </c>
      <c r="AH331" s="27" t="inlineStr">
        <is>
          <t>AJ_LIST</t>
        </is>
      </c>
      <c r="AI331" s="27" t="inlineStr">
        <is>
          <t>2026-01-14</t>
        </is>
      </c>
      <c r="AJ331" s="27" t="inlineStr">
        <is>
          <t>OK_NO_TOTALS</t>
        </is>
      </c>
      <c r="AK331" s="29" t="inlineStr">
        <is>
          <t>4000167-23.2025.8.26.0373</t>
        </is>
      </c>
      <c r="AL331" s="29" t="inlineStr">
        <is>
          <t>TJSP</t>
        </is>
      </c>
      <c r="AM331" s="29" t="inlineStr">
        <is>
          <t>ACTIVE</t>
        </is>
      </c>
      <c r="AN331" s="29" t="n">
        <v>2025</v>
      </c>
      <c r="AO331" s="29" t="inlineStr">
        <is>
          <t>live case, no plan document yet</t>
        </is>
      </c>
      <c r="AP331" s="29" t="inlineStr">
        <is>
          <t>ITAJAI</t>
        </is>
      </c>
      <c r="AQ331" s="29" t="inlineStr">
        <is>
          <t>SC</t>
        </is>
      </c>
      <c r="AR331" s="29" t="inlineStr">
        <is>
          <t>Comércio atacadista de mercadorias em geral, sem predominância de alimentos ou de insumos agropecuários</t>
        </is>
      </c>
      <c r="AS331" s="29" t="inlineStr">
        <is>
          <t>DEMAIS</t>
        </is>
      </c>
      <c r="AT331" s="29" t="inlineStr">
        <is>
          <t>MID-MARKET</t>
        </is>
      </c>
      <c r="AU331" s="29" t="inlineStr">
        <is>
          <t>07426908</t>
        </is>
      </c>
      <c r="AV331" s="29" t="n">
        <v>1</v>
      </c>
      <c r="AW331" s="29" t="inlineStr">
        <is>
          <t>ROWS:p8r36 UNRECONCILED_SOURCE</t>
        </is>
      </c>
    </row>
    <row r="332">
      <c r="A332" s="15" t="inlineStr">
        <is>
          <t>GBF NEGOCIOS IMOBILIARIOS LTDA</t>
        </is>
      </c>
      <c r="B332" s="16" t="n">
        <v>499600</v>
      </c>
      <c r="C332" s="17" t="inlineStr">
        <is>
          <t>COMERCIO RACOES BEM BOM LTDA</t>
        </is>
      </c>
      <c r="D332" s="18" t="inlineStr">
        <is>
          <t>NEW</t>
        </is>
      </c>
      <c r="E332" s="19" t="inlineStr"/>
      <c r="F332" s="18" t="inlineStr"/>
      <c r="G332" s="19" t="inlineStr"/>
      <c r="H332" s="18" t="inlineStr"/>
      <c r="I332" s="20" t="inlineStr">
        <is>
          <t>ANTONIO TRENTO KIHARA SCHEFFER</t>
        </is>
      </c>
      <c r="J332" s="20" t="inlineStr">
        <is>
          <t>Sócio-Administrador</t>
        </is>
      </c>
      <c r="K332" s="20" t="inlineStr">
        <is>
          <t>(65) 3645-8000</t>
        </is>
      </c>
      <c r="L332" s="20" t="inlineStr">
        <is>
          <t>(65) 3645-8000</t>
        </is>
      </c>
      <c r="M332" s="20" t="inlineStr"/>
      <c r="N332" s="20" t="inlineStr"/>
      <c r="O332" s="20" t="inlineStr"/>
      <c r="P332" s="20" t="inlineStr">
        <is>
          <t>DONATO CECHINEL</t>
        </is>
      </c>
      <c r="Q332" s="20" t="inlineStr">
        <is>
          <t>Administrador</t>
        </is>
      </c>
      <c r="R332" s="20" t="inlineStr">
        <is>
          <t>(65) 3645-8000</t>
        </is>
      </c>
      <c r="S332" s="20" t="inlineStr"/>
      <c r="T332" s="21" t="n">
        <v>499600</v>
      </c>
      <c r="U332" s="32" t="inlineStr">
        <is>
          <t>A</t>
        </is>
      </c>
      <c r="V332" s="23">
        <f>IFERROR(VLOOKUP(U332,Assumptions!$A$7:$D$11,2,FALSE),0)</f>
        <v/>
      </c>
      <c r="W332" s="24">
        <f>MAX(0.5,IFERROR(VLOOKUP(U332,Assumptions!$A$7:$D$11,3,FALSE),3)+IFERROR(VLOOKUP(U332,Assumptions!$A$7:$D$11,4,FALSE),8)/2-IF(AN332="",0,YEAR(TODAY())-AN332))</f>
        <v/>
      </c>
      <c r="X332" s="21">
        <f>T332*V332/(1+Assumptions!$B$3)^W332</f>
        <v/>
      </c>
      <c r="Y332" s="25">
        <f>IF(T332=0,"",ROUND(X332/T332*100,1))</f>
        <v/>
      </c>
      <c r="Z332" s="26">
        <f>X332*Assumptions!$B$4</f>
        <v/>
      </c>
      <c r="AA332" s="25">
        <f>IF(T332=0,"",ROUND(Z332/T332*100,1))</f>
        <v/>
      </c>
      <c r="AB332" s="26">
        <f>X332-Z332</f>
        <v/>
      </c>
      <c r="AC332" s="25">
        <f>IF(T332=0,"",ROUND((X332-Z332)/T332*100,1))</f>
        <v/>
      </c>
      <c r="AD332" s="27" t="inlineStr">
        <is>
          <t>CONFIRMED</t>
        </is>
      </c>
      <c r="AE332" s="28" t="inlineStr">
        <is>
          <t>https://stenius.com.br/wp-content/uploads/2026/06/EDITAL-GRUPO-3E.pdf</t>
        </is>
      </c>
      <c r="AF332" s="27" t="inlineStr">
        <is>
          <t>p14 r1</t>
        </is>
      </c>
      <c r="AG332" s="27" t="inlineStr">
        <is>
          <t>p14: R$ 499.600,00</t>
        </is>
      </c>
      <c r="AH332" s="27" t="inlineStr">
        <is>
          <t>DEBTOR_LIST</t>
        </is>
      </c>
      <c r="AI332" s="27" t="inlineStr">
        <is>
          <t>2026-06-22</t>
        </is>
      </c>
      <c r="AJ332" s="27" t="inlineStr">
        <is>
          <t>OK_NO_TOTALS</t>
        </is>
      </c>
      <c r="AK332" s="29" t="inlineStr">
        <is>
          <t>5341375-33.2026.8.09.0049</t>
        </is>
      </c>
      <c r="AL332" s="29" t="inlineStr">
        <is>
          <t>TJGO</t>
        </is>
      </c>
      <c r="AM332" s="29" t="inlineStr">
        <is>
          <t>ACTIVE</t>
        </is>
      </c>
      <c r="AN332" s="29" t="n">
        <v>2026</v>
      </c>
      <c r="AO332" s="29" t="inlineStr">
        <is>
          <t>plan/homologation document found</t>
        </is>
      </c>
      <c r="AP332" s="29" t="inlineStr">
        <is>
          <t>CUIABA</t>
        </is>
      </c>
      <c r="AQ332" s="29" t="inlineStr">
        <is>
          <t>MT</t>
        </is>
      </c>
      <c r="AR332" s="29" t="inlineStr">
        <is>
          <t>Compra e venda de imóveis próprios</t>
        </is>
      </c>
      <c r="AS332" s="29" t="inlineStr">
        <is>
          <t>DEMAIS</t>
        </is>
      </c>
      <c r="AT332" s="29" t="inlineStr">
        <is>
          <t>MID-MARKET</t>
        </is>
      </c>
      <c r="AU332" s="29" t="inlineStr">
        <is>
          <t>10431349</t>
        </is>
      </c>
      <c r="AV332" s="29" t="n">
        <v>1</v>
      </c>
      <c r="AW332" s="29" t="inlineStr">
        <is>
          <t>ROWS:p14r1 UNRECONCILED_SOURCE</t>
        </is>
      </c>
    </row>
    <row r="333">
      <c r="A333" s="15" t="inlineStr">
        <is>
          <t>L D NUNES</t>
        </is>
      </c>
      <c r="B333" s="16" t="n">
        <v>390081</v>
      </c>
      <c r="C333" s="17" t="inlineStr">
        <is>
          <t>AGROPECUÁRIA SERROTE REDONDO – LRF Líderes em Recuperação Judicial e Falência</t>
        </is>
      </c>
      <c r="D333" s="18" t="inlineStr">
        <is>
          <t>NEW</t>
        </is>
      </c>
      <c r="E333" s="19" t="inlineStr"/>
      <c r="F333" s="18" t="inlineStr"/>
      <c r="G333" s="19" t="inlineStr"/>
      <c r="H333" s="18" t="inlineStr"/>
      <c r="I333" s="20" t="inlineStr">
        <is>
          <t>Janaina Sousa</t>
        </is>
      </c>
      <c r="J333" s="20" t="inlineStr">
        <is>
          <t>Administrative Supervisor</t>
        </is>
      </c>
      <c r="K333" s="20" t="inlineStr"/>
      <c r="L333" s="20" t="inlineStr"/>
      <c r="M333" s="20" t="inlineStr"/>
      <c r="N333" s="20" t="inlineStr">
        <is>
          <t>janaina@indama.com.br</t>
        </is>
      </c>
      <c r="O333" s="20" t="inlineStr">
        <is>
          <t>janaina@indama.com.br</t>
        </is>
      </c>
      <c r="P333" s="20" t="inlineStr">
        <is>
          <t>Janaina Sousa</t>
        </is>
      </c>
      <c r="Q333" s="20" t="inlineStr">
        <is>
          <t>Administrative Supervisor</t>
        </is>
      </c>
      <c r="R333" s="20" t="inlineStr"/>
      <c r="S333" s="20" t="inlineStr">
        <is>
          <t>janaina@indama.com.br</t>
        </is>
      </c>
      <c r="T333" s="21" t="n">
        <v>390081</v>
      </c>
      <c r="U333" s="31" t="inlineStr">
        <is>
          <t>C</t>
        </is>
      </c>
      <c r="V333" s="23">
        <f>IFERROR(VLOOKUP(U333,Assumptions!$A$7:$D$11,2,FALSE),0)</f>
        <v/>
      </c>
      <c r="W333" s="24">
        <f>MAX(0.5,IFERROR(VLOOKUP(U333,Assumptions!$A$7:$D$11,3,FALSE),3)+IFERROR(VLOOKUP(U333,Assumptions!$A$7:$D$11,4,FALSE),8)/2-IF(AN333="",0,YEAR(TODAY())-AN333))</f>
        <v/>
      </c>
      <c r="X333" s="21">
        <f>T333*V333/(1+Assumptions!$B$3)^W333</f>
        <v/>
      </c>
      <c r="Y333" s="25">
        <f>IF(T333=0,"",ROUND(X333/T333*100,1))</f>
        <v/>
      </c>
      <c r="Z333" s="26">
        <f>X333*Assumptions!$B$4</f>
        <v/>
      </c>
      <c r="AA333" s="25">
        <f>IF(T333=0,"",ROUND(Z333/T333*100,1))</f>
        <v/>
      </c>
      <c r="AB333" s="26">
        <f>X333-Z333</f>
        <v/>
      </c>
      <c r="AC333" s="25">
        <f>IF(T333=0,"",ROUND((X333-Z333)/T333*100,1))</f>
        <v/>
      </c>
      <c r="AD333" s="27" t="inlineStr">
        <is>
          <t>UNKNOWN</t>
        </is>
      </c>
      <c r="AE333" s="28" t="inlineStr">
        <is>
          <t>https://lrflideres.com.br/wp-content/plugins/download-attachments/includes/download.php?id=5001</t>
        </is>
      </c>
      <c r="AF333" s="27" t="inlineStr">
        <is>
          <t>p2 r36</t>
        </is>
      </c>
      <c r="AG333" s="27" t="inlineStr">
        <is>
          <t>p2: R$ 390.081,00</t>
        </is>
      </c>
      <c r="AH333" s="27" t="inlineStr">
        <is>
          <t>UNKNOWN</t>
        </is>
      </c>
      <c r="AI333" s="27" t="inlineStr"/>
      <c r="AJ333" s="27" t="inlineStr">
        <is>
          <t>OK</t>
        </is>
      </c>
      <c r="AK333" s="29" t="inlineStr">
        <is>
          <t>0000206-69.2013.8.17.1340</t>
        </is>
      </c>
      <c r="AL333" s="29" t="inlineStr">
        <is>
          <t>TJ</t>
        </is>
      </c>
      <c r="AM333" s="29" t="inlineStr"/>
      <c r="AN333" s="29" t="n">
        <v>2013</v>
      </c>
      <c r="AO333" s="29" t="inlineStr">
        <is>
          <t>13y since filing, no plan document</t>
        </is>
      </c>
      <c r="AP333" s="29" t="inlineStr">
        <is>
          <t>MACAIBA</t>
        </is>
      </c>
      <c r="AQ333" s="29" t="inlineStr">
        <is>
          <t>RN</t>
        </is>
      </c>
      <c r="AR333" s="29" t="inlineStr">
        <is>
          <t>Preparação de subprodutos do abate</t>
        </is>
      </c>
      <c r="AS333" s="29" t="inlineStr">
        <is>
          <t>EMPRESA DE PEQUENO PORTE</t>
        </is>
      </c>
      <c r="AT333" s="29" t="inlineStr">
        <is>
          <t>SMALL</t>
        </is>
      </c>
      <c r="AU333" s="29" t="inlineStr">
        <is>
          <t>02291660</t>
        </is>
      </c>
      <c r="AV333" s="29" t="n">
        <v>1</v>
      </c>
      <c r="AW333" s="29" t="inlineStr">
        <is>
          <t>ALT_VALUE:390.081,00 ROWS:p2r36</t>
        </is>
      </c>
    </row>
    <row r="334">
      <c r="A334" s="15" t="inlineStr">
        <is>
          <t>INDUSTRIA E COMERCIO DE FARINHA JAGUA LTDA.</t>
        </is>
      </c>
      <c r="B334" s="16" t="n">
        <v>339668</v>
      </c>
      <c r="C334" s="17" t="inlineStr">
        <is>
          <t>ADVOCACIA WANDERLEI DE PAULA BARRETO</t>
        </is>
      </c>
      <c r="D334" s="18" t="inlineStr">
        <is>
          <t>NEW</t>
        </is>
      </c>
      <c r="E334" s="19" t="inlineStr"/>
      <c r="F334" s="18" t="inlineStr"/>
      <c r="G334" s="19" t="inlineStr"/>
      <c r="H334" s="18" t="inlineStr"/>
      <c r="I334" s="20" t="inlineStr">
        <is>
          <t>PAULO SERGIO BOTAZZARI</t>
        </is>
      </c>
      <c r="J334" s="20" t="inlineStr">
        <is>
          <t>Administrador</t>
        </is>
      </c>
      <c r="K334" s="20" t="inlineStr">
        <is>
          <t>(43) 3272-8038</t>
        </is>
      </c>
      <c r="L334" s="20" t="inlineStr"/>
      <c r="M334" s="20" t="inlineStr"/>
      <c r="N334" s="20" t="inlineStr"/>
      <c r="O334" s="20" t="inlineStr"/>
      <c r="P334" s="20" t="inlineStr">
        <is>
          <t>SIDNEI DONIZETE BOTTAZZARI</t>
        </is>
      </c>
      <c r="Q334" s="20" t="inlineStr">
        <is>
          <t>Administrador</t>
        </is>
      </c>
      <c r="R334" s="20" t="inlineStr">
        <is>
          <t>(43) 3272-8038</t>
        </is>
      </c>
      <c r="S334" s="20" t="inlineStr"/>
      <c r="T334" s="21" t="n">
        <v>339668</v>
      </c>
      <c r="U334" s="22" t="inlineStr">
        <is>
          <t>B</t>
        </is>
      </c>
      <c r="V334" s="23">
        <f>IFERROR(VLOOKUP(U334,Assumptions!$A$7:$D$11,2,FALSE),0)</f>
        <v/>
      </c>
      <c r="W334" s="24">
        <f>MAX(0.5,IFERROR(VLOOKUP(U334,Assumptions!$A$7:$D$11,3,FALSE),3)+IFERROR(VLOOKUP(U334,Assumptions!$A$7:$D$11,4,FALSE),8)/2-IF(AN334="",0,YEAR(TODAY())-AN334))</f>
        <v/>
      </c>
      <c r="X334" s="21">
        <f>T334*V334/(1+Assumptions!$B$3)^W334</f>
        <v/>
      </c>
      <c r="Y334" s="25">
        <f>IF(T334=0,"",ROUND(X334/T334*100,1))</f>
        <v/>
      </c>
      <c r="Z334" s="26">
        <f>X334*Assumptions!$B$4</f>
        <v/>
      </c>
      <c r="AA334" s="25">
        <f>IF(T334=0,"",ROUND(Z334/T334*100,1))</f>
        <v/>
      </c>
      <c r="AB334" s="26">
        <f>X334-Z334</f>
        <v/>
      </c>
      <c r="AC334" s="25">
        <f>IF(T334=0,"",ROUND((X334-Z334)/T334*100,1))</f>
        <v/>
      </c>
      <c r="AD334" s="27" t="inlineStr">
        <is>
          <t>ESTIMATED</t>
        </is>
      </c>
      <c r="AE334" s="28" t="inlineStr">
        <is>
          <t>https://marquesadmjudicial.com.br/sgc/download.php?file=files/processo_documento/processo_documento17040729052024_1_.pdf&amp;nome=Relação Nominal de Credores AJ-Sintética</t>
        </is>
      </c>
      <c r="AF334" s="27" t="inlineStr">
        <is>
          <t>p11 r18</t>
        </is>
      </c>
      <c r="AG334" s="27" t="inlineStr">
        <is>
          <t>p11: R$ 339.668,00</t>
        </is>
      </c>
      <c r="AH334" s="27" t="inlineStr">
        <is>
          <t>AJ_LIST</t>
        </is>
      </c>
      <c r="AI334" s="27" t="inlineStr">
        <is>
          <t>2024-05-27</t>
        </is>
      </c>
      <c r="AJ334" s="27" t="inlineStr">
        <is>
          <t>QUARANTINED</t>
        </is>
      </c>
      <c r="AK334" s="29" t="inlineStr">
        <is>
          <t>0003971-03.2023.8.16.0119</t>
        </is>
      </c>
      <c r="AL334" s="29" t="inlineStr">
        <is>
          <t>TJPR</t>
        </is>
      </c>
      <c r="AM334" s="29" t="inlineStr">
        <is>
          <t>ACTIVE</t>
        </is>
      </c>
      <c r="AN334" s="29" t="n">
        <v>2023</v>
      </c>
      <c r="AO334" s="29" t="inlineStr">
        <is>
          <t>live case, no plan document yet</t>
        </is>
      </c>
      <c r="AP334" s="29" t="inlineStr">
        <is>
          <t>JAGUAPITA</t>
        </is>
      </c>
      <c r="AQ334" s="29" t="inlineStr">
        <is>
          <t>PR</t>
        </is>
      </c>
      <c r="AR334" s="29" t="inlineStr">
        <is>
          <t>Fabricação de alimentos para animais</t>
        </is>
      </c>
      <c r="AS334" s="29" t="inlineStr">
        <is>
          <t>DEMAIS</t>
        </is>
      </c>
      <c r="AT334" s="29" t="inlineStr">
        <is>
          <t>MID-MARKET</t>
        </is>
      </c>
      <c r="AU334" s="29" t="inlineStr">
        <is>
          <t>10159120</t>
        </is>
      </c>
      <c r="AV334" s="29" t="n">
        <v>1</v>
      </c>
      <c r="AW334" s="29" t="inlineStr">
        <is>
          <t>PARTIAL_DOC_CLASS_III_RECONCILED ROWS:p11r18</t>
        </is>
      </c>
    </row>
    <row r="335">
      <c r="A335" s="15" t="inlineStr">
        <is>
          <t>CITOL INDUSTRIA DE TRATAMENTO DE OLEO S.A.</t>
        </is>
      </c>
      <c r="B335" s="16" t="n">
        <v>385787.79</v>
      </c>
      <c r="C335" s="17" t="inlineStr"/>
      <c r="D335" s="18" t="inlineStr">
        <is>
          <t>NEW</t>
        </is>
      </c>
      <c r="E335" s="19" t="inlineStr"/>
      <c r="F335" s="18" t="inlineStr"/>
      <c r="G335" s="19" t="inlineStr"/>
      <c r="H335" s="18" t="inlineStr"/>
      <c r="I335" s="20" t="inlineStr">
        <is>
          <t>MARCOS ANTONIO BENTO DOMINGUES</t>
        </is>
      </c>
      <c r="J335" s="20" t="inlineStr">
        <is>
          <t>Diretor</t>
        </is>
      </c>
      <c r="K335" s="20" t="inlineStr">
        <is>
          <t>(19) 3806-4535</t>
        </is>
      </c>
      <c r="L335" s="20" t="inlineStr"/>
      <c r="M335" s="20" t="inlineStr"/>
      <c r="N335" s="20" t="inlineStr"/>
      <c r="O335" s="20" t="inlineStr"/>
      <c r="P335" s="20" t="inlineStr"/>
      <c r="Q335" s="20" t="inlineStr"/>
      <c r="R335" s="20" t="inlineStr"/>
      <c r="S335" s="20" t="inlineStr"/>
      <c r="T335" s="21" t="n">
        <v>385787.79</v>
      </c>
      <c r="U335" s="31" t="inlineStr">
        <is>
          <t>C</t>
        </is>
      </c>
      <c r="V335" s="23">
        <f>IFERROR(VLOOKUP(U335,Assumptions!$A$7:$D$11,2,FALSE),0)</f>
        <v/>
      </c>
      <c r="W335" s="24">
        <f>MAX(0.5,IFERROR(VLOOKUP(U335,Assumptions!$A$7:$D$11,3,FALSE),3)+IFERROR(VLOOKUP(U335,Assumptions!$A$7:$D$11,4,FALSE),8)/2-IF(AN335="",0,YEAR(TODAY())-AN335))</f>
        <v/>
      </c>
      <c r="X335" s="21">
        <f>T335*V335/(1+Assumptions!$B$3)^W335</f>
        <v/>
      </c>
      <c r="Y335" s="25">
        <f>IF(T335=0,"",ROUND(X335/T335*100,1))</f>
        <v/>
      </c>
      <c r="Z335" s="26">
        <f>X335*Assumptions!$B$4</f>
        <v/>
      </c>
      <c r="AA335" s="25">
        <f>IF(T335=0,"",ROUND(Z335/T335*100,1))</f>
        <v/>
      </c>
      <c r="AB335" s="26">
        <f>X335-Z335</f>
        <v/>
      </c>
      <c r="AC335" s="25">
        <f>IF(T335=0,"",ROUND((X335-Z335)/T335*100,1))</f>
        <v/>
      </c>
      <c r="AD335" s="27" t="inlineStr">
        <is>
          <t>UNKNOWN</t>
        </is>
      </c>
      <c r="AE335" s="28" t="inlineStr">
        <is>
          <t>https://ajruiz.com.br/sites/default/files/public/arquivos-processos/2024-04/relacao_de_credores_recuperanda_1.pdf</t>
        </is>
      </c>
      <c r="AF335" s="27" t="inlineStr">
        <is>
          <t>p4 r10; p4 r11; p5 r1; p5 r2; p5 r3; p5 r4; p5 r5</t>
        </is>
      </c>
      <c r="AG335" s="27" t="inlineStr">
        <is>
          <t>p4: R$ 114.917,25; p4: R$ 114.917,25; p5: R$ 135.000,00; p5: R$ 135.000,00; p5: R$ 102.604,69; p5: R$ 102.604,69; p5: R$ 33.265,85</t>
        </is>
      </c>
      <c r="AH335" s="27" t="inlineStr">
        <is>
          <t>QGC</t>
        </is>
      </c>
      <c r="AI335" s="27" t="inlineStr">
        <is>
          <t>2024-01-31</t>
        </is>
      </c>
      <c r="AJ335" s="27" t="inlineStr">
        <is>
          <t>OK</t>
        </is>
      </c>
      <c r="AK335" s="29" t="inlineStr">
        <is>
          <t>0000148-67.1996.8.24.0079</t>
        </is>
      </c>
      <c r="AL335" s="29" t="inlineStr">
        <is>
          <t>TJ</t>
        </is>
      </c>
      <c r="AM335" s="29" t="inlineStr"/>
      <c r="AN335" s="29" t="n">
        <v>1996</v>
      </c>
      <c r="AO335" s="29" t="inlineStr">
        <is>
          <t>30y since filing, no plan document</t>
        </is>
      </c>
      <c r="AP335" s="29" t="inlineStr">
        <is>
          <t>MOGI GUACU</t>
        </is>
      </c>
      <c r="AQ335" s="29" t="inlineStr">
        <is>
          <t>SP</t>
        </is>
      </c>
      <c r="AR335" s="29" t="inlineStr">
        <is>
          <t>Fabricação de outros produtos derivados do petróleo, exceto produtos do refino</t>
        </is>
      </c>
      <c r="AS335" s="29" t="inlineStr">
        <is>
          <t>DEMAIS</t>
        </is>
      </c>
      <c r="AT335" s="29" t="inlineStr">
        <is>
          <t>MID-MARKET</t>
        </is>
      </c>
      <c r="AU335" s="29" t="inlineStr">
        <is>
          <t>18933677</t>
        </is>
      </c>
      <c r="AV335" s="29" t="n">
        <v>4</v>
      </c>
      <c r="AW335" s="29" t="inlineStr">
        <is>
          <t>ROWS:p4r10,p5r1,p5r3,p5r5</t>
        </is>
      </c>
    </row>
    <row r="336">
      <c r="A336" s="15" t="inlineStr">
        <is>
          <t>EMPRESA BRASILEIRA DE BENEFICIOS E PAGAMENTOS INSTITUICAO DE PAGAMENTO LTDA</t>
        </is>
      </c>
      <c r="B336" s="16" t="n">
        <v>336951.3</v>
      </c>
      <c r="C336" s="17" t="inlineStr">
        <is>
          <t>REAL DISTRIBUIDORA ÚNICA RIO COMÉRCIO DE REFRIGERAÇÃO LTDA</t>
        </is>
      </c>
      <c r="D336" s="18" t="inlineStr">
        <is>
          <t>NEW</t>
        </is>
      </c>
      <c r="E336" s="19" t="inlineStr"/>
      <c r="F336" s="18" t="inlineStr"/>
      <c r="G336" s="19" t="inlineStr"/>
      <c r="H336" s="18" t="inlineStr"/>
      <c r="I336" s="20" t="inlineStr">
        <is>
          <t>EDUARDO BRAZ DEL GIGLIO</t>
        </is>
      </c>
      <c r="J336" s="20" t="inlineStr">
        <is>
          <t>Administrador</t>
        </is>
      </c>
      <c r="K336" s="20" t="inlineStr">
        <is>
          <t>(11) 9999-9999</t>
        </is>
      </c>
      <c r="L336" s="20" t="inlineStr"/>
      <c r="M336" s="20" t="inlineStr"/>
      <c r="N336" s="20" t="inlineStr"/>
      <c r="O336" s="20" t="inlineStr"/>
      <c r="P336" s="20" t="inlineStr">
        <is>
          <t>GABRIEL RAMIREZ COELHO</t>
        </is>
      </c>
      <c r="Q336" s="20" t="inlineStr">
        <is>
          <t>Administrador</t>
        </is>
      </c>
      <c r="R336" s="20" t="inlineStr">
        <is>
          <t>(11) 9999-9999</t>
        </is>
      </c>
      <c r="S336" s="20" t="inlineStr"/>
      <c r="T336" s="21" t="n">
        <v>336951.3</v>
      </c>
      <c r="U336" s="22" t="inlineStr">
        <is>
          <t>B</t>
        </is>
      </c>
      <c r="V336" s="23">
        <f>IFERROR(VLOOKUP(U336,Assumptions!$A$7:$D$11,2,FALSE),0)</f>
        <v/>
      </c>
      <c r="W336" s="24">
        <f>MAX(0.5,IFERROR(VLOOKUP(U336,Assumptions!$A$7:$D$11,3,FALSE),3)+IFERROR(VLOOKUP(U336,Assumptions!$A$7:$D$11,4,FALSE),8)/2-IF(AN336="",0,YEAR(TODAY())-AN336))</f>
        <v/>
      </c>
      <c r="X336" s="21">
        <f>T336*V336/(1+Assumptions!$B$3)^W336</f>
        <v/>
      </c>
      <c r="Y336" s="25">
        <f>IF(T336=0,"",ROUND(X336/T336*100,1))</f>
        <v/>
      </c>
      <c r="Z336" s="26">
        <f>X336*Assumptions!$B$4</f>
        <v/>
      </c>
      <c r="AA336" s="25">
        <f>IF(T336=0,"",ROUND(Z336/T336*100,1))</f>
        <v/>
      </c>
      <c r="AB336" s="26">
        <f>X336-Z336</f>
        <v/>
      </c>
      <c r="AC336" s="25">
        <f>IF(T336=0,"",ROUND((X336-Z336)/T336*100,1))</f>
        <v/>
      </c>
      <c r="AD336" s="27" t="inlineStr">
        <is>
          <t>UNKNOWN</t>
        </is>
      </c>
      <c r="AE336" s="28" t="inlineStr">
        <is>
          <t>https://inova-aj.com.br/wp-content/uploads/2026/08/1a-Relacao-de-Credores-Real.pdf</t>
        </is>
      </c>
      <c r="AF336" s="27" t="inlineStr">
        <is>
          <t>p1 r28</t>
        </is>
      </c>
      <c r="AG336" s="27" t="inlineStr">
        <is>
          <t>p1: R$ 336.951,30</t>
        </is>
      </c>
      <c r="AH336" s="27" t="inlineStr">
        <is>
          <t>AJ_LIST</t>
        </is>
      </c>
      <c r="AI336" s="27" t="inlineStr">
        <is>
          <t>2023-06-05</t>
        </is>
      </c>
      <c r="AJ336" s="27" t="inlineStr">
        <is>
          <t>OK</t>
        </is>
      </c>
      <c r="AK336" s="29" t="inlineStr">
        <is>
          <t>0873061-47.2023.8.19.0001</t>
        </is>
      </c>
      <c r="AL336" s="29" t="inlineStr">
        <is>
          <t>TJ</t>
        </is>
      </c>
      <c r="AM336" s="29" t="inlineStr"/>
      <c r="AN336" s="29" t="n">
        <v>2023</v>
      </c>
      <c r="AO336" s="29" t="inlineStr">
        <is>
          <t>live case, no plan document yet</t>
        </is>
      </c>
      <c r="AP336" s="29" t="inlineStr">
        <is>
          <t>SAO PAULO</t>
        </is>
      </c>
      <c r="AQ336" s="29" t="inlineStr">
        <is>
          <t>SP</t>
        </is>
      </c>
      <c r="AR336" s="29" t="inlineStr">
        <is>
          <t>Emissão de vales-alimentação, vales-transporte e similares</t>
        </is>
      </c>
      <c r="AS336" s="29" t="inlineStr">
        <is>
          <t>DEMAIS</t>
        </is>
      </c>
      <c r="AT336" s="29" t="inlineStr">
        <is>
          <t>LARGE CORP</t>
        </is>
      </c>
      <c r="AU336" s="29" t="inlineStr">
        <is>
          <t>33449007</t>
        </is>
      </c>
      <c r="AV336" s="29" t="n">
        <v>1</v>
      </c>
      <c r="AW336" s="29" t="inlineStr">
        <is>
          <t>ALT_VALUE:R$245.000,00 ROWS:p1r28</t>
        </is>
      </c>
    </row>
    <row r="337">
      <c r="A337" s="15" t="inlineStr">
        <is>
          <t>CALMAP INDUSTRIA DE CALCARIO LTDA</t>
        </is>
      </c>
      <c r="B337" s="16" t="n">
        <v>526042.9300000001</v>
      </c>
      <c r="C337" s="17" t="inlineStr">
        <is>
          <t>NORTESUL COMERCIAL AGRICOLA LTDA EM RECUPERACAO JUDICIAL</t>
        </is>
      </c>
      <c r="D337" s="18" t="inlineStr">
        <is>
          <t>NEW</t>
        </is>
      </c>
      <c r="E337" s="19" t="inlineStr"/>
      <c r="F337" s="18" t="inlineStr"/>
      <c r="G337" s="19" t="inlineStr"/>
      <c r="H337" s="18" t="inlineStr"/>
      <c r="I337" s="20" t="inlineStr">
        <is>
          <t>Eduardo Silva</t>
        </is>
      </c>
      <c r="J337" s="20" t="inlineStr">
        <is>
          <t>Administrative Supervisor</t>
        </is>
      </c>
      <c r="K337" s="20" t="inlineStr">
        <is>
          <t>(85) 3082-0505</t>
        </is>
      </c>
      <c r="L337" s="20" t="inlineStr"/>
      <c r="M337" s="20" t="inlineStr"/>
      <c r="N337" s="20" t="inlineStr">
        <is>
          <t>eduardo@calmap.com.br</t>
        </is>
      </c>
      <c r="O337" s="20" t="inlineStr">
        <is>
          <t>julio@calmap.com.br</t>
        </is>
      </c>
      <c r="P337" s="20" t="inlineStr">
        <is>
          <t>Julio Costa</t>
        </is>
      </c>
      <c r="Q337" s="20" t="inlineStr">
        <is>
          <t>Analista Financeiro ll</t>
        </is>
      </c>
      <c r="R337" s="20" t="inlineStr"/>
      <c r="S337" s="20" t="inlineStr">
        <is>
          <t>julio@calmap.com.br</t>
        </is>
      </c>
      <c r="T337" s="21" t="n">
        <v>526042.9300000001</v>
      </c>
      <c r="U337" s="22" t="inlineStr">
        <is>
          <t>B</t>
        </is>
      </c>
      <c r="V337" s="23">
        <f>IFERROR(VLOOKUP(U337,Assumptions!$A$7:$D$11,2,FALSE),0)</f>
        <v/>
      </c>
      <c r="W337" s="24">
        <f>MAX(0.5,IFERROR(VLOOKUP(U337,Assumptions!$A$7:$D$11,3,FALSE),3)+IFERROR(VLOOKUP(U337,Assumptions!$A$7:$D$11,4,FALSE),8)/2-IF(AN337="",0,YEAR(TODAY())-AN337))</f>
        <v/>
      </c>
      <c r="X337" s="21">
        <f>T337*V337/(1+Assumptions!$B$3)^W337</f>
        <v/>
      </c>
      <c r="Y337" s="25">
        <f>IF(T337=0,"",ROUND(X337/T337*100,1))</f>
        <v/>
      </c>
      <c r="Z337" s="26">
        <f>X337*Assumptions!$B$4</f>
        <v/>
      </c>
      <c r="AA337" s="25">
        <f>IF(T337=0,"",ROUND(Z337/T337*100,1))</f>
        <v/>
      </c>
      <c r="AB337" s="26">
        <f>X337-Z337</f>
        <v/>
      </c>
      <c r="AC337" s="25">
        <f>IF(T337=0,"",ROUND((X337-Z337)/T337*100,1))</f>
        <v/>
      </c>
      <c r="AD337" s="27" t="inlineStr">
        <is>
          <t>ESTIMATED</t>
        </is>
      </c>
      <c r="AE337" s="28" t="inlineStr">
        <is>
          <t>https://lrflideres.com.br/wp-content/plugins/download-attachments/includes/download.php?id=6879</t>
        </is>
      </c>
      <c r="AF337" s="27" t="inlineStr">
        <is>
          <t>p1 r8</t>
        </is>
      </c>
      <c r="AG337" s="27" t="inlineStr">
        <is>
          <t>p1: R$ 526.042,93</t>
        </is>
      </c>
      <c r="AH337" s="27" t="inlineStr">
        <is>
          <t>AJ_LIST</t>
        </is>
      </c>
      <c r="AI337" s="27" t="inlineStr">
        <is>
          <t>2026-01-15</t>
        </is>
      </c>
      <c r="AJ337" s="27" t="inlineStr">
        <is>
          <t>OK</t>
        </is>
      </c>
      <c r="AK337" s="29" t="inlineStr">
        <is>
          <t>0804401-51.2025.8.14.0039</t>
        </is>
      </c>
      <c r="AL337" s="29" t="inlineStr">
        <is>
          <t>TJPA</t>
        </is>
      </c>
      <c r="AM337" s="29" t="inlineStr">
        <is>
          <t>ACTIVE</t>
        </is>
      </c>
      <c r="AN337" s="29" t="n">
        <v>2025</v>
      </c>
      <c r="AO337" s="29" t="inlineStr">
        <is>
          <t>live case, no plan document yet</t>
        </is>
      </c>
      <c r="AP337" s="29" t="inlineStr">
        <is>
          <t>SAO GERALDO DO ARAGUAIA</t>
        </is>
      </c>
      <c r="AQ337" s="29" t="inlineStr">
        <is>
          <t>PA</t>
        </is>
      </c>
      <c r="AR337" s="29" t="inlineStr">
        <is>
          <t>Extração de minerais para fabricação de adubos, fertilizantes e outros produtos químicos</t>
        </is>
      </c>
      <c r="AS337" s="29" t="inlineStr">
        <is>
          <t>DEMAIS</t>
        </is>
      </c>
      <c r="AT337" s="29" t="inlineStr">
        <is>
          <t>MID-MARKET</t>
        </is>
      </c>
      <c r="AU337" s="29" t="inlineStr">
        <is>
          <t>10962529</t>
        </is>
      </c>
      <c r="AV337" s="29" t="n">
        <v>1</v>
      </c>
      <c r="AW337" s="29" t="inlineStr">
        <is>
          <t>ROWS:p1r8</t>
        </is>
      </c>
    </row>
    <row r="338">
      <c r="A338" s="15" t="inlineStr">
        <is>
          <t>COOPERATIVA REGIONAL AGROPECUARIA DE CAMPOS NOVOS - COPERCAMPOS</t>
        </is>
      </c>
      <c r="B338" s="16" t="n">
        <v>418883.74</v>
      </c>
      <c r="C338" s="17" t="inlineStr"/>
      <c r="D338" s="18" t="inlineStr">
        <is>
          <t>NEW</t>
        </is>
      </c>
      <c r="E338" s="19" t="inlineStr"/>
      <c r="F338" s="18" t="inlineStr"/>
      <c r="G338" s="19" t="inlineStr"/>
      <c r="H338" s="18" t="inlineStr"/>
      <c r="I338" s="20" t="inlineStr">
        <is>
          <t>Julio Wickert</t>
        </is>
      </c>
      <c r="J338" s="20" t="inlineStr">
        <is>
          <t>Executive Director</t>
        </is>
      </c>
      <c r="K338" s="20" t="inlineStr">
        <is>
          <t>(49) 3541-6000</t>
        </is>
      </c>
      <c r="L338" s="20" t="inlineStr">
        <is>
          <t>(49) 3541-6033</t>
        </is>
      </c>
      <c r="M338" s="20" t="inlineStr"/>
      <c r="N338" s="20" t="inlineStr">
        <is>
          <t>julio.wickert@copercampos.com.br</t>
        </is>
      </c>
      <c r="O338" s="20" t="inlineStr"/>
      <c r="P338" s="20" t="inlineStr">
        <is>
          <t>Laerte Junior</t>
        </is>
      </c>
      <c r="Q338" s="20" t="inlineStr">
        <is>
          <t>Diretor Insumos / Dpto Técnico</t>
        </is>
      </c>
      <c r="R338" s="20" t="inlineStr"/>
      <c r="S338" s="20" t="inlineStr"/>
      <c r="T338" s="21" t="n">
        <v>418883.74</v>
      </c>
      <c r="U338" s="22" t="inlineStr">
        <is>
          <t>B</t>
        </is>
      </c>
      <c r="V338" s="23">
        <f>IFERROR(VLOOKUP(U338,Assumptions!$A$7:$D$11,2,FALSE),0)</f>
        <v/>
      </c>
      <c r="W338" s="24">
        <f>MAX(0.5,IFERROR(VLOOKUP(U338,Assumptions!$A$7:$D$11,3,FALSE),3)+IFERROR(VLOOKUP(U338,Assumptions!$A$7:$D$11,4,FALSE),8)/2-IF(AN338="",0,YEAR(TODAY())-AN338))</f>
        <v/>
      </c>
      <c r="X338" s="21">
        <f>T338*V338/(1+Assumptions!$B$3)^W338</f>
        <v/>
      </c>
      <c r="Y338" s="25">
        <f>IF(T338=0,"",ROUND(X338/T338*100,1))</f>
        <v/>
      </c>
      <c r="Z338" s="26">
        <f>X338*Assumptions!$B$4</f>
        <v/>
      </c>
      <c r="AA338" s="25">
        <f>IF(T338=0,"",ROUND(Z338/T338*100,1))</f>
        <v/>
      </c>
      <c r="AB338" s="26">
        <f>X338-Z338</f>
        <v/>
      </c>
      <c r="AC338" s="25">
        <f>IF(T338=0,"",ROUND((X338-Z338)/T338*100,1))</f>
        <v/>
      </c>
      <c r="AD338" s="27" t="inlineStr">
        <is>
          <t>ESTIMATED</t>
        </is>
      </c>
      <c r="AE338" s="28" t="inlineStr">
        <is>
          <t>https://rlg-aj.com.br/wp-content/uploads/2024/11/07.-Relação-de-credores.pdf</t>
        </is>
      </c>
      <c r="AF338" s="27" t="inlineStr">
        <is>
          <t>p1 r25</t>
        </is>
      </c>
      <c r="AG338" s="27" t="inlineStr">
        <is>
          <t>p1: R$ 418.883,74</t>
        </is>
      </c>
      <c r="AH338" s="27" t="inlineStr">
        <is>
          <t>UNKNOWN</t>
        </is>
      </c>
      <c r="AI338" s="27" t="inlineStr"/>
      <c r="AJ338" s="27" t="inlineStr">
        <is>
          <t>OK_NO_TOTALS</t>
        </is>
      </c>
      <c r="AK338" s="29" t="inlineStr">
        <is>
          <t>5009149-92.2024.8.24.0019</t>
        </is>
      </c>
      <c r="AL338" s="29" t="inlineStr">
        <is>
          <t>TJSC</t>
        </is>
      </c>
      <c r="AM338" s="29" t="inlineStr">
        <is>
          <t>ACTIVE</t>
        </is>
      </c>
      <c r="AN338" s="29" t="n">
        <v>2024</v>
      </c>
      <c r="AO338" s="29" t="inlineStr">
        <is>
          <t>live case, no plan document yet</t>
        </is>
      </c>
      <c r="AP338" s="29" t="inlineStr">
        <is>
          <t>CAMPOS NOVOS</t>
        </is>
      </c>
      <c r="AQ338" s="29" t="inlineStr">
        <is>
          <t>SC</t>
        </is>
      </c>
      <c r="AR338" s="29" t="inlineStr">
        <is>
          <t>Representantes comerciais e agentes do comércio de matérias-primas agrícolas e animais vivos</t>
        </is>
      </c>
      <c r="AS338" s="29" t="inlineStr">
        <is>
          <t>DEMAIS</t>
        </is>
      </c>
      <c r="AT338" s="29" t="inlineStr">
        <is>
          <t>MID-MARKET</t>
        </is>
      </c>
      <c r="AU338" s="29" t="inlineStr">
        <is>
          <t>83158824</t>
        </is>
      </c>
      <c r="AV338" s="29" t="n">
        <v>1</v>
      </c>
      <c r="AW338" s="29" t="inlineStr">
        <is>
          <t>ROWS:p1r25 UNRECONCILED_SOURCE</t>
        </is>
      </c>
    </row>
    <row r="339">
      <c r="A339" s="15" t="inlineStr">
        <is>
          <t>AT PLAN ASSISTENCIA TECNICA PLANEJ E MONTAGENS LTDA</t>
        </is>
      </c>
      <c r="B339" s="16" t="n">
        <v>980241.47</v>
      </c>
      <c r="C339" s="17" t="inlineStr">
        <is>
          <t>EGESA ENGENHARIA S/A (Consórcio ETDI)</t>
        </is>
      </c>
      <c r="D339" s="18" t="inlineStr">
        <is>
          <t>NEW</t>
        </is>
      </c>
      <c r="E339" s="19" t="inlineStr"/>
      <c r="F339" s="18" t="inlineStr"/>
      <c r="G339" s="19" t="inlineStr"/>
      <c r="H339" s="18" t="inlineStr"/>
      <c r="I339" s="20" t="inlineStr">
        <is>
          <t>NEWTON AMARES BUENO</t>
        </is>
      </c>
      <c r="J339" s="20" t="inlineStr">
        <is>
          <t>Sócio-Administrador</t>
        </is>
      </c>
      <c r="K339" s="20" t="inlineStr">
        <is>
          <t>(11) 3837-9673</t>
        </is>
      </c>
      <c r="L339" s="20" t="inlineStr"/>
      <c r="M339" s="20" t="inlineStr"/>
      <c r="N339" s="20" t="inlineStr"/>
      <c r="O339" s="20" t="inlineStr"/>
      <c r="P339" s="20" t="inlineStr"/>
      <c r="Q339" s="20" t="inlineStr"/>
      <c r="R339" s="20" t="inlineStr"/>
      <c r="S339" s="20" t="inlineStr"/>
      <c r="T339" s="21" t="n">
        <v>980241.47</v>
      </c>
      <c r="U339" s="30" t="inlineStr">
        <is>
          <t>?</t>
        </is>
      </c>
      <c r="V339" s="23">
        <f>IFERROR(VLOOKUP(U339,Assumptions!$A$7:$D$11,2,FALSE),0)</f>
        <v/>
      </c>
      <c r="W339" s="24">
        <f>MAX(0.5,IFERROR(VLOOKUP(U339,Assumptions!$A$7:$D$11,3,FALSE),3)+IFERROR(VLOOKUP(U339,Assumptions!$A$7:$D$11,4,FALSE),8)/2-IF(AN339="",0,YEAR(TODAY())-AN339))</f>
        <v/>
      </c>
      <c r="X339" s="21">
        <f>T339*V339/(1+Assumptions!$B$3)^W339</f>
        <v/>
      </c>
      <c r="Y339" s="25">
        <f>IF(T339=0,"",ROUND(X339/T339*100,1))</f>
        <v/>
      </c>
      <c r="Z339" s="26">
        <f>X339*Assumptions!$B$4</f>
        <v/>
      </c>
      <c r="AA339" s="25">
        <f>IF(T339=0,"",ROUND(Z339/T339*100,1))</f>
        <v/>
      </c>
      <c r="AB339" s="26">
        <f>X339-Z339</f>
        <v/>
      </c>
      <c r="AC339" s="25">
        <f>IF(T339=0,"",ROUND((X339-Z339)/T339*100,1))</f>
        <v/>
      </c>
      <c r="AD339" s="27" t="inlineStr">
        <is>
          <t>UNKNOWN</t>
        </is>
      </c>
      <c r="AE339" s="28" t="inlineStr">
        <is>
          <t>https://scalzilliaj.com.br/sgc/download.php?file=files/processo_documento/processo_documento09514021082025_1_.pdf&amp;nome=04 - Relação de credores das Recuperandas</t>
        </is>
      </c>
      <c r="AF339" s="27" t="inlineStr">
        <is>
          <t>p62 r13</t>
        </is>
      </c>
      <c r="AG339" s="27" t="inlineStr">
        <is>
          <t>p62: R$ 980.241,47</t>
        </is>
      </c>
      <c r="AH339" s="27" t="inlineStr">
        <is>
          <t>DEBTOR_LIST</t>
        </is>
      </c>
      <c r="AI339" s="27" t="inlineStr"/>
      <c r="AJ339" s="27" t="inlineStr">
        <is>
          <t>OK</t>
        </is>
      </c>
      <c r="AK339" s="29" t="inlineStr">
        <is>
          <t>(not printed)</t>
        </is>
      </c>
      <c r="AL339" s="29" t="inlineStr"/>
      <c r="AM339" s="29" t="inlineStr"/>
      <c r="AN339" s="29" t="inlineStr"/>
      <c r="AO339" s="29" t="inlineStr">
        <is>
          <t>RJ case number not identified on the document</t>
        </is>
      </c>
      <c r="AP339" s="29" t="inlineStr">
        <is>
          <t>SANTANA DE PARNAIBA</t>
        </is>
      </c>
      <c r="AQ339" s="29" t="inlineStr">
        <is>
          <t>SP</t>
        </is>
      </c>
      <c r="AR339" s="29" t="inlineStr">
        <is>
          <t>Manutenção e reparação de máquinas e aparelhos de refrigeração e ventilação para uso industrial e comercial</t>
        </is>
      </c>
      <c r="AS339" s="29" t="inlineStr">
        <is>
          <t>DEMAIS</t>
        </is>
      </c>
      <c r="AT339" s="29" t="inlineStr">
        <is>
          <t>MID-MARKET</t>
        </is>
      </c>
      <c r="AU339" s="29" t="inlineStr">
        <is>
          <t>58099458</t>
        </is>
      </c>
      <c r="AV339" s="29" t="n">
        <v>1</v>
      </c>
      <c r="AW339" s="29" t="inlineStr">
        <is>
          <t>ROWS:p62r13 VALUE_COL:Valor_Atualizado CASE_NUMBER_CORRECTED</t>
        </is>
      </c>
    </row>
    <row r="340">
      <c r="A340" s="15" t="inlineStr">
        <is>
          <t>LOGIKA DISTRIBUIDORA DE COSMETICOS LTDA</t>
        </is>
      </c>
      <c r="B340" s="16" t="n">
        <v>332242.27</v>
      </c>
      <c r="C340" s="17" t="inlineStr">
        <is>
          <t>VEV COMERCIO DE MEDICAMENTOS LTDA EM RECUPERACAO JUDICIAL</t>
        </is>
      </c>
      <c r="D340" s="18" t="inlineStr">
        <is>
          <t>NEW</t>
        </is>
      </c>
      <c r="E340" s="19" t="inlineStr"/>
      <c r="F340" s="18" t="inlineStr"/>
      <c r="G340" s="19" t="inlineStr"/>
      <c r="H340" s="18" t="inlineStr"/>
      <c r="I340" s="20" t="inlineStr">
        <is>
          <t>NEWTON BONIN</t>
        </is>
      </c>
      <c r="J340" s="20" t="inlineStr">
        <is>
          <t>Administrador</t>
        </is>
      </c>
      <c r="K340" s="20" t="inlineStr">
        <is>
          <t>(41) 3375-2000</t>
        </is>
      </c>
      <c r="L340" s="20" t="inlineStr"/>
      <c r="M340" s="20" t="inlineStr"/>
      <c r="N340" s="20" t="inlineStr"/>
      <c r="O340" s="20" t="inlineStr"/>
      <c r="P340" s="20" t="inlineStr"/>
      <c r="Q340" s="20" t="inlineStr"/>
      <c r="R340" s="20" t="inlineStr"/>
      <c r="S340" s="20" t="inlineStr"/>
      <c r="T340" s="21" t="n">
        <v>332242.27</v>
      </c>
      <c r="U340" s="22" t="inlineStr">
        <is>
          <t>B</t>
        </is>
      </c>
      <c r="V340" s="23">
        <f>IFERROR(VLOOKUP(U340,Assumptions!$A$7:$D$11,2,FALSE),0)</f>
        <v/>
      </c>
      <c r="W340" s="24">
        <f>MAX(0.5,IFERROR(VLOOKUP(U340,Assumptions!$A$7:$D$11,3,FALSE),3)+IFERROR(VLOOKUP(U340,Assumptions!$A$7:$D$11,4,FALSE),8)/2-IF(AN340="",0,YEAR(TODAY())-AN340))</f>
        <v/>
      </c>
      <c r="X340" s="21">
        <f>T340*V340/(1+Assumptions!$B$3)^W340</f>
        <v/>
      </c>
      <c r="Y340" s="25">
        <f>IF(T340=0,"",ROUND(X340/T340*100,1))</f>
        <v/>
      </c>
      <c r="Z340" s="26">
        <f>X340*Assumptions!$B$4</f>
        <v/>
      </c>
      <c r="AA340" s="25">
        <f>IF(T340=0,"",ROUND(Z340/T340*100,1))</f>
        <v/>
      </c>
      <c r="AB340" s="26">
        <f>X340-Z340</f>
        <v/>
      </c>
      <c r="AC340" s="25">
        <f>IF(T340=0,"",ROUND((X340-Z340)/T340*100,1))</f>
        <v/>
      </c>
      <c r="AD340" s="27" t="inlineStr">
        <is>
          <t>ESTIMATED</t>
        </is>
      </c>
      <c r="AE340" s="28" t="inlineStr">
        <is>
          <t>https://marquesadmjudicial.com.br/sgc/download.php?file=files/processo_documento/processo_documento15293208032024_1_.pdf&amp;nome=Relação Nominal de Credores da AJ-Sintética</t>
        </is>
      </c>
      <c r="AF340" s="27" t="inlineStr">
        <is>
          <t>p28 r8</t>
        </is>
      </c>
      <c r="AG340" s="27" t="inlineStr">
        <is>
          <t>p28: R$ 332.242,27</t>
        </is>
      </c>
      <c r="AH340" s="27" t="inlineStr">
        <is>
          <t>AJ_LIST</t>
        </is>
      </c>
      <c r="AI340" s="27" t="inlineStr">
        <is>
          <t>2023-03-02</t>
        </is>
      </c>
      <c r="AJ340" s="27" t="inlineStr">
        <is>
          <t>QUARANTINED</t>
        </is>
      </c>
      <c r="AK340" s="29" t="inlineStr">
        <is>
          <t>0005010-98.2023.8.16.0001</t>
        </is>
      </c>
      <c r="AL340" s="29" t="inlineStr">
        <is>
          <t>TJPR</t>
        </is>
      </c>
      <c r="AM340" s="29" t="inlineStr">
        <is>
          <t>ACTIVE</t>
        </is>
      </c>
      <c r="AN340" s="29" t="n">
        <v>2023</v>
      </c>
      <c r="AO340" s="29" t="inlineStr">
        <is>
          <t>live case, no plan document yet</t>
        </is>
      </c>
      <c r="AP340" s="29" t="inlineStr">
        <is>
          <t>SAO JOSE DOS PINHAIS</t>
        </is>
      </c>
      <c r="AQ340" s="29" t="inlineStr">
        <is>
          <t>PR</t>
        </is>
      </c>
      <c r="AR340" s="29" t="inlineStr">
        <is>
          <t>Comércio atacadista de cosméticos e produtos de perfumaria</t>
        </is>
      </c>
      <c r="AS340" s="29" t="inlineStr">
        <is>
          <t>DEMAIS</t>
        </is>
      </c>
      <c r="AT340" s="29" t="inlineStr">
        <is>
          <t>MID-MARKET</t>
        </is>
      </c>
      <c r="AU340" s="29" t="inlineStr">
        <is>
          <t>06222722</t>
        </is>
      </c>
      <c r="AV340" s="29" t="n">
        <v>1</v>
      </c>
      <c r="AW340" s="29" t="inlineStr">
        <is>
          <t>PARTIAL_DOC_CLASS_III_RECONCILED ROWS:p28r8</t>
        </is>
      </c>
    </row>
    <row r="341">
      <c r="A341" s="15" t="inlineStr">
        <is>
          <t>POLIMIX CONCRETO LTDA</t>
        </is>
      </c>
      <c r="B341" s="16" t="n">
        <v>518509.3</v>
      </c>
      <c r="C341" s="17" t="inlineStr">
        <is>
          <t>BIGOLIN MATERIAIS DE CONSTRUCAO LTDA</t>
        </is>
      </c>
      <c r="D341" s="18" t="inlineStr">
        <is>
          <t>NEW</t>
        </is>
      </c>
      <c r="E341" s="19" t="inlineStr"/>
      <c r="F341" s="18" t="inlineStr"/>
      <c r="G341" s="19" t="inlineStr"/>
      <c r="H341" s="18" t="inlineStr"/>
      <c r="I341" s="20" t="inlineStr">
        <is>
          <t>ALCINDO ANTONIO CHRUSCIELSKI</t>
        </is>
      </c>
      <c r="J341" s="20" t="inlineStr">
        <is>
          <t>Administrador</t>
        </is>
      </c>
      <c r="K341" s="20" t="inlineStr">
        <is>
          <t>(11) 4168-0300</t>
        </is>
      </c>
      <c r="L341" s="20" t="inlineStr"/>
      <c r="M341" s="20" t="inlineStr"/>
      <c r="N341" s="20" t="inlineStr"/>
      <c r="O341" s="20" t="inlineStr"/>
      <c r="P341" s="20" t="inlineStr">
        <is>
          <t>ANDERSON JOSE MESSIAS</t>
        </is>
      </c>
      <c r="Q341" s="20" t="inlineStr">
        <is>
          <t>Administrador</t>
        </is>
      </c>
      <c r="R341" s="20" t="inlineStr">
        <is>
          <t>(11) 4168-0300</t>
        </is>
      </c>
      <c r="S341" s="20" t="inlineStr"/>
      <c r="T341" s="21" t="n">
        <v>518509.3</v>
      </c>
      <c r="U341" s="22" t="inlineStr">
        <is>
          <t>B</t>
        </is>
      </c>
      <c r="V341" s="23">
        <f>IFERROR(VLOOKUP(U341,Assumptions!$A$7:$D$11,2,FALSE),0)</f>
        <v/>
      </c>
      <c r="W341" s="24">
        <f>MAX(0.5,IFERROR(VLOOKUP(U341,Assumptions!$A$7:$D$11,3,FALSE),3)+IFERROR(VLOOKUP(U341,Assumptions!$A$7:$D$11,4,FALSE),8)/2-IF(AN341="",0,YEAR(TODAY())-AN341))</f>
        <v/>
      </c>
      <c r="X341" s="21">
        <f>T341*V341/(1+Assumptions!$B$3)^W341</f>
        <v/>
      </c>
      <c r="Y341" s="25">
        <f>IF(T341=0,"",ROUND(X341/T341*100,1))</f>
        <v/>
      </c>
      <c r="Z341" s="26">
        <f>X341*Assumptions!$B$4</f>
        <v/>
      </c>
      <c r="AA341" s="25">
        <f>IF(T341=0,"",ROUND(Z341/T341*100,1))</f>
        <v/>
      </c>
      <c r="AB341" s="26">
        <f>X341-Z341</f>
        <v/>
      </c>
      <c r="AC341" s="25">
        <f>IF(T341=0,"",ROUND((X341-Z341)/T341*100,1))</f>
        <v/>
      </c>
      <c r="AD341" s="27" t="inlineStr">
        <is>
          <t>ESTIMATED</t>
        </is>
      </c>
      <c r="AE341" s="28" t="inlineStr">
        <is>
          <t>https://ativosajce.com.br/admin/download.php?file=files/processo_documento/processo_documento16022716122025_1_.pdf&amp;nome=Relação de credores - art. 52, §1º da Lei 11.101/05 - 15/12/2025</t>
        </is>
      </c>
      <c r="AF341" s="27" t="inlineStr">
        <is>
          <t>p4 r6; p4 r7; p4 r8; p4 r9</t>
        </is>
      </c>
      <c r="AG341" s="27" t="inlineStr">
        <is>
          <t>p4: R$ 495.329,01; p4: R$ 21.359,40; p4: R$ 1.200,00; p4: R$ 620,89</t>
        </is>
      </c>
      <c r="AH341" s="27" t="inlineStr">
        <is>
          <t>UNKNOWN</t>
        </is>
      </c>
      <c r="AI341" s="27" t="inlineStr"/>
      <c r="AJ341" s="27" t="inlineStr">
        <is>
          <t>OK_NO_TOTALS</t>
        </is>
      </c>
      <c r="AK341" s="29" t="inlineStr">
        <is>
          <t>4054599-35.2025.8.26.0100</t>
        </is>
      </c>
      <c r="AL341" s="29" t="inlineStr">
        <is>
          <t>TJSP</t>
        </is>
      </c>
      <c r="AM341" s="29" t="inlineStr">
        <is>
          <t>ACTIVE</t>
        </is>
      </c>
      <c r="AN341" s="29" t="n">
        <v>2025</v>
      </c>
      <c r="AO341" s="29" t="inlineStr">
        <is>
          <t>live case, no plan document yet</t>
        </is>
      </c>
      <c r="AP341" s="29" t="inlineStr">
        <is>
          <t>SANTANA DE PARNAIBA</t>
        </is>
      </c>
      <c r="AQ341" s="29" t="inlineStr">
        <is>
          <t>SP</t>
        </is>
      </c>
      <c r="AR341" s="29" t="inlineStr">
        <is>
          <t>Serviços combinados de escritório e apoio administrativo</t>
        </is>
      </c>
      <c r="AS341" s="29" t="inlineStr">
        <is>
          <t>DEMAIS</t>
        </is>
      </c>
      <c r="AT341" s="29" t="inlineStr">
        <is>
          <t>LARGE CORP</t>
        </is>
      </c>
      <c r="AU341" s="29" t="inlineStr">
        <is>
          <t>29067113</t>
        </is>
      </c>
      <c r="AV341" s="29" t="n">
        <v>4</v>
      </c>
      <c r="AW341" s="29" t="inlineStr">
        <is>
          <t>ROWS:p4r6,p4r7,p4r8,p4r9 UNRECONCILED_SOURCE</t>
        </is>
      </c>
    </row>
    <row r="342">
      <c r="A342" s="15" t="inlineStr">
        <is>
          <t>CERAMICA SERRA AZUL LTDA</t>
        </is>
      </c>
      <c r="B342" s="16" t="n">
        <v>414186.52</v>
      </c>
      <c r="C342" s="17" t="inlineStr">
        <is>
          <t>Reu, registrado civilmente como José Renaldo dos</t>
        </is>
      </c>
      <c r="D342" s="18" t="inlineStr">
        <is>
          <t>NEW</t>
        </is>
      </c>
      <c r="E342" s="19" t="inlineStr"/>
      <c r="F342" s="18" t="inlineStr"/>
      <c r="G342" s="19" t="inlineStr"/>
      <c r="H342" s="18" t="inlineStr"/>
      <c r="I342" s="20" t="inlineStr">
        <is>
          <t>EDUARDO FIOR</t>
        </is>
      </c>
      <c r="J342" s="20" t="inlineStr">
        <is>
          <t>Administrador</t>
        </is>
      </c>
      <c r="K342" s="20" t="inlineStr">
        <is>
          <t>(79) 3213-1483</t>
        </is>
      </c>
      <c r="L342" s="20" t="inlineStr"/>
      <c r="M342" s="20" t="inlineStr"/>
      <c r="N342" s="20" t="inlineStr"/>
      <c r="O342" s="20" t="inlineStr"/>
      <c r="P342" s="20" t="inlineStr">
        <is>
          <t>ITAMAR ARRAIS FIOR</t>
        </is>
      </c>
      <c r="Q342" s="20" t="inlineStr">
        <is>
          <t>Administrador</t>
        </is>
      </c>
      <c r="R342" s="20" t="inlineStr">
        <is>
          <t>(79) 3213-1483</t>
        </is>
      </c>
      <c r="S342" s="20" t="inlineStr"/>
      <c r="T342" s="21" t="n">
        <v>414186.52</v>
      </c>
      <c r="U342" s="22" t="inlineStr">
        <is>
          <t>B</t>
        </is>
      </c>
      <c r="V342" s="23">
        <f>IFERROR(VLOOKUP(U342,Assumptions!$A$7:$D$11,2,FALSE),0)</f>
        <v/>
      </c>
      <c r="W342" s="24">
        <f>MAX(0.5,IFERROR(VLOOKUP(U342,Assumptions!$A$7:$D$11,3,FALSE),3)+IFERROR(VLOOKUP(U342,Assumptions!$A$7:$D$11,4,FALSE),8)/2-IF(AN342="",0,YEAR(TODAY())-AN342))</f>
        <v/>
      </c>
      <c r="X342" s="21">
        <f>T342*V342/(1+Assumptions!$B$3)^W342</f>
        <v/>
      </c>
      <c r="Y342" s="25">
        <f>IF(T342=0,"",ROUND(X342/T342*100,1))</f>
        <v/>
      </c>
      <c r="Z342" s="26">
        <f>X342*Assumptions!$B$4</f>
        <v/>
      </c>
      <c r="AA342" s="25">
        <f>IF(T342=0,"",ROUND(Z342/T342*100,1))</f>
        <v/>
      </c>
      <c r="AB342" s="26">
        <f>X342-Z342</f>
        <v/>
      </c>
      <c r="AC342" s="25">
        <f>IF(T342=0,"",ROUND((X342-Z342)/T342*100,1))</f>
        <v/>
      </c>
      <c r="AD342" s="27" t="inlineStr">
        <is>
          <t>UNKNOWN</t>
        </is>
      </c>
      <c r="AE342" s="28" t="inlineStr">
        <is>
          <t>https://recuperacaojudicial.squarespace.com/s/EDITAL-COM-A-2-LISTA-DE-CREDORES-E-INFORMANDO-A-APRESENTACO-DO-PRJ_1532.pdf</t>
        </is>
      </c>
      <c r="AF342" s="27" t="inlineStr">
        <is>
          <t>p2 r7</t>
        </is>
      </c>
      <c r="AG342" s="27" t="inlineStr">
        <is>
          <t>p2: R$ 414.186,52</t>
        </is>
      </c>
      <c r="AH342" s="27" t="inlineStr">
        <is>
          <t>AJ_LIST</t>
        </is>
      </c>
      <c r="AI342" s="27" t="inlineStr"/>
      <c r="AJ342" s="27" t="inlineStr">
        <is>
          <t>OK_NO_TOTALS</t>
        </is>
      </c>
      <c r="AK342" s="29" t="inlineStr">
        <is>
          <t>0700536-67.2024.8.02.0043</t>
        </is>
      </c>
      <c r="AL342" s="29" t="inlineStr">
        <is>
          <t>TJ</t>
        </is>
      </c>
      <c r="AM342" s="29" t="inlineStr"/>
      <c r="AN342" s="29" t="n">
        <v>2024</v>
      </c>
      <c r="AO342" s="29" t="inlineStr">
        <is>
          <t>live case, no plan document yet</t>
        </is>
      </c>
      <c r="AP342" s="29" t="inlineStr">
        <is>
          <t>NOSSA SENHORA DO SOCORRO</t>
        </is>
      </c>
      <c r="AQ342" s="29" t="inlineStr">
        <is>
          <t>SE</t>
        </is>
      </c>
      <c r="AR342" s="29" t="inlineStr">
        <is>
          <t>Fabricação de azulejos e pisos</t>
        </is>
      </c>
      <c r="AS342" s="29" t="inlineStr">
        <is>
          <t>DEMAIS</t>
        </is>
      </c>
      <c r="AT342" s="29" t="inlineStr">
        <is>
          <t>LARGE CORP</t>
        </is>
      </c>
      <c r="AU342" s="29" t="inlineStr">
        <is>
          <t>07378783</t>
        </is>
      </c>
      <c r="AV342" s="29" t="n">
        <v>1</v>
      </c>
      <c r="AW342" s="29" t="inlineStr">
        <is>
          <t>ROWS:p2r7 UNRECONCILED_SOURCE</t>
        </is>
      </c>
    </row>
    <row r="343">
      <c r="A343" s="15" t="inlineStr">
        <is>
          <t>OLFAR S/A - ALIMENTO E ENERGIA</t>
        </is>
      </c>
      <c r="B343" s="16" t="n">
        <v>414186.16</v>
      </c>
      <c r="C343" s="17" t="inlineStr"/>
      <c r="D343" s="18" t="inlineStr">
        <is>
          <t>NEW</t>
        </is>
      </c>
      <c r="E343" s="19" t="inlineStr"/>
      <c r="F343" s="18" t="inlineStr"/>
      <c r="G343" s="19" t="inlineStr"/>
      <c r="H343" s="18" t="inlineStr"/>
      <c r="I343" s="20" t="inlineStr">
        <is>
          <t>JOSE CARLOS WESCHENFELDER</t>
        </is>
      </c>
      <c r="J343" s="20" t="inlineStr">
        <is>
          <t>Presidente</t>
        </is>
      </c>
      <c r="K343" s="20" t="inlineStr">
        <is>
          <t>(54) 2106-2600</t>
        </is>
      </c>
      <c r="L343" s="20" t="inlineStr"/>
      <c r="M343" s="20" t="inlineStr"/>
      <c r="N343" s="20" t="inlineStr"/>
      <c r="O343" s="20" t="inlineStr"/>
      <c r="P343" s="20" t="inlineStr">
        <is>
          <t>GUILHERME WESCHENFELDER</t>
        </is>
      </c>
      <c r="Q343" s="20" t="inlineStr">
        <is>
          <t>Diretor</t>
        </is>
      </c>
      <c r="R343" s="20" t="inlineStr">
        <is>
          <t>(54) 2106-2600</t>
        </is>
      </c>
      <c r="S343" s="20" t="inlineStr"/>
      <c r="T343" s="21" t="n">
        <v>414186.16</v>
      </c>
      <c r="U343" s="22" t="inlineStr">
        <is>
          <t>B</t>
        </is>
      </c>
      <c r="V343" s="23">
        <f>IFERROR(VLOOKUP(U343,Assumptions!$A$7:$D$11,2,FALSE),0)</f>
        <v/>
      </c>
      <c r="W343" s="24">
        <f>MAX(0.5,IFERROR(VLOOKUP(U343,Assumptions!$A$7:$D$11,3,FALSE),3)+IFERROR(VLOOKUP(U343,Assumptions!$A$7:$D$11,4,FALSE),8)/2-IF(AN343="",0,YEAR(TODAY())-AN343))</f>
        <v/>
      </c>
      <c r="X343" s="21">
        <f>T343*V343/(1+Assumptions!$B$3)^W343</f>
        <v/>
      </c>
      <c r="Y343" s="25">
        <f>IF(T343=0,"",ROUND(X343/T343*100,1))</f>
        <v/>
      </c>
      <c r="Z343" s="26">
        <f>X343*Assumptions!$B$4</f>
        <v/>
      </c>
      <c r="AA343" s="25">
        <f>IF(T343=0,"",ROUND(Z343/T343*100,1))</f>
        <v/>
      </c>
      <c r="AB343" s="26">
        <f>X343-Z343</f>
        <v/>
      </c>
      <c r="AC343" s="25">
        <f>IF(T343=0,"",ROUND((X343-Z343)/T343*100,1))</f>
        <v/>
      </c>
      <c r="AD343" s="27" t="inlineStr">
        <is>
          <t>ESTIMATED</t>
        </is>
      </c>
      <c r="AE343" s="28" t="inlineStr">
        <is>
          <t>https://rlg-aj.com.br/wp-content/uploads/2024/11/07.-Relação-de-credores.pdf</t>
        </is>
      </c>
      <c r="AF343" s="27" t="inlineStr">
        <is>
          <t>p1 r27</t>
        </is>
      </c>
      <c r="AG343" s="27" t="inlineStr">
        <is>
          <t>p1: R$ 414.186,16</t>
        </is>
      </c>
      <c r="AH343" s="27" t="inlineStr">
        <is>
          <t>UNKNOWN</t>
        </is>
      </c>
      <c r="AI343" s="27" t="inlineStr"/>
      <c r="AJ343" s="27" t="inlineStr">
        <is>
          <t>OK_NO_TOTALS</t>
        </is>
      </c>
      <c r="AK343" s="29" t="inlineStr">
        <is>
          <t>5009149-92.2024.8.24.0019</t>
        </is>
      </c>
      <c r="AL343" s="29" t="inlineStr">
        <is>
          <t>TJSC</t>
        </is>
      </c>
      <c r="AM343" s="29" t="inlineStr">
        <is>
          <t>ACTIVE</t>
        </is>
      </c>
      <c r="AN343" s="29" t="n">
        <v>2024</v>
      </c>
      <c r="AO343" s="29" t="inlineStr">
        <is>
          <t>live case, no plan document yet</t>
        </is>
      </c>
      <c r="AP343" s="29" t="inlineStr">
        <is>
          <t>ERECHIM</t>
        </is>
      </c>
      <c r="AQ343" s="29" t="inlineStr">
        <is>
          <t>RS</t>
        </is>
      </c>
      <c r="AR343" s="29" t="inlineStr">
        <is>
          <t>Moagem e fabricação de produtos de origem vegetal não especificados anteriormente</t>
        </is>
      </c>
      <c r="AS343" s="29" t="inlineStr">
        <is>
          <t>DEMAIS</t>
        </is>
      </c>
      <c r="AT343" s="29" t="inlineStr">
        <is>
          <t>LARGE CORP</t>
        </is>
      </c>
      <c r="AU343" s="29" t="inlineStr">
        <is>
          <t>91830836</t>
        </is>
      </c>
      <c r="AV343" s="29" t="n">
        <v>1</v>
      </c>
      <c r="AW343" s="29" t="inlineStr">
        <is>
          <t>ROWS:p1r27 UNRECONCILED_SOURCE</t>
        </is>
      </c>
    </row>
    <row r="344">
      <c r="A344" s="15" t="inlineStr">
        <is>
          <t>ALLIED TECNOLOGIA S.A.</t>
        </is>
      </c>
      <c r="B344" s="16" t="n">
        <v>529483.15</v>
      </c>
      <c r="C344" s="17" t="inlineStr">
        <is>
          <t>aludida empresa</t>
        </is>
      </c>
      <c r="D344" s="18" t="inlineStr">
        <is>
          <t>NEW</t>
        </is>
      </c>
      <c r="E344" s="19" t="inlineStr"/>
      <c r="F344" s="18" t="inlineStr"/>
      <c r="G344" s="19" t="inlineStr"/>
      <c r="H344" s="18" t="inlineStr"/>
      <c r="I344" s="20" t="inlineStr">
        <is>
          <t>SILVIO STAGNI</t>
        </is>
      </c>
      <c r="J344" s="20" t="inlineStr">
        <is>
          <t>Presidente</t>
        </is>
      </c>
      <c r="K344" s="20" t="inlineStr">
        <is>
          <t>(11) 5503-9993</t>
        </is>
      </c>
      <c r="L344" s="20" t="inlineStr">
        <is>
          <t>(11) 5503-9999</t>
        </is>
      </c>
      <c r="M344" s="20" t="inlineStr"/>
      <c r="N344" s="20" t="inlineStr"/>
      <c r="O344" s="20" t="inlineStr"/>
      <c r="P344" s="20" t="inlineStr">
        <is>
          <t>BRUNO SERRANO GIACOMETTI</t>
        </is>
      </c>
      <c r="Q344" s="20" t="inlineStr">
        <is>
          <t>Diretor</t>
        </is>
      </c>
      <c r="R344" s="20" t="inlineStr">
        <is>
          <t>(11) 5503-9999</t>
        </is>
      </c>
      <c r="S344" s="20" t="inlineStr"/>
      <c r="T344" s="21" t="n">
        <v>529483.15</v>
      </c>
      <c r="U344" s="31" t="inlineStr">
        <is>
          <t>C</t>
        </is>
      </c>
      <c r="V344" s="23">
        <f>IFERROR(VLOOKUP(U344,Assumptions!$A$7:$D$11,2,FALSE),0)</f>
        <v/>
      </c>
      <c r="W344" s="24">
        <f>MAX(0.5,IFERROR(VLOOKUP(U344,Assumptions!$A$7:$D$11,3,FALSE),3)+IFERROR(VLOOKUP(U344,Assumptions!$A$7:$D$11,4,FALSE),8)/2-IF(AN344="",0,YEAR(TODAY())-AN344))</f>
        <v/>
      </c>
      <c r="X344" s="21">
        <f>T344*V344/(1+Assumptions!$B$3)^W344</f>
        <v/>
      </c>
      <c r="Y344" s="25">
        <f>IF(T344=0,"",ROUND(X344/T344*100,1))</f>
        <v/>
      </c>
      <c r="Z344" s="26">
        <f>X344*Assumptions!$B$4</f>
        <v/>
      </c>
      <c r="AA344" s="25">
        <f>IF(T344=0,"",ROUND(Z344/T344*100,1))</f>
        <v/>
      </c>
      <c r="AB344" s="26">
        <f>X344-Z344</f>
        <v/>
      </c>
      <c r="AC344" s="25">
        <f>IF(T344=0,"",ROUND((X344-Z344)/T344*100,1))</f>
        <v/>
      </c>
      <c r="AD344" s="27" t="inlineStr">
        <is>
          <t>ESTIMATED</t>
        </is>
      </c>
      <c r="AE344" s="28" t="inlineStr">
        <is>
          <t>https://recuperacaojudicial.squarespace.com/s/RJ-Credimoveis-QGC-01082025.pdf</t>
        </is>
      </c>
      <c r="AF344" s="27" t="inlineStr">
        <is>
          <t>p15 r5</t>
        </is>
      </c>
      <c r="AG344" s="27" t="inlineStr">
        <is>
          <t>p15: R$ 529.483,15</t>
        </is>
      </c>
      <c r="AH344" s="27" t="inlineStr">
        <is>
          <t>QGC</t>
        </is>
      </c>
      <c r="AI344" s="27" t="inlineStr">
        <is>
          <t>2026-01-28</t>
        </is>
      </c>
      <c r="AJ344" s="27" t="inlineStr">
        <is>
          <t>OK</t>
        </is>
      </c>
      <c r="AK344" s="29" t="inlineStr">
        <is>
          <t>0007565-40.2020.8.17.2370</t>
        </is>
      </c>
      <c r="AL344" s="29" t="inlineStr">
        <is>
          <t>TJPE</t>
        </is>
      </c>
      <c r="AM344" s="29" t="inlineStr">
        <is>
          <t>ACTIVE</t>
        </is>
      </c>
      <c r="AN344" s="29" t="n">
        <v>2020</v>
      </c>
      <c r="AO344" s="29" t="inlineStr">
        <is>
          <t>6y since filing, no plan document</t>
        </is>
      </c>
      <c r="AP344" s="29" t="inlineStr">
        <is>
          <t>JUNDIAI</t>
        </is>
      </c>
      <c r="AQ344" s="29" t="inlineStr">
        <is>
          <t>SP</t>
        </is>
      </c>
      <c r="AR344" s="29" t="inlineStr">
        <is>
          <t>Comércio atacadista de componentes eletrônicos e equipamentos de telefonia e comunicação</t>
        </is>
      </c>
      <c r="AS344" s="29" t="inlineStr">
        <is>
          <t>DEMAIS</t>
        </is>
      </c>
      <c r="AT344" s="29" t="inlineStr">
        <is>
          <t>LARGE CORP</t>
        </is>
      </c>
      <c r="AU344" s="29" t="inlineStr">
        <is>
          <t>20247322</t>
        </is>
      </c>
      <c r="AV344" s="29" t="n">
        <v>1</v>
      </c>
      <c r="AW344" s="29" t="inlineStr">
        <is>
          <t>ROWS:p15r5</t>
        </is>
      </c>
    </row>
    <row r="345">
      <c r="A345" s="15" t="inlineStr">
        <is>
          <t>BELGO BEKAERT ARAMES LTDA</t>
        </is>
      </c>
      <c r="B345" s="16" t="n">
        <v>377941.88</v>
      </c>
      <c r="C345" s="17" t="inlineStr"/>
      <c r="D345" s="18" t="inlineStr">
        <is>
          <t>NEW</t>
        </is>
      </c>
      <c r="E345" s="19" t="inlineStr"/>
      <c r="F345" s="18" t="inlineStr"/>
      <c r="G345" s="19" t="inlineStr"/>
      <c r="H345" s="18" t="inlineStr"/>
      <c r="I345" s="20" t="inlineStr">
        <is>
          <t>RODRIGO AUGUSTO ARCHER</t>
        </is>
      </c>
      <c r="J345" s="20" t="inlineStr">
        <is>
          <t>Administrador</t>
        </is>
      </c>
      <c r="K345" s="20" t="inlineStr">
        <is>
          <t>(31) 3329-2400</t>
        </is>
      </c>
      <c r="L345" s="20" t="inlineStr">
        <is>
          <t>(31) 3329-2200</t>
        </is>
      </c>
      <c r="M345" s="20" t="inlineStr"/>
      <c r="N345" s="20" t="inlineStr"/>
      <c r="O345" s="20" t="inlineStr"/>
      <c r="P345" s="20" t="inlineStr">
        <is>
          <t>STEPHAN LOUIS LYDIE GHYSELS</t>
        </is>
      </c>
      <c r="Q345" s="20" t="inlineStr">
        <is>
          <t>Administrador</t>
        </is>
      </c>
      <c r="R345" s="20" t="inlineStr">
        <is>
          <t>(31) 3329-2200</t>
        </is>
      </c>
      <c r="S345" s="20" t="inlineStr"/>
      <c r="T345" s="21" t="n">
        <v>377941.88</v>
      </c>
      <c r="U345" s="31" t="inlineStr">
        <is>
          <t>C</t>
        </is>
      </c>
      <c r="V345" s="23">
        <f>IFERROR(VLOOKUP(U345,Assumptions!$A$7:$D$11,2,FALSE),0)</f>
        <v/>
      </c>
      <c r="W345" s="24">
        <f>MAX(0.5,IFERROR(VLOOKUP(U345,Assumptions!$A$7:$D$11,3,FALSE),3)+IFERROR(VLOOKUP(U345,Assumptions!$A$7:$D$11,4,FALSE),8)/2-IF(AN345="",0,YEAR(TODAY())-AN345))</f>
        <v/>
      </c>
      <c r="X345" s="21">
        <f>T345*V345/(1+Assumptions!$B$3)^W345</f>
        <v/>
      </c>
      <c r="Y345" s="25">
        <f>IF(T345=0,"",ROUND(X345/T345*100,1))</f>
        <v/>
      </c>
      <c r="Z345" s="26">
        <f>X345*Assumptions!$B$4</f>
        <v/>
      </c>
      <c r="AA345" s="25">
        <f>IF(T345=0,"",ROUND(Z345/T345*100,1))</f>
        <v/>
      </c>
      <c r="AB345" s="26">
        <f>X345-Z345</f>
        <v/>
      </c>
      <c r="AC345" s="25">
        <f>IF(T345=0,"",ROUND((X345-Z345)/T345*100,1))</f>
        <v/>
      </c>
      <c r="AD345" s="27" t="inlineStr">
        <is>
          <t>UNKNOWN</t>
        </is>
      </c>
      <c r="AE345" s="28" t="inlineStr">
        <is>
          <t>https://administradorajudicialgs.com.br/wp-content/uploads/2023/08/relacao-de-credores-empresa.pdf</t>
        </is>
      </c>
      <c r="AF345" s="27" t="inlineStr">
        <is>
          <t>p10 r76; p10 r77; p10 r78; p10 r79; p10 r80; p10 r81; p10 r82; p10 r83; p10 r84; p10 r85; p10 r86; p10 r87; p10 r88; p10 r89; p10 r90; p10 r91; p10 r92; p10 r93; p10 r94; p10 r95; p10 r96; p10 r97; p10 r98; p10 r99; p10 r100; p10 r101; p10 r102; p11 r1; p11 r2; p11 r3; p11 r4; p11 r5; p11 r6; p11 r7; p11 r8; p11 r9; p11 r10; p11 r11; p11 r12; p11 r13; p11 r14; p11 r15; p11 r16; p11 r17; p11 r18; p11 r19; p11 r20; p11 r21; p11 r22; p11 r23; p11 r24; p11 r25; p11 r26; p11 r27; p11 r28; p11 r29; p11 r30; p11 r31; p11 r32; p11 r33; p11 r34; p11 r35; p11 r36; p11 r37; p11 r38; p11 r39; p11 r40; p11 r41; p11 r42; p11 r43; p11 r44; p11 r45; p11 r46; p11 r47; p11 r48; p11 r49; p11 r50; p11 r51; p11 r52; p11 r53; p11 r54; p11 r55; p11 r56; p11 r57; p11 r58; p11 r59; p11 r60; p11 r61; p11 r62; p11 r63; p11 r64; p11 r65; p11 r66; p11 r67; p11 r68; p11 r69; p11 r70; p11 r71; p11 r72; p11 r73; p11 r74; p11 r75; p11 r76; p11 r77; p11 r78; p11 r79</t>
        </is>
      </c>
      <c r="AG345" s="27" t="inlineStr">
        <is>
          <t>p10: R$ 4.482,30; p10: R$ None; p10: R$ 7.151,67; p10: R$ 7.595,13; p10: R$ 5.282,91; p10: R$ 3.785,59; p10: R$ 9.478,62; p10: R$ 4.883,90; p10: R$ 4.637,06; p10: R$ 7.265,04; p10: R$ 3.525,37; p10: R$ 9.012,60; p10: R$ 3.742,05; p10: R$ 3.720,79; p10: R$ 2.421,68; p10: R$ 3.574,13; p10: R$ None; p10: R$ 4.090,85; p10: R$ None; p10: R$ 4.694,32; p10: R$ 3.579,10; p10: R$ 8.492,77; p10: R$ 4.948,60; p10: R$ 4.419,83; p10: R$ 6.755,01; p10: R$ 3.762,75; p10: R$ 4.638,91; p11: R$ 4.629,89; p11: R$ 4.805,76; p11: R$ 4.637,06; p11: R$ 3.869,41; p11: R$ 3.816,95; p11: R$ 7.055,97; p11: R$ 7.460,60; p11: R$ None; p11: R$ 9.253,26; p11: R$ 3.430,87; p11: R$ 3.716,87; p11: R$ 4.787,18; p11: R$ 3.574,13; p11: R$ None; p11: R$ 4.090,85; p11: R$ None; p11: R$ 4.694,32; p11: R$ 3.579,10; p11: R$ 9.478,91; p11: R$ 4.884,05; p11: R$ 4.637,19; p11: R$ 7.265,27; p11: R$ 3.525,47; p11: R$ 9.012,87; p11: R$ 5.712,81; p11: R$ None; p11: R$ 3.742,17; p11: R$ 3.720,89; p11: R$ 2.421,76; p11: R$ None; p11: R$ 4.835,35; p11: R$ None; p11: R$ 4.560,45; p11: R$ 8.493,03; p11: R$ 4.948,76; p11: R$ 4.419,97; p11: R$ 6.755,22; p11: R$ None; p11: R$ 9.253,26; p11: R$ 3.430,87; p11: R$ 3.716,87; p11: R$ 4.787,18; p11: R$ 3.762,86; p11: R$ 4.639,04; p11: R$ 4.629,89; p11: R$ 4.805,90; p11: R$ 4.637,19; p11: R$ 3.869,52; p11: R$ 3.817,07; p11: R$ 7.056,17; p11: R$ 7.460,60; p11: R$ 3.574,24; p11: R$ None; p11: R$ 4.090,96; p11: R$ None; p11: R$ 4.694,47; p11: R$ 3.579,22; p11: R$ None; p11: R$ 5.712,81; p11: R$ None; p11: R$ 9.240,74; p11: R$ 4.835,35; p11: R$ None; p11: R$ 4.560,45; p11: R$ None; p11: R$ 9.253,53; p11: R$ 3.430,98; p11: R$ 3.716,98; p11: R$ 4.787,32; p11: R$ 4.630,04; p11: R$ 7.460,83; p11: R$ 5.712,98; p11: R$ None; p11: R$ None; p11: R$ 9.240,74; p11: R$ 4.835,50; p11: R$ None; p11: R$ 4.560,60; p11: R$ 9.241,02</t>
        </is>
      </c>
      <c r="AH345" s="27" t="inlineStr">
        <is>
          <t>UNKNOWN</t>
        </is>
      </c>
      <c r="AI345" s="27" t="inlineStr">
        <is>
          <t>2017-10-25</t>
        </is>
      </c>
      <c r="AJ345" s="27" t="inlineStr">
        <is>
          <t>OK_NO_TOTALS</t>
        </is>
      </c>
      <c r="AK345" s="29" t="inlineStr">
        <is>
          <t>0315021-46.2018.8.24.0008</t>
        </is>
      </c>
      <c r="AL345" s="29" t="inlineStr">
        <is>
          <t>TJ</t>
        </is>
      </c>
      <c r="AM345" s="29" t="inlineStr"/>
      <c r="AN345" s="29" t="n">
        <v>2018</v>
      </c>
      <c r="AO345" s="29" t="inlineStr">
        <is>
          <t>8y since filing, no plan document</t>
        </is>
      </c>
      <c r="AP345" s="29" t="inlineStr">
        <is>
          <t>CONTAGEM</t>
        </is>
      </c>
      <c r="AQ345" s="29" t="inlineStr">
        <is>
          <t>MG</t>
        </is>
      </c>
      <c r="AR345" s="29" t="inlineStr">
        <is>
          <t>Produção de arames de aço</t>
        </is>
      </c>
      <c r="AS345" s="29" t="inlineStr">
        <is>
          <t>DEMAIS</t>
        </is>
      </c>
      <c r="AT345" s="29" t="inlineStr">
        <is>
          <t>LARGE CORP</t>
        </is>
      </c>
      <c r="AU345" s="29" t="inlineStr">
        <is>
          <t>61074506</t>
        </is>
      </c>
      <c r="AV345" s="29" t="n">
        <v>71</v>
      </c>
      <c r="AW345" s="29" t="inlineStr">
        <is>
          <t>ROWS:p10r76,p10r78,p10r79,p10r80,p10r81,p10r82,p10r83,p10r84,p10r85,p10r86,p10r87,p10r88,p10r89,p10r90,p10r91,p10r93,p10r95,p10r96,p10r97,p10r98,p10r99,p10r100,p10r101,p10r102,p11r1,p11r2,p11r4,p11r5,p11r6,p11r7,p11r9,p11r10,p11r11,p11r12,p11r19,p11r20,p11r21,p11r22,p11r23,p11r24,p11r25,p11r27,p11r28,p11r29,p11r31,p11r33,p11r34,p11r35,p11r36,p11r37,p11r43,p11r44,p11r46,p11r48,p11r49,p11r50,p11r52,p11r54,p11r56,p11r57,p11r61,p11r66,p11r67,p11r68,p11r69,p11r70,p11r71,p11r72,p11r76,p11r78,p11r79 UNRECONCILED_SOURCE</t>
        </is>
      </c>
    </row>
    <row r="346">
      <c r="A346" s="15" t="inlineStr">
        <is>
          <t>SAO SALVADOR ALIMENTOS S/A</t>
        </is>
      </c>
      <c r="B346" s="16" t="n">
        <v>483031.1</v>
      </c>
      <c r="C346" s="17" t="inlineStr">
        <is>
          <t>COMERCIO RACOES BEM BOM LTDA</t>
        </is>
      </c>
      <c r="D346" s="18" t="inlineStr">
        <is>
          <t>NEW</t>
        </is>
      </c>
      <c r="E346" s="19" t="inlineStr"/>
      <c r="F346" s="18" t="inlineStr"/>
      <c r="G346" s="19" t="inlineStr"/>
      <c r="H346" s="18" t="inlineStr"/>
      <c r="I346" s="20" t="inlineStr">
        <is>
          <t>Leopoldo Saboya</t>
        </is>
      </c>
      <c r="J346" s="20" t="inlineStr">
        <is>
          <t>CFO / Iro</t>
        </is>
      </c>
      <c r="K346" s="20" t="inlineStr">
        <is>
          <t>(62) 3375-7000</t>
        </is>
      </c>
      <c r="L346" s="20" t="inlineStr"/>
      <c r="M346" s="20" t="inlineStr"/>
      <c r="N346" s="20" t="inlineStr">
        <is>
          <t>leopoldo.saboya@ssa-br.com</t>
        </is>
      </c>
      <c r="O346" s="20" t="inlineStr">
        <is>
          <t>jpaulo.castro@ssa-br.com</t>
        </is>
      </c>
      <c r="P346" s="20" t="inlineStr">
        <is>
          <t>Joao Paulo</t>
        </is>
      </c>
      <c r="Q346" s="20" t="inlineStr">
        <is>
          <t>Analista Financeiro - Contas a Receber - Sênior</t>
        </is>
      </c>
      <c r="R346" s="20" t="inlineStr"/>
      <c r="S346" s="20" t="inlineStr">
        <is>
          <t>jpaulo.castro@ssa-br.com</t>
        </is>
      </c>
      <c r="T346" s="21" t="n">
        <v>483031.1</v>
      </c>
      <c r="U346" s="32" t="inlineStr">
        <is>
          <t>A</t>
        </is>
      </c>
      <c r="V346" s="23">
        <f>IFERROR(VLOOKUP(U346,Assumptions!$A$7:$D$11,2,FALSE),0)</f>
        <v/>
      </c>
      <c r="W346" s="24">
        <f>MAX(0.5,IFERROR(VLOOKUP(U346,Assumptions!$A$7:$D$11,3,FALSE),3)+IFERROR(VLOOKUP(U346,Assumptions!$A$7:$D$11,4,FALSE),8)/2-IF(AN346="",0,YEAR(TODAY())-AN346))</f>
        <v/>
      </c>
      <c r="X346" s="21">
        <f>T346*V346/(1+Assumptions!$B$3)^W346</f>
        <v/>
      </c>
      <c r="Y346" s="25">
        <f>IF(T346=0,"",ROUND(X346/T346*100,1))</f>
        <v/>
      </c>
      <c r="Z346" s="26">
        <f>X346*Assumptions!$B$4</f>
        <v/>
      </c>
      <c r="AA346" s="25">
        <f>IF(T346=0,"",ROUND(Z346/T346*100,1))</f>
        <v/>
      </c>
      <c r="AB346" s="26">
        <f>X346-Z346</f>
        <v/>
      </c>
      <c r="AC346" s="25">
        <f>IF(T346=0,"",ROUND((X346-Z346)/T346*100,1))</f>
        <v/>
      </c>
      <c r="AD346" s="27" t="inlineStr">
        <is>
          <t>CONFIRMED</t>
        </is>
      </c>
      <c r="AE346" s="28" t="inlineStr">
        <is>
          <t>https://stenius.com.br/wp-content/uploads/2026/06/EDITAL-GRUPO-3E.pdf</t>
        </is>
      </c>
      <c r="AF346" s="27" t="inlineStr">
        <is>
          <t>p18 r14; p18 r15</t>
        </is>
      </c>
      <c r="AG346" s="27" t="inlineStr">
        <is>
          <t>p18: R$ 289.071,49; p18: R$ 193.959,61</t>
        </is>
      </c>
      <c r="AH346" s="27" t="inlineStr">
        <is>
          <t>DEBTOR_LIST</t>
        </is>
      </c>
      <c r="AI346" s="27" t="inlineStr">
        <is>
          <t>2026-06-22</t>
        </is>
      </c>
      <c r="AJ346" s="27" t="inlineStr">
        <is>
          <t>OK_NO_TOTALS</t>
        </is>
      </c>
      <c r="AK346" s="29" t="inlineStr">
        <is>
          <t>5341375-33.2026.8.09.0049</t>
        </is>
      </c>
      <c r="AL346" s="29" t="inlineStr">
        <is>
          <t>TJGO</t>
        </is>
      </c>
      <c r="AM346" s="29" t="inlineStr">
        <is>
          <t>ACTIVE</t>
        </is>
      </c>
      <c r="AN346" s="29" t="n">
        <v>2026</v>
      </c>
      <c r="AO346" s="29" t="inlineStr">
        <is>
          <t>plan/homologation document found</t>
        </is>
      </c>
      <c r="AP346" s="29" t="inlineStr">
        <is>
          <t>ITABERAI</t>
        </is>
      </c>
      <c r="AQ346" s="29" t="inlineStr">
        <is>
          <t>GO</t>
        </is>
      </c>
      <c r="AR346" s="29" t="inlineStr">
        <is>
          <t>Abate de aves</t>
        </is>
      </c>
      <c r="AS346" s="29" t="inlineStr">
        <is>
          <t>DEMAIS</t>
        </is>
      </c>
      <c r="AT346" s="29" t="inlineStr">
        <is>
          <t>LARGE CORP</t>
        </is>
      </c>
      <c r="AU346" s="29" t="inlineStr">
        <is>
          <t>03387396</t>
        </is>
      </c>
      <c r="AV346" s="29" t="n">
        <v>2</v>
      </c>
      <c r="AW346" s="29" t="inlineStr">
        <is>
          <t>ROWS:p18r14,p18r15 UNRECONCILED_SOURCE</t>
        </is>
      </c>
    </row>
    <row r="347">
      <c r="A347" s="15" t="inlineStr">
        <is>
          <t>TUBOARTE INDUSTRIA E COMERCIO LTDA</t>
        </is>
      </c>
      <c r="B347" s="16" t="n">
        <v>527489.5</v>
      </c>
      <c r="C347" s="17" t="inlineStr">
        <is>
          <t>aludida empresa</t>
        </is>
      </c>
      <c r="D347" s="18" t="inlineStr">
        <is>
          <t>NEW</t>
        </is>
      </c>
      <c r="E347" s="19" t="inlineStr"/>
      <c r="F347" s="18" t="inlineStr"/>
      <c r="G347" s="19" t="inlineStr"/>
      <c r="H347" s="18" t="inlineStr"/>
      <c r="I347" s="20" t="inlineStr">
        <is>
          <t>Ygor Raul</t>
        </is>
      </c>
      <c r="J347" s="20" t="inlineStr">
        <is>
          <t>Advogado e Fundador da Móveis Home (Tuboarte)</t>
        </is>
      </c>
      <c r="K347" s="20" t="inlineStr">
        <is>
          <t>(88) 3522-8300</t>
        </is>
      </c>
      <c r="L347" s="20" t="inlineStr"/>
      <c r="M347" s="20" t="inlineStr"/>
      <c r="N347" s="20" t="inlineStr">
        <is>
          <t>raul@tuboarte.com.br</t>
        </is>
      </c>
      <c r="O347" s="20" t="inlineStr"/>
      <c r="P347" s="20" t="inlineStr"/>
      <c r="Q347" s="20" t="inlineStr"/>
      <c r="R347" s="20" t="inlineStr"/>
      <c r="S347" s="20" t="inlineStr"/>
      <c r="T347" s="21" t="n">
        <v>527489.5</v>
      </c>
      <c r="U347" s="31" t="inlineStr">
        <is>
          <t>C</t>
        </is>
      </c>
      <c r="V347" s="23">
        <f>IFERROR(VLOOKUP(U347,Assumptions!$A$7:$D$11,2,FALSE),0)</f>
        <v/>
      </c>
      <c r="W347" s="24">
        <f>MAX(0.5,IFERROR(VLOOKUP(U347,Assumptions!$A$7:$D$11,3,FALSE),3)+IFERROR(VLOOKUP(U347,Assumptions!$A$7:$D$11,4,FALSE),8)/2-IF(AN347="",0,YEAR(TODAY())-AN347))</f>
        <v/>
      </c>
      <c r="X347" s="21">
        <f>T347*V347/(1+Assumptions!$B$3)^W347</f>
        <v/>
      </c>
      <c r="Y347" s="25">
        <f>IF(T347=0,"",ROUND(X347/T347*100,1))</f>
        <v/>
      </c>
      <c r="Z347" s="26">
        <f>X347*Assumptions!$B$4</f>
        <v/>
      </c>
      <c r="AA347" s="25">
        <f>IF(T347=0,"",ROUND(Z347/T347*100,1))</f>
        <v/>
      </c>
      <c r="AB347" s="26">
        <f>X347-Z347</f>
        <v/>
      </c>
      <c r="AC347" s="25">
        <f>IF(T347=0,"",ROUND((X347-Z347)/T347*100,1))</f>
        <v/>
      </c>
      <c r="AD347" s="27" t="inlineStr">
        <is>
          <t>ESTIMATED</t>
        </is>
      </c>
      <c r="AE347" s="28" t="inlineStr">
        <is>
          <t>https://recuperacaojudicial.squarespace.com/s/RJ-Credimoveis-QGC-01082025.pdf</t>
        </is>
      </c>
      <c r="AF347" s="27" t="inlineStr">
        <is>
          <t>p17 r5</t>
        </is>
      </c>
      <c r="AG347" s="27" t="inlineStr">
        <is>
          <t>p17: R$ 527.489,50</t>
        </is>
      </c>
      <c r="AH347" s="27" t="inlineStr">
        <is>
          <t>QGC</t>
        </is>
      </c>
      <c r="AI347" s="27" t="inlineStr">
        <is>
          <t>2026-01-28</t>
        </is>
      </c>
      <c r="AJ347" s="27" t="inlineStr">
        <is>
          <t>OK</t>
        </is>
      </c>
      <c r="AK347" s="29" t="inlineStr">
        <is>
          <t>0007565-40.2020.8.17.2370</t>
        </is>
      </c>
      <c r="AL347" s="29" t="inlineStr">
        <is>
          <t>TJPE</t>
        </is>
      </c>
      <c r="AM347" s="29" t="inlineStr">
        <is>
          <t>ACTIVE</t>
        </is>
      </c>
      <c r="AN347" s="29" t="n">
        <v>2020</v>
      </c>
      <c r="AO347" s="29" t="inlineStr">
        <is>
          <t>6y since filing, no plan document</t>
        </is>
      </c>
      <c r="AP347" s="29" t="inlineStr">
        <is>
          <t>JAGUARIBE</t>
        </is>
      </c>
      <c r="AQ347" s="29" t="inlineStr">
        <is>
          <t>CE</t>
        </is>
      </c>
      <c r="AR347" s="29" t="inlineStr">
        <is>
          <t>Fabricação de móveis com predominância de madeira</t>
        </is>
      </c>
      <c r="AS347" s="29" t="inlineStr">
        <is>
          <t>DEMAIS</t>
        </is>
      </c>
      <c r="AT347" s="29" t="inlineStr">
        <is>
          <t>LARGE CORP</t>
        </is>
      </c>
      <c r="AU347" s="29" t="inlineStr">
        <is>
          <t>01802541</t>
        </is>
      </c>
      <c r="AV347" s="29" t="n">
        <v>1</v>
      </c>
      <c r="AW347" s="29" t="inlineStr">
        <is>
          <t>ROWS:p17r5</t>
        </is>
      </c>
    </row>
    <row r="348">
      <c r="A348" s="15" t="inlineStr">
        <is>
          <t>EJF COBRANCAS LTDA</t>
        </is>
      </c>
      <c r="B348" s="16" t="n">
        <v>513802.19</v>
      </c>
      <c r="C348" s="17" t="inlineStr"/>
      <c r="D348" s="18" t="inlineStr">
        <is>
          <t>NEW</t>
        </is>
      </c>
      <c r="E348" s="19" t="inlineStr"/>
      <c r="F348" s="18" t="inlineStr"/>
      <c r="G348" s="19" t="inlineStr"/>
      <c r="H348" s="18" t="inlineStr"/>
      <c r="I348" s="20" t="inlineStr">
        <is>
          <t>EDUARDO JOSE FRANCA</t>
        </is>
      </c>
      <c r="J348" s="20" t="inlineStr">
        <is>
          <t>Sócio-Administrador</t>
        </is>
      </c>
      <c r="K348" s="20" t="inlineStr">
        <is>
          <t>(47) 9152-1952</t>
        </is>
      </c>
      <c r="L348" s="20" t="inlineStr"/>
      <c r="M348" s="20" t="inlineStr"/>
      <c r="N348" s="20" t="inlineStr"/>
      <c r="O348" s="20" t="inlineStr"/>
      <c r="P348" s="20" t="inlineStr"/>
      <c r="Q348" s="20" t="inlineStr"/>
      <c r="R348" s="20" t="inlineStr"/>
      <c r="S348" s="20" t="inlineStr"/>
      <c r="T348" s="21" t="n">
        <v>513802.19</v>
      </c>
      <c r="U348" s="22" t="inlineStr">
        <is>
          <t>B</t>
        </is>
      </c>
      <c r="V348" s="23">
        <f>IFERROR(VLOOKUP(U348,Assumptions!$A$7:$D$11,2,FALSE),0)</f>
        <v/>
      </c>
      <c r="W348" s="24">
        <f>MAX(0.5,IFERROR(VLOOKUP(U348,Assumptions!$A$7:$D$11,3,FALSE),3)+IFERROR(VLOOKUP(U348,Assumptions!$A$7:$D$11,4,FALSE),8)/2-IF(AN348="",0,YEAR(TODAY())-AN348))</f>
        <v/>
      </c>
      <c r="X348" s="21">
        <f>T348*V348/(1+Assumptions!$B$3)^W348</f>
        <v/>
      </c>
      <c r="Y348" s="25">
        <f>IF(T348=0,"",ROUND(X348/T348*100,1))</f>
        <v/>
      </c>
      <c r="Z348" s="26">
        <f>X348*Assumptions!$B$4</f>
        <v/>
      </c>
      <c r="AA348" s="25">
        <f>IF(T348=0,"",ROUND(Z348/T348*100,1))</f>
        <v/>
      </c>
      <c r="AB348" s="26">
        <f>X348-Z348</f>
        <v/>
      </c>
      <c r="AC348" s="25">
        <f>IF(T348=0,"",ROUND((X348-Z348)/T348*100,1))</f>
        <v/>
      </c>
      <c r="AD348" s="27" t="inlineStr">
        <is>
          <t>UNKNOWN</t>
        </is>
      </c>
      <c r="AE348" s="28" t="inlineStr">
        <is>
          <t>https://credibilita.com.br/wp-content/uploads/2025/09/Relacao-Credores-29.04.2026.pdf</t>
        </is>
      </c>
      <c r="AF348" s="27" t="inlineStr">
        <is>
          <t>p1 r21</t>
        </is>
      </c>
      <c r="AG348" s="27" t="inlineStr">
        <is>
          <t>p1: R$ 513.802,19</t>
        </is>
      </c>
      <c r="AH348" s="27" t="inlineStr">
        <is>
          <t>UNKNOWN</t>
        </is>
      </c>
      <c r="AI348" s="27" t="inlineStr"/>
      <c r="AJ348" s="27" t="inlineStr">
        <is>
          <t>OK_NO_TOTALS</t>
        </is>
      </c>
      <c r="AK348" s="29" t="inlineStr">
        <is>
          <t>5057720-48.2025.8.24.0023</t>
        </is>
      </c>
      <c r="AL348" s="29" t="inlineStr">
        <is>
          <t>TJ</t>
        </is>
      </c>
      <c r="AM348" s="29" t="inlineStr"/>
      <c r="AN348" s="29" t="n">
        <v>2025</v>
      </c>
      <c r="AO348" s="29" t="inlineStr">
        <is>
          <t>live case, no plan document yet</t>
        </is>
      </c>
      <c r="AP348" s="29" t="inlineStr">
        <is>
          <t>BLUMENAU</t>
        </is>
      </c>
      <c r="AQ348" s="29" t="inlineStr">
        <is>
          <t>SC</t>
        </is>
      </c>
      <c r="AR348" s="29" t="inlineStr">
        <is>
          <t>Atividades de cobranças e informações cadastrais</t>
        </is>
      </c>
      <c r="AS348" s="29" t="inlineStr">
        <is>
          <t>MICRO EMPRESA</t>
        </is>
      </c>
      <c r="AT348" s="29" t="inlineStr">
        <is>
          <t>SMALL</t>
        </is>
      </c>
      <c r="AU348" s="29" t="inlineStr">
        <is>
          <t>39362161</t>
        </is>
      </c>
      <c r="AV348" s="29" t="n">
        <v>1</v>
      </c>
      <c r="AW348" s="29" t="inlineStr">
        <is>
          <t>ROWS:p1r21 UNRECONCILED_SOURCE VALUE_COL:Valor_Após_Analise</t>
        </is>
      </c>
    </row>
    <row r="349">
      <c r="A349" s="15" t="inlineStr">
        <is>
          <t>CONDOMINIO DO ASPEN PARK SHOPPING CENTER II</t>
        </is>
      </c>
      <c r="B349" s="16" t="n">
        <v>511325.79</v>
      </c>
      <c r="C349" s="17" t="inlineStr">
        <is>
          <t>KADIMA EMPREENDIMENTOS E PARTICIPACOES EM RECUPERACAO JUDICIAL</t>
        </is>
      </c>
      <c r="D349" s="18" t="inlineStr">
        <is>
          <t>NEW</t>
        </is>
      </c>
      <c r="E349" s="19" t="inlineStr"/>
      <c r="F349" s="18" t="inlineStr"/>
      <c r="G349" s="19" t="inlineStr"/>
      <c r="H349" s="18" t="inlineStr"/>
      <c r="I349" s="20" t="inlineStr">
        <is>
          <t>Leandro Denardi</t>
        </is>
      </c>
      <c r="J349" s="20" t="inlineStr">
        <is>
          <t>Superintendent</t>
        </is>
      </c>
      <c r="K349" s="20" t="inlineStr">
        <is>
          <t>(44) 3366-2037</t>
        </is>
      </c>
      <c r="L349" s="20" t="inlineStr">
        <is>
          <t>(44) 9963-5729</t>
        </is>
      </c>
      <c r="M349" s="20" t="inlineStr"/>
      <c r="N349" s="20" t="inlineStr">
        <is>
          <t>leandro@maringapark.com.br</t>
        </is>
      </c>
      <c r="O349" s="20" t="inlineStr">
        <is>
          <t>rh@maringapark.com.br</t>
        </is>
      </c>
      <c r="P349" s="20" t="inlineStr">
        <is>
          <t>Fabio Bueno</t>
        </is>
      </c>
      <c r="Q349" s="20" t="inlineStr">
        <is>
          <t>Human Resources Manager</t>
        </is>
      </c>
      <c r="R349" s="20" t="inlineStr"/>
      <c r="S349" s="20" t="inlineStr">
        <is>
          <t>rh@maringapark.com.br</t>
        </is>
      </c>
      <c r="T349" s="21" t="n">
        <v>511325.79</v>
      </c>
      <c r="U349" s="22" t="inlineStr">
        <is>
          <t>B</t>
        </is>
      </c>
      <c r="V349" s="23">
        <f>IFERROR(VLOOKUP(U349,Assumptions!$A$7:$D$11,2,FALSE),0)</f>
        <v/>
      </c>
      <c r="W349" s="24">
        <f>MAX(0.5,IFERROR(VLOOKUP(U349,Assumptions!$A$7:$D$11,3,FALSE),3)+IFERROR(VLOOKUP(U349,Assumptions!$A$7:$D$11,4,FALSE),8)/2-IF(AN349="",0,YEAR(TODAY())-AN349))</f>
        <v/>
      </c>
      <c r="X349" s="21">
        <f>T349*V349/(1+Assumptions!$B$3)^W349</f>
        <v/>
      </c>
      <c r="Y349" s="25">
        <f>IF(T349=0,"",ROUND(X349/T349*100,1))</f>
        <v/>
      </c>
      <c r="Z349" s="26">
        <f>X349*Assumptions!$B$4</f>
        <v/>
      </c>
      <c r="AA349" s="25">
        <f>IF(T349=0,"",ROUND(Z349/T349*100,1))</f>
        <v/>
      </c>
      <c r="AB349" s="26">
        <f>X349-Z349</f>
        <v/>
      </c>
      <c r="AC349" s="25">
        <f>IF(T349=0,"",ROUND((X349-Z349)/T349*100,1))</f>
        <v/>
      </c>
      <c r="AD349" s="27" t="inlineStr">
        <is>
          <t>ESTIMATED</t>
        </is>
      </c>
      <c r="AE349" s="28" t="inlineStr">
        <is>
          <t>https://marquesadmjudicial.com.br/sgc/download.php?file=files/processo_documento/processo_documento19270817122025_1_.pdf&amp;nome=Relação Nominal de Credores AJ</t>
        </is>
      </c>
      <c r="AF349" s="27" t="inlineStr">
        <is>
          <t>p4 r6</t>
        </is>
      </c>
      <c r="AG349" s="27" t="inlineStr">
        <is>
          <t>p4: R$ 511.325,79</t>
        </is>
      </c>
      <c r="AH349" s="27" t="inlineStr">
        <is>
          <t>AJ_LIST</t>
        </is>
      </c>
      <c r="AI349" s="27" t="inlineStr">
        <is>
          <t>2025-12-17</t>
        </is>
      </c>
      <c r="AJ349" s="27" t="inlineStr">
        <is>
          <t>OK</t>
        </is>
      </c>
      <c r="AK349" s="29" t="inlineStr">
        <is>
          <t>0016033-22.2025.8.16.0017</t>
        </is>
      </c>
      <c r="AL349" s="29" t="inlineStr">
        <is>
          <t>TJPR</t>
        </is>
      </c>
      <c r="AM349" s="29" t="inlineStr">
        <is>
          <t>ACTIVE</t>
        </is>
      </c>
      <c r="AN349" s="29" t="n">
        <v>2025</v>
      </c>
      <c r="AO349" s="29" t="inlineStr">
        <is>
          <t>live case, no plan document yet</t>
        </is>
      </c>
      <c r="AP349" s="29" t="inlineStr">
        <is>
          <t>MARINGA</t>
        </is>
      </c>
      <c r="AQ349" s="29" t="inlineStr">
        <is>
          <t>PR</t>
        </is>
      </c>
      <c r="AR349" s="29" t="inlineStr">
        <is>
          <t>Condomínios prediais</t>
        </is>
      </c>
      <c r="AS349" s="29" t="inlineStr">
        <is>
          <t>DEMAIS</t>
        </is>
      </c>
      <c r="AT349" s="29" t="inlineStr">
        <is>
          <t>MID-MARKET</t>
        </is>
      </c>
      <c r="AU349" s="29" t="inlineStr">
        <is>
          <t>03070981</t>
        </is>
      </c>
      <c r="AV349" s="29" t="n">
        <v>1</v>
      </c>
      <c r="AW349" s="29" t="inlineStr">
        <is>
          <t>ROWS:p4r6</t>
        </is>
      </c>
    </row>
    <row r="350">
      <c r="A350" s="15" t="inlineStr">
        <is>
          <t>ROLAND BRASIL IMPORTACAO, EXPORTACAO, COMERCIO, REPRESENTACAO E SERVICOS LTDA.</t>
        </is>
      </c>
      <c r="B350" s="16" t="n">
        <v>407763.63</v>
      </c>
      <c r="C350" s="17" t="inlineStr">
        <is>
          <t>ATIVOS ADMINISTRAÇÃO JUDICIA</t>
        </is>
      </c>
      <c r="D350" s="18" t="inlineStr">
        <is>
          <t>NEW</t>
        </is>
      </c>
      <c r="E350" s="19" t="inlineStr"/>
      <c r="F350" s="18" t="inlineStr"/>
      <c r="G350" s="19" t="inlineStr"/>
      <c r="H350" s="18" t="inlineStr"/>
      <c r="I350" s="20" t="inlineStr">
        <is>
          <t>Deise Yamanaka</t>
        </is>
      </c>
      <c r="J350" s="20" t="inlineStr">
        <is>
          <t>Finance Director Latam</t>
        </is>
      </c>
      <c r="K350" s="20" t="inlineStr">
        <is>
          <t>(11) 3087-7700</t>
        </is>
      </c>
      <c r="L350" s="20" t="inlineStr"/>
      <c r="M350" s="20" t="inlineStr"/>
      <c r="N350" s="20" t="inlineStr">
        <is>
          <t>deise.yamanaka@roland.com</t>
        </is>
      </c>
      <c r="O350" s="20" t="inlineStr"/>
      <c r="P350" s="20" t="inlineStr"/>
      <c r="Q350" s="20" t="inlineStr"/>
      <c r="R350" s="20" t="inlineStr"/>
      <c r="S350" s="20" t="inlineStr"/>
      <c r="T350" s="21" t="n">
        <v>407763.63</v>
      </c>
      <c r="U350" s="22" t="inlineStr">
        <is>
          <t>B</t>
        </is>
      </c>
      <c r="V350" s="23">
        <f>IFERROR(VLOOKUP(U350,Assumptions!$A$7:$D$11,2,FALSE),0)</f>
        <v/>
      </c>
      <c r="W350" s="24">
        <f>MAX(0.5,IFERROR(VLOOKUP(U350,Assumptions!$A$7:$D$11,3,FALSE),3)+IFERROR(VLOOKUP(U350,Assumptions!$A$7:$D$11,4,FALSE),8)/2-IF(AN350="",0,YEAR(TODAY())-AN350))</f>
        <v/>
      </c>
      <c r="X350" s="21">
        <f>T350*V350/(1+Assumptions!$B$3)^W350</f>
        <v/>
      </c>
      <c r="Y350" s="25">
        <f>IF(T350=0,"",ROUND(X350/T350*100,1))</f>
        <v/>
      </c>
      <c r="Z350" s="26">
        <f>X350*Assumptions!$B$4</f>
        <v/>
      </c>
      <c r="AA350" s="25">
        <f>IF(T350=0,"",ROUND(Z350/T350*100,1))</f>
        <v/>
      </c>
      <c r="AB350" s="26">
        <f>X350-Z350</f>
        <v/>
      </c>
      <c r="AC350" s="25">
        <f>IF(T350=0,"",ROUND((X350-Z350)/T350*100,1))</f>
        <v/>
      </c>
      <c r="AD350" s="27" t="inlineStr">
        <is>
          <t>ESTIMATED</t>
        </is>
      </c>
      <c r="AE350" s="28" t="inlineStr">
        <is>
          <t>https://ativosajce.com.br/admin/download.php?file=files/processo_documento/processo_documento18543908052025_1_.pdf&amp;nome=Relação de Credores - art. 52, §1º da Lei 11.101/05 - 27/01/2025</t>
        </is>
      </c>
      <c r="AF350" s="27" t="inlineStr">
        <is>
          <t>p3 r11</t>
        </is>
      </c>
      <c r="AG350" s="27" t="inlineStr">
        <is>
          <t>p3: R$ 407.763,63</t>
        </is>
      </c>
      <c r="AH350" s="27" t="inlineStr">
        <is>
          <t>UNKNOWN</t>
        </is>
      </c>
      <c r="AI350" s="27" t="inlineStr"/>
      <c r="AJ350" s="27" t="inlineStr">
        <is>
          <t>OK_NO_TOTALS</t>
        </is>
      </c>
      <c r="AK350" s="29" t="inlineStr">
        <is>
          <t>1001174-80.2024.8.26.0359</t>
        </is>
      </c>
      <c r="AL350" s="29" t="inlineStr">
        <is>
          <t>TJSP</t>
        </is>
      </c>
      <c r="AM350" s="29" t="inlineStr">
        <is>
          <t>ACTIVE</t>
        </is>
      </c>
      <c r="AN350" s="29" t="n">
        <v>2024</v>
      </c>
      <c r="AO350" s="29" t="inlineStr">
        <is>
          <t>live case, no plan document yet</t>
        </is>
      </c>
      <c r="AP350" s="29" t="inlineStr">
        <is>
          <t>SAO PAULO</t>
        </is>
      </c>
      <c r="AQ350" s="29" t="inlineStr">
        <is>
          <t>SP</t>
        </is>
      </c>
      <c r="AR350" s="29" t="inlineStr">
        <is>
          <t>Comércio atacadista de outros equipamentos e artigos de uso pessoal e doméstico não especificados anteriormente</t>
        </is>
      </c>
      <c r="AS350" s="29" t="inlineStr">
        <is>
          <t>DEMAIS</t>
        </is>
      </c>
      <c r="AT350" s="29" t="inlineStr">
        <is>
          <t>MID-MARKET</t>
        </is>
      </c>
      <c r="AU350" s="29" t="inlineStr">
        <is>
          <t>67070268</t>
        </is>
      </c>
      <c r="AV350" s="29" t="n">
        <v>1</v>
      </c>
      <c r="AW350" s="29" t="inlineStr">
        <is>
          <t>ROWS:p3r11 UNRECONCILED_SOURCE VALUE_COL:Valor_Do_Créidto</t>
        </is>
      </c>
    </row>
    <row r="351">
      <c r="A351" s="15" t="inlineStr">
        <is>
          <t>SALUX - INFORMATIZACAO EM SAUDE S.A.</t>
        </is>
      </c>
      <c r="B351" s="16" t="n">
        <v>260799.62</v>
      </c>
      <c r="C351" s="17" t="inlineStr">
        <is>
          <t>ASSOCIACAO DE CARIDADE SANTA CASA DE RIO GRANDE</t>
        </is>
      </c>
      <c r="D351" s="18" t="inlineStr">
        <is>
          <t>NEW</t>
        </is>
      </c>
      <c r="E351" s="19" t="inlineStr"/>
      <c r="F351" s="18" t="inlineStr"/>
      <c r="G351" s="19" t="inlineStr"/>
      <c r="H351" s="18" t="inlineStr"/>
      <c r="I351" s="20" t="inlineStr">
        <is>
          <t>SEBASTIAO RAMILO BULCAO BRINGEL</t>
        </is>
      </c>
      <c r="J351" s="20" t="inlineStr">
        <is>
          <t>Presidente</t>
        </is>
      </c>
      <c r="K351" s="20" t="inlineStr">
        <is>
          <t>(51) 3021-0055</t>
        </is>
      </c>
      <c r="L351" s="20" t="inlineStr"/>
      <c r="M351" s="20" t="inlineStr"/>
      <c r="N351" s="20" t="inlineStr"/>
      <c r="O351" s="20" t="inlineStr"/>
      <c r="P351" s="20" t="inlineStr">
        <is>
          <t>MURILO PIMENTEL FERNANDES</t>
        </is>
      </c>
      <c r="Q351" s="20" t="inlineStr">
        <is>
          <t>Diretor</t>
        </is>
      </c>
      <c r="R351" s="20" t="inlineStr">
        <is>
          <t>(51) 3021-0055</t>
        </is>
      </c>
      <c r="S351" s="20" t="inlineStr"/>
      <c r="T351" s="21" t="n">
        <v>260799.62</v>
      </c>
      <c r="U351" s="22" t="inlineStr">
        <is>
          <t>B</t>
        </is>
      </c>
      <c r="V351" s="23">
        <f>IFERROR(VLOOKUP(U351,Assumptions!$A$7:$D$11,2,FALSE),0)</f>
        <v/>
      </c>
      <c r="W351" s="24">
        <f>MAX(0.5,IFERROR(VLOOKUP(U351,Assumptions!$A$7:$D$11,3,FALSE),3)+IFERROR(VLOOKUP(U351,Assumptions!$A$7:$D$11,4,FALSE),8)/2-IF(AN351="",0,YEAR(TODAY())-AN351))</f>
        <v/>
      </c>
      <c r="X351" s="21">
        <f>T351*V351/(1+Assumptions!$B$3)^W351</f>
        <v/>
      </c>
      <c r="Y351" s="25">
        <f>IF(T351=0,"",ROUND(X351/T351*100,1))</f>
        <v/>
      </c>
      <c r="Z351" s="26">
        <f>X351*Assumptions!$B$4</f>
        <v/>
      </c>
      <c r="AA351" s="25">
        <f>IF(T351=0,"",ROUND(Z351/T351*100,1))</f>
        <v/>
      </c>
      <c r="AB351" s="26">
        <f>X351-Z351</f>
        <v/>
      </c>
      <c r="AC351" s="25">
        <f>IF(T351=0,"",ROUND((X351-Z351)/T351*100,1))</f>
        <v/>
      </c>
      <c r="AD351" s="27" t="inlineStr">
        <is>
          <t>ESTIMATED</t>
        </is>
      </c>
      <c r="AE351" s="28" t="inlineStr">
        <is>
          <t>https://scalzilliaj.com.br/sgc/download.php?file=files/processo_documento/processo_documento09120721032023_1_.pdf&amp;nome=15 - Edital do art. 7º, §2º e 53 da Lei 11.101/2005 (segunda lista de credores e recebimento do plano))</t>
        </is>
      </c>
      <c r="AF351" s="27" t="inlineStr">
        <is>
          <t>p29 r43</t>
        </is>
      </c>
      <c r="AG351" s="27" t="inlineStr">
        <is>
          <t>p29: R$ 260.799,62</t>
        </is>
      </c>
      <c r="AH351" s="27" t="inlineStr">
        <is>
          <t>AJ_LIST</t>
        </is>
      </c>
      <c r="AI351" s="27" t="inlineStr">
        <is>
          <t>2023-03-21</t>
        </is>
      </c>
      <c r="AJ351" s="27" t="inlineStr">
        <is>
          <t>OK_NO_TOTALS</t>
        </is>
      </c>
      <c r="AK351" s="29" t="inlineStr">
        <is>
          <t>5012306-16.2022.8.21.0023</t>
        </is>
      </c>
      <c r="AL351" s="29" t="inlineStr">
        <is>
          <t>TJRS</t>
        </is>
      </c>
      <c r="AM351" s="29" t="inlineStr">
        <is>
          <t>ACTIVE</t>
        </is>
      </c>
      <c r="AN351" s="29" t="n">
        <v>2022</v>
      </c>
      <c r="AO351" s="29" t="inlineStr">
        <is>
          <t>live case, no plan document yet</t>
        </is>
      </c>
      <c r="AP351" s="29" t="inlineStr">
        <is>
          <t>PORTO ALEGRE</t>
        </is>
      </c>
      <c r="AQ351" s="29" t="inlineStr">
        <is>
          <t>RS</t>
        </is>
      </c>
      <c r="AR351" s="29" t="inlineStr">
        <is>
          <t>Desenvolvimento e licenciamento de programas de computador customizáveis</t>
        </is>
      </c>
      <c r="AS351" s="29" t="inlineStr">
        <is>
          <t>DEMAIS</t>
        </is>
      </c>
      <c r="AT351" s="29" t="inlineStr">
        <is>
          <t>MID-MARKET</t>
        </is>
      </c>
      <c r="AU351" s="29" t="inlineStr">
        <is>
          <t>05113942</t>
        </is>
      </c>
      <c r="AV351" s="29" t="n">
        <v>1</v>
      </c>
      <c r="AW351" s="29" t="inlineStr">
        <is>
          <t>ROWS:p29r43 UNRECONCILED_SOURCE</t>
        </is>
      </c>
    </row>
    <row r="352">
      <c r="A352" s="15" t="inlineStr">
        <is>
          <t>MEDAL METALURGICA DALLA LANA LTDA</t>
        </is>
      </c>
      <c r="B352" s="16" t="n">
        <v>508918.34</v>
      </c>
      <c r="C352" s="17" t="inlineStr"/>
      <c r="D352" s="18" t="inlineStr">
        <is>
          <t>NEW</t>
        </is>
      </c>
      <c r="E352" s="19" t="inlineStr"/>
      <c r="F352" s="18" t="inlineStr"/>
      <c r="G352" s="19" t="inlineStr"/>
      <c r="H352" s="18" t="inlineStr"/>
      <c r="I352" s="20" t="inlineStr">
        <is>
          <t>ADEMIR LUIZ DALLA LANA</t>
        </is>
      </c>
      <c r="J352" s="20" t="inlineStr">
        <is>
          <t>Administrador</t>
        </is>
      </c>
      <c r="K352" s="20" t="inlineStr">
        <is>
          <t>(49) 3523-4400</t>
        </is>
      </c>
      <c r="L352" s="20" t="inlineStr"/>
      <c r="M352" s="20" t="inlineStr"/>
      <c r="N352" s="20" t="inlineStr"/>
      <c r="O352" s="20" t="inlineStr"/>
      <c r="P352" s="20" t="inlineStr">
        <is>
          <t>ALTAIR DALLA LANA</t>
        </is>
      </c>
      <c r="Q352" s="20" t="inlineStr">
        <is>
          <t>Administrador</t>
        </is>
      </c>
      <c r="R352" s="20" t="inlineStr">
        <is>
          <t>(49) 3523-4400</t>
        </is>
      </c>
      <c r="S352" s="20" t="inlineStr"/>
      <c r="T352" s="21" t="n">
        <v>508918.34</v>
      </c>
      <c r="U352" s="22" t="inlineStr">
        <is>
          <t>B</t>
        </is>
      </c>
      <c r="V352" s="23">
        <f>IFERROR(VLOOKUP(U352,Assumptions!$A$7:$D$11,2,FALSE),0)</f>
        <v/>
      </c>
      <c r="W352" s="24">
        <f>MAX(0.5,IFERROR(VLOOKUP(U352,Assumptions!$A$7:$D$11,3,FALSE),3)+IFERROR(VLOOKUP(U352,Assumptions!$A$7:$D$11,4,FALSE),8)/2-IF(AN352="",0,YEAR(TODAY())-AN352))</f>
        <v/>
      </c>
      <c r="X352" s="21">
        <f>T352*V352/(1+Assumptions!$B$3)^W352</f>
        <v/>
      </c>
      <c r="Y352" s="25">
        <f>IF(T352=0,"",ROUND(X352/T352*100,1))</f>
        <v/>
      </c>
      <c r="Z352" s="26">
        <f>X352*Assumptions!$B$4</f>
        <v/>
      </c>
      <c r="AA352" s="25">
        <f>IF(T352=0,"",ROUND(Z352/T352*100,1))</f>
        <v/>
      </c>
      <c r="AB352" s="26">
        <f>X352-Z352</f>
        <v/>
      </c>
      <c r="AC352" s="25">
        <f>IF(T352=0,"",ROUND((X352-Z352)/T352*100,1))</f>
        <v/>
      </c>
      <c r="AD352" s="27" t="inlineStr">
        <is>
          <t>UNKNOWN</t>
        </is>
      </c>
      <c r="AE352" s="28" t="inlineStr">
        <is>
          <t>https://credibilita.com.br/wp-content/uploads/2025/09/Relacao-Credores-29.04.2026.pdf</t>
        </is>
      </c>
      <c r="AF352" s="27" t="inlineStr">
        <is>
          <t>p2 r4</t>
        </is>
      </c>
      <c r="AG352" s="27" t="inlineStr">
        <is>
          <t>p2: R$ 508.918,34</t>
        </is>
      </c>
      <c r="AH352" s="27" t="inlineStr">
        <is>
          <t>UNKNOWN</t>
        </is>
      </c>
      <c r="AI352" s="27" t="inlineStr"/>
      <c r="AJ352" s="27" t="inlineStr">
        <is>
          <t>OK_NO_TOTALS</t>
        </is>
      </c>
      <c r="AK352" s="29" t="inlineStr">
        <is>
          <t>5057720-48.2025.8.24.0023</t>
        </is>
      </c>
      <c r="AL352" s="29" t="inlineStr">
        <is>
          <t>TJ</t>
        </is>
      </c>
      <c r="AM352" s="29" t="inlineStr"/>
      <c r="AN352" s="29" t="n">
        <v>2025</v>
      </c>
      <c r="AO352" s="29" t="inlineStr">
        <is>
          <t>live case, no plan document yet</t>
        </is>
      </c>
      <c r="AP352" s="29" t="inlineStr">
        <is>
          <t>LUZERNA</t>
        </is>
      </c>
      <c r="AQ352" s="29" t="inlineStr">
        <is>
          <t>SC</t>
        </is>
      </c>
      <c r="AR352" s="29" t="inlineStr">
        <is>
          <t>Fabricação de equipamentos hidráulicos e pneumáticos, peças e acessórios, exceto válvulas</t>
        </is>
      </c>
      <c r="AS352" s="29" t="inlineStr">
        <is>
          <t>DEMAIS</t>
        </is>
      </c>
      <c r="AT352" s="29" t="inlineStr">
        <is>
          <t>MID-MARKET</t>
        </is>
      </c>
      <c r="AU352" s="29" t="inlineStr">
        <is>
          <t>83610790</t>
        </is>
      </c>
      <c r="AV352" s="29" t="n">
        <v>1</v>
      </c>
      <c r="AW352" s="29" t="inlineStr">
        <is>
          <t>ROWS:p2r4 UNRECONCILED_SOURCE VALUE_COL:Valor_Após_Analise</t>
        </is>
      </c>
    </row>
    <row r="353">
      <c r="A353" s="15" t="inlineStr">
        <is>
          <t>AGROCETE INDUSTRIA DE FERTILIZANTES LTDA</t>
        </is>
      </c>
      <c r="B353" s="16" t="n">
        <v>406921.95</v>
      </c>
      <c r="C353" s="17" t="inlineStr">
        <is>
          <t>AGROFORTE AGROPECUARIA LTDA EM RECUPERACAO JUDICIAL</t>
        </is>
      </c>
      <c r="D353" s="18" t="inlineStr">
        <is>
          <t>NEW</t>
        </is>
      </c>
      <c r="E353" s="19" t="inlineStr"/>
      <c r="F353" s="18" t="inlineStr"/>
      <c r="G353" s="19" t="inlineStr"/>
      <c r="H353" s="18" t="inlineStr"/>
      <c r="I353" s="20" t="inlineStr">
        <is>
          <t>Marcio Junior</t>
        </is>
      </c>
      <c r="J353" s="20" t="inlineStr">
        <is>
          <t>Controller Analyst</t>
        </is>
      </c>
      <c r="K353" s="20" t="inlineStr">
        <is>
          <t>(42) 3228-1229</t>
        </is>
      </c>
      <c r="L353" s="20" t="inlineStr"/>
      <c r="M353" s="20" t="inlineStr"/>
      <c r="N353" s="20" t="inlineStr">
        <is>
          <t>marcio.schade@agrocete.com</t>
        </is>
      </c>
      <c r="O353" s="20" t="inlineStr">
        <is>
          <t>renata.moreira@agrocete.com</t>
        </is>
      </c>
      <c r="P353" s="20" t="inlineStr">
        <is>
          <t>Renata Moreira</t>
        </is>
      </c>
      <c r="Q353" s="20" t="inlineStr">
        <is>
          <t>Controller Assistant</t>
        </is>
      </c>
      <c r="R353" s="20" t="inlineStr"/>
      <c r="S353" s="20" t="inlineStr">
        <is>
          <t>renata.moreira@agrocete.com</t>
        </is>
      </c>
      <c r="T353" s="21" t="n">
        <v>406921.95</v>
      </c>
      <c r="U353" s="22" t="inlineStr">
        <is>
          <t>B</t>
        </is>
      </c>
      <c r="V353" s="23">
        <f>IFERROR(VLOOKUP(U353,Assumptions!$A$7:$D$11,2,FALSE),0)</f>
        <v/>
      </c>
      <c r="W353" s="24">
        <f>MAX(0.5,IFERROR(VLOOKUP(U353,Assumptions!$A$7:$D$11,3,FALSE),3)+IFERROR(VLOOKUP(U353,Assumptions!$A$7:$D$11,4,FALSE),8)/2-IF(AN353="",0,YEAR(TODAY())-AN353))</f>
        <v/>
      </c>
      <c r="X353" s="21">
        <f>T353*V353/(1+Assumptions!$B$3)^W353</f>
        <v/>
      </c>
      <c r="Y353" s="25">
        <f>IF(T353=0,"",ROUND(X353/T353*100,1))</f>
        <v/>
      </c>
      <c r="Z353" s="26">
        <f>X353*Assumptions!$B$4</f>
        <v/>
      </c>
      <c r="AA353" s="25">
        <f>IF(T353=0,"",ROUND(Z353/T353*100,1))</f>
        <v/>
      </c>
      <c r="AB353" s="26">
        <f>X353-Z353</f>
        <v/>
      </c>
      <c r="AC353" s="25">
        <f>IF(T353=0,"",ROUND((X353-Z353)/T353*100,1))</f>
        <v/>
      </c>
      <c r="AD353" s="27" t="inlineStr">
        <is>
          <t>ESTIMATED</t>
        </is>
      </c>
      <c r="AE353" s="28" t="inlineStr">
        <is>
          <t>https://marquesadmjudicial.com.br/sgc/download.php?file=files/processo_documento/processo_documento11370527032026_1_.pdf&amp;nome=Quadro Geral de Credores (QGC) -AJ Anterior</t>
        </is>
      </c>
      <c r="AF353" s="27" t="inlineStr">
        <is>
          <t>p1 r4</t>
        </is>
      </c>
      <c r="AG353" s="27" t="inlineStr">
        <is>
          <t>p1: R$ 406.921,95</t>
        </is>
      </c>
      <c r="AH353" s="27" t="inlineStr">
        <is>
          <t>QGC</t>
        </is>
      </c>
      <c r="AI353" s="27" t="inlineStr">
        <is>
          <t>2025-09-22</t>
        </is>
      </c>
      <c r="AJ353" s="27" t="inlineStr">
        <is>
          <t>QUARANTINED</t>
        </is>
      </c>
      <c r="AK353" s="29" t="inlineStr">
        <is>
          <t>0031120-52.2024.8.16.0017</t>
        </is>
      </c>
      <c r="AL353" s="29" t="inlineStr">
        <is>
          <t>TJPR</t>
        </is>
      </c>
      <c r="AM353" s="29" t="inlineStr">
        <is>
          <t>ACTIVE</t>
        </is>
      </c>
      <c r="AN353" s="29" t="n">
        <v>2024</v>
      </c>
      <c r="AO353" s="29" t="inlineStr">
        <is>
          <t>live case, no plan document yet</t>
        </is>
      </c>
      <c r="AP353" s="29" t="inlineStr">
        <is>
          <t>PONTA GROSSA</t>
        </is>
      </c>
      <c r="AQ353" s="29" t="inlineStr">
        <is>
          <t>PR</t>
        </is>
      </c>
      <c r="AR353" s="29" t="inlineStr">
        <is>
          <t>Fabricação de adubos e fertilizantes, exceto organo-minerais</t>
        </is>
      </c>
      <c r="AS353" s="29" t="inlineStr">
        <is>
          <t>DEMAIS</t>
        </is>
      </c>
      <c r="AT353" s="29" t="inlineStr">
        <is>
          <t>MID-MARKET</t>
        </is>
      </c>
      <c r="AU353" s="29" t="inlineStr">
        <is>
          <t>75007385</t>
        </is>
      </c>
      <c r="AV353" s="29" t="n">
        <v>1</v>
      </c>
      <c r="AW353" s="29" t="inlineStr">
        <is>
          <t>PARTIAL_DOC_CLASS_III_RECONCILED ROWS:p1r4</t>
        </is>
      </c>
    </row>
    <row r="354">
      <c r="A354" s="15" t="inlineStr">
        <is>
          <t>PRO-COLOR QUIMICA SUL LTDA</t>
        </is>
      </c>
      <c r="B354" s="16" t="n">
        <v>325517.44</v>
      </c>
      <c r="C354" s="17" t="inlineStr">
        <is>
          <t>CRISTAL MASTER INDUSTRIA E COMERCIO LTDA</t>
        </is>
      </c>
      <c r="D354" s="18" t="inlineStr">
        <is>
          <t>NEW</t>
        </is>
      </c>
      <c r="E354" s="19" t="inlineStr"/>
      <c r="F354" s="18" t="inlineStr"/>
      <c r="G354" s="19" t="inlineStr"/>
      <c r="H354" s="18" t="inlineStr"/>
      <c r="I354" s="20" t="inlineStr">
        <is>
          <t>ROBERTO CLAUSS</t>
        </is>
      </c>
      <c r="J354" s="20" t="inlineStr">
        <is>
          <t>Sócio-Administrador</t>
        </is>
      </c>
      <c r="K354" s="20" t="inlineStr">
        <is>
          <t>(47) 8814-9733</t>
        </is>
      </c>
      <c r="L354" s="20" t="inlineStr"/>
      <c r="M354" s="20" t="inlineStr"/>
      <c r="N354" s="20" t="inlineStr"/>
      <c r="O354" s="20" t="inlineStr"/>
      <c r="P354" s="20" t="inlineStr"/>
      <c r="Q354" s="20" t="inlineStr"/>
      <c r="R354" s="20" t="inlineStr"/>
      <c r="S354" s="20" t="inlineStr"/>
      <c r="T354" s="21" t="n">
        <v>325517.44</v>
      </c>
      <c r="U354" s="22" t="inlineStr">
        <is>
          <t>B</t>
        </is>
      </c>
      <c r="V354" s="23">
        <f>IFERROR(VLOOKUP(U354,Assumptions!$A$7:$D$11,2,FALSE),0)</f>
        <v/>
      </c>
      <c r="W354" s="24">
        <f>MAX(0.5,IFERROR(VLOOKUP(U354,Assumptions!$A$7:$D$11,3,FALSE),3)+IFERROR(VLOOKUP(U354,Assumptions!$A$7:$D$11,4,FALSE),8)/2-IF(AN354="",0,YEAR(TODAY())-AN354))</f>
        <v/>
      </c>
      <c r="X354" s="21">
        <f>T354*V354/(1+Assumptions!$B$3)^W354</f>
        <v/>
      </c>
      <c r="Y354" s="25">
        <f>IF(T354=0,"",ROUND(X354/T354*100,1))</f>
        <v/>
      </c>
      <c r="Z354" s="26">
        <f>X354*Assumptions!$B$4</f>
        <v/>
      </c>
      <c r="AA354" s="25">
        <f>IF(T354=0,"",ROUND(Z354/T354*100,1))</f>
        <v/>
      </c>
      <c r="AB354" s="26">
        <f>X354-Z354</f>
        <v/>
      </c>
      <c r="AC354" s="25">
        <f>IF(T354=0,"",ROUND((X354-Z354)/T354*100,1))</f>
        <v/>
      </c>
      <c r="AD354" s="27" t="inlineStr">
        <is>
          <t>ESTIMATED</t>
        </is>
      </c>
      <c r="AE354" s="28" t="inlineStr">
        <is>
          <t>https://ajruiz.com.br/sites/default/files/public/arquivos-processos/2026-08/qgc_azeplast_julho_2026.pdf</t>
        </is>
      </c>
      <c r="AF354" s="27" t="inlineStr">
        <is>
          <t>p2 r7</t>
        </is>
      </c>
      <c r="AG354" s="27" t="inlineStr">
        <is>
          <t>p2: R$ 325.517,44</t>
        </is>
      </c>
      <c r="AH354" s="27" t="inlineStr">
        <is>
          <t>QGC</t>
        </is>
      </c>
      <c r="AI354" s="27" t="inlineStr"/>
      <c r="AJ354" s="27" t="inlineStr">
        <is>
          <t>QUARANTINED</t>
        </is>
      </c>
      <c r="AK354" s="29" t="inlineStr">
        <is>
          <t>5008793-34.2023.8.24.0019</t>
        </is>
      </c>
      <c r="AL354" s="29" t="inlineStr">
        <is>
          <t>TJSC</t>
        </is>
      </c>
      <c r="AM354" s="29" t="inlineStr">
        <is>
          <t>ACTIVE</t>
        </is>
      </c>
      <c r="AN354" s="29" t="n">
        <v>2023</v>
      </c>
      <c r="AO354" s="29" t="inlineStr">
        <is>
          <t>live case, no plan document yet</t>
        </is>
      </c>
      <c r="AP354" s="29" t="inlineStr">
        <is>
          <t>JARAGUA DO SUL</t>
        </is>
      </c>
      <c r="AQ354" s="29" t="inlineStr">
        <is>
          <t>SC</t>
        </is>
      </c>
      <c r="AR354" s="29" t="inlineStr">
        <is>
          <t>Comércio atacadista de resinas e elastômeros</t>
        </is>
      </c>
      <c r="AS354" s="29" t="inlineStr">
        <is>
          <t>DEMAIS</t>
        </is>
      </c>
      <c r="AT354" s="29" t="inlineStr">
        <is>
          <t>MID-MARKET</t>
        </is>
      </c>
      <c r="AU354" s="29" t="inlineStr">
        <is>
          <t>19966141</t>
        </is>
      </c>
      <c r="AV354" s="29" t="n">
        <v>1</v>
      </c>
      <c r="AW354" s="29" t="inlineStr">
        <is>
          <t>PARTIAL_DOC_CLASS_III_RECONCILED ROWS:p2r7</t>
        </is>
      </c>
    </row>
    <row r="355">
      <c r="A355" s="15" t="inlineStr">
        <is>
          <t>GETTI QUIMICA LTDA</t>
        </is>
      </c>
      <c r="B355" s="16" t="n">
        <v>406720.75</v>
      </c>
      <c r="C355" s="17" t="inlineStr">
        <is>
          <t>DIVINA INDUSTRIA DE COURO LTDA - EM RECUPERACAO JUDICIAL</t>
        </is>
      </c>
      <c r="D355" s="18" t="inlineStr">
        <is>
          <t>NEW</t>
        </is>
      </c>
      <c r="E355" s="19" t="inlineStr"/>
      <c r="F355" s="18" t="inlineStr"/>
      <c r="G355" s="19" t="inlineStr"/>
      <c r="H355" s="18" t="inlineStr"/>
      <c r="I355" s="20" t="inlineStr">
        <is>
          <t>Fabricio Moura</t>
        </is>
      </c>
      <c r="J355" s="20" t="inlineStr">
        <is>
          <t>Contador</t>
        </is>
      </c>
      <c r="K355" s="20" t="inlineStr">
        <is>
          <t>(51) 3553-3355</t>
        </is>
      </c>
      <c r="L355" s="20" t="inlineStr"/>
      <c r="M355" s="20" t="inlineStr"/>
      <c r="N355" s="20" t="inlineStr">
        <is>
          <t>fabricio@getti.com.br</t>
        </is>
      </c>
      <c r="O355" s="20" t="inlineStr"/>
      <c r="P355" s="20" t="inlineStr">
        <is>
          <t>ANDRE STOFFEL</t>
        </is>
      </c>
      <c r="Q355" s="20" t="inlineStr">
        <is>
          <t>Sócio-Administrador</t>
        </is>
      </c>
      <c r="R355" s="20" t="inlineStr">
        <is>
          <t>(51) 3553-3355</t>
        </is>
      </c>
      <c r="S355" s="20" t="inlineStr"/>
      <c r="T355" s="21" t="n">
        <v>406720.75</v>
      </c>
      <c r="U355" s="22" t="inlineStr">
        <is>
          <t>B</t>
        </is>
      </c>
      <c r="V355" s="23">
        <f>IFERROR(VLOOKUP(U355,Assumptions!$A$7:$D$11,2,FALSE),0)</f>
        <v/>
      </c>
      <c r="W355" s="24">
        <f>MAX(0.5,IFERROR(VLOOKUP(U355,Assumptions!$A$7:$D$11,3,FALSE),3)+IFERROR(VLOOKUP(U355,Assumptions!$A$7:$D$11,4,FALSE),8)/2-IF(AN355="",0,YEAR(TODAY())-AN355))</f>
        <v/>
      </c>
      <c r="X355" s="21">
        <f>T355*V355/(1+Assumptions!$B$3)^W355</f>
        <v/>
      </c>
      <c r="Y355" s="25">
        <f>IF(T355=0,"",ROUND(X355/T355*100,1))</f>
        <v/>
      </c>
      <c r="Z355" s="26">
        <f>X355*Assumptions!$B$4</f>
        <v/>
      </c>
      <c r="AA355" s="25">
        <f>IF(T355=0,"",ROUND(Z355/T355*100,1))</f>
        <v/>
      </c>
      <c r="AB355" s="26">
        <f>X355-Z355</f>
        <v/>
      </c>
      <c r="AC355" s="25">
        <f>IF(T355=0,"",ROUND((X355-Z355)/T355*100,1))</f>
        <v/>
      </c>
      <c r="AD355" s="27" t="inlineStr">
        <is>
          <t>ESTIMATED</t>
        </is>
      </c>
      <c r="AE355" s="28" t="inlineStr">
        <is>
          <t>https://lrflideres.com.br/wp-content/plugins/download-attachments/includes/download.php?id=6252</t>
        </is>
      </c>
      <c r="AF355" s="27" t="inlineStr">
        <is>
          <t>p2 r46</t>
        </is>
      </c>
      <c r="AG355" s="27" t="inlineStr">
        <is>
          <t>p2: R$ 406.720,75</t>
        </is>
      </c>
      <c r="AH355" s="27" t="inlineStr">
        <is>
          <t>AJ_LIST</t>
        </is>
      </c>
      <c r="AI355" s="27" t="inlineStr">
        <is>
          <t>2024-11-27</t>
        </is>
      </c>
      <c r="AJ355" s="27" t="inlineStr">
        <is>
          <t>QUARANTINED</t>
        </is>
      </c>
      <c r="AK355" s="29" t="inlineStr">
        <is>
          <t>0000721-61.2024.8.17.2620</t>
        </is>
      </c>
      <c r="AL355" s="29" t="inlineStr">
        <is>
          <t>TJPE</t>
        </is>
      </c>
      <c r="AM355" s="29" t="inlineStr">
        <is>
          <t>ACTIVE</t>
        </is>
      </c>
      <c r="AN355" s="29" t="n">
        <v>2024</v>
      </c>
      <c r="AO355" s="29" t="inlineStr">
        <is>
          <t>live case, no plan document yet</t>
        </is>
      </c>
      <c r="AP355" s="29" t="inlineStr">
        <is>
          <t>NOVO HAMBURGO</t>
        </is>
      </c>
      <c r="AQ355" s="29" t="inlineStr">
        <is>
          <t>RS</t>
        </is>
      </c>
      <c r="AR355" s="29" t="inlineStr">
        <is>
          <t>Fabricação de outros produtos químicos não especificados anteriormente</t>
        </is>
      </c>
      <c r="AS355" s="29" t="inlineStr">
        <is>
          <t>DEMAIS</t>
        </is>
      </c>
      <c r="AT355" s="29" t="inlineStr">
        <is>
          <t>MID-MARKET</t>
        </is>
      </c>
      <c r="AU355" s="29" t="inlineStr">
        <is>
          <t>00073757</t>
        </is>
      </c>
      <c r="AV355" s="29" t="n">
        <v>1</v>
      </c>
      <c r="AW355" s="29" t="inlineStr">
        <is>
          <t>PARTIAL_DOC_CLASS_III_RECONCILED ROWS:p2r46</t>
        </is>
      </c>
    </row>
    <row r="356">
      <c r="A356" s="15" t="inlineStr">
        <is>
          <t>SELENE INDUSTRIA TEXTIL S A</t>
        </is>
      </c>
      <c r="B356" s="16" t="n">
        <v>259498.98</v>
      </c>
      <c r="C356" s="17" t="inlineStr">
        <is>
          <t>R W CONSTRUCOES LTDA</t>
        </is>
      </c>
      <c r="D356" s="18" t="inlineStr">
        <is>
          <t>NEW</t>
        </is>
      </c>
      <c r="E356" s="19" t="inlineStr"/>
      <c r="F356" s="18" t="inlineStr"/>
      <c r="G356" s="19" t="inlineStr"/>
      <c r="H356" s="18" t="inlineStr"/>
      <c r="I356" s="20" t="inlineStr">
        <is>
          <t>GUILHERME COLONNA ROSMAN</t>
        </is>
      </c>
      <c r="J356" s="20" t="inlineStr">
        <is>
          <t>Presidente</t>
        </is>
      </c>
      <c r="K356" s="20" t="inlineStr">
        <is>
          <t>(15) 3384-8888</t>
        </is>
      </c>
      <c r="L356" s="20" t="inlineStr"/>
      <c r="M356" s="20" t="inlineStr"/>
      <c r="N356" s="20" t="inlineStr"/>
      <c r="O356" s="20" t="inlineStr"/>
      <c r="P356" s="20" t="inlineStr">
        <is>
          <t>ALEXANDRE TERUO OGURI</t>
        </is>
      </c>
      <c r="Q356" s="20" t="inlineStr">
        <is>
          <t>Diretor</t>
        </is>
      </c>
      <c r="R356" s="20" t="inlineStr">
        <is>
          <t>(15) 3384-8888</t>
        </is>
      </c>
      <c r="S356" s="20" t="inlineStr"/>
      <c r="T356" s="21" t="n">
        <v>259498.98</v>
      </c>
      <c r="U356" s="22" t="inlineStr">
        <is>
          <t>B</t>
        </is>
      </c>
      <c r="V356" s="23">
        <f>IFERROR(VLOOKUP(U356,Assumptions!$A$7:$D$11,2,FALSE),0)</f>
        <v/>
      </c>
      <c r="W356" s="24">
        <f>MAX(0.5,IFERROR(VLOOKUP(U356,Assumptions!$A$7:$D$11,3,FALSE),3)+IFERROR(VLOOKUP(U356,Assumptions!$A$7:$D$11,4,FALSE),8)/2-IF(AN356="",0,YEAR(TODAY())-AN356))</f>
        <v/>
      </c>
      <c r="X356" s="21">
        <f>T356*V356/(1+Assumptions!$B$3)^W356</f>
        <v/>
      </c>
      <c r="Y356" s="25">
        <f>IF(T356=0,"",ROUND(X356/T356*100,1))</f>
        <v/>
      </c>
      <c r="Z356" s="26">
        <f>X356*Assumptions!$B$4</f>
        <v/>
      </c>
      <c r="AA356" s="25">
        <f>IF(T356=0,"",ROUND(Z356/T356*100,1))</f>
        <v/>
      </c>
      <c r="AB356" s="26">
        <f>X356-Z356</f>
        <v/>
      </c>
      <c r="AC356" s="25">
        <f>IF(T356=0,"",ROUND((X356-Z356)/T356*100,1))</f>
        <v/>
      </c>
      <c r="AD356" s="27" t="inlineStr">
        <is>
          <t>ESTIMATED</t>
        </is>
      </c>
      <c r="AE356" s="28" t="inlineStr">
        <is>
          <t>https://lrflideres.com.br/wp-content/plugins/download-attachments/includes/download.php?id=4023</t>
        </is>
      </c>
      <c r="AF356" s="27" t="inlineStr">
        <is>
          <t>p4 r90; p7 r120; p9 r89</t>
        </is>
      </c>
      <c r="AG356" s="27" t="inlineStr">
        <is>
          <t>p4: R$ 63.666,17; p7: R$ 158.338,98; p9: R$ 37.493,83</t>
        </is>
      </c>
      <c r="AH356" s="27" t="inlineStr">
        <is>
          <t>DEBTOR_LIST</t>
        </is>
      </c>
      <c r="AI356" s="27" t="inlineStr"/>
      <c r="AJ356" s="27" t="inlineStr">
        <is>
          <t>QUARANTINED</t>
        </is>
      </c>
      <c r="AK356" s="29" t="inlineStr">
        <is>
          <t>0002484-82.2022.8.17.2001</t>
        </is>
      </c>
      <c r="AL356" s="29" t="inlineStr">
        <is>
          <t>TJPE</t>
        </is>
      </c>
      <c r="AM356" s="29" t="inlineStr">
        <is>
          <t>ACTIVE</t>
        </is>
      </c>
      <c r="AN356" s="29" t="n">
        <v>2022</v>
      </c>
      <c r="AO356" s="29" t="inlineStr">
        <is>
          <t>live case, no plan document yet</t>
        </is>
      </c>
      <c r="AP356" s="29" t="inlineStr">
        <is>
          <t>CERQUILHO</t>
        </is>
      </c>
      <c r="AQ356" s="29" t="inlineStr">
        <is>
          <t>SP</t>
        </is>
      </c>
      <c r="AR356" s="29" t="inlineStr">
        <is>
          <t>Fabricação de meias</t>
        </is>
      </c>
      <c r="AS356" s="29" t="inlineStr">
        <is>
          <t>DEMAIS</t>
        </is>
      </c>
      <c r="AT356" s="29" t="inlineStr">
        <is>
          <t>LARGE CORP</t>
        </is>
      </c>
      <c r="AU356" s="29" t="inlineStr">
        <is>
          <t>47254545</t>
        </is>
      </c>
      <c r="AV356" s="29" t="n">
        <v>3</v>
      </c>
      <c r="AW356" s="29" t="inlineStr">
        <is>
          <t>PARTIAL_DOC_CLASS_III_RECONCILED ROWS:p4r90,p7r120,p9r89</t>
        </is>
      </c>
    </row>
    <row r="357">
      <c r="A357" s="15" t="inlineStr">
        <is>
          <t>COMPANHIA ESPIRITO SANTENSE DE SANEAMENTO CESAN</t>
        </is>
      </c>
      <c r="B357" s="16" t="n">
        <v>370928.52</v>
      </c>
      <c r="C357" s="17" t="inlineStr">
        <is>
          <t>HOSPITAL SA</t>
        </is>
      </c>
      <c r="D357" s="18" t="inlineStr">
        <is>
          <t>NEW</t>
        </is>
      </c>
      <c r="E357" s="19" t="inlineStr"/>
      <c r="F357" s="18" t="inlineStr"/>
      <c r="G357" s="19" t="inlineStr"/>
      <c r="H357" s="18" t="inlineStr"/>
      <c r="I357" s="20" t="inlineStr">
        <is>
          <t>MUNIR ABUD DE OLIVEIRA</t>
        </is>
      </c>
      <c r="J357" s="20" t="inlineStr">
        <is>
          <t>Presidente</t>
        </is>
      </c>
      <c r="K357" s="20" t="inlineStr">
        <is>
          <t>(27) 2127-5005</t>
        </is>
      </c>
      <c r="L357" s="20" t="inlineStr"/>
      <c r="M357" s="20" t="inlineStr"/>
      <c r="N357" s="20" t="inlineStr"/>
      <c r="O357" s="20" t="inlineStr"/>
      <c r="P357" s="20" t="inlineStr">
        <is>
          <t>KATIA MUNIZ COCO</t>
        </is>
      </c>
      <c r="Q357" s="20" t="inlineStr">
        <is>
          <t>Diretor</t>
        </is>
      </c>
      <c r="R357" s="20" t="inlineStr">
        <is>
          <t>(27) 2127-5005</t>
        </is>
      </c>
      <c r="S357" s="20" t="inlineStr"/>
      <c r="T357" s="21" t="n">
        <v>370928.52</v>
      </c>
      <c r="U357" s="31" t="inlineStr">
        <is>
          <t>C</t>
        </is>
      </c>
      <c r="V357" s="23">
        <f>IFERROR(VLOOKUP(U357,Assumptions!$A$7:$D$11,2,FALSE),0)</f>
        <v/>
      </c>
      <c r="W357" s="24">
        <f>MAX(0.5,IFERROR(VLOOKUP(U357,Assumptions!$A$7:$D$11,3,FALSE),3)+IFERROR(VLOOKUP(U357,Assumptions!$A$7:$D$11,4,FALSE),8)/2-IF(AN357="",0,YEAR(TODAY())-AN357))</f>
        <v/>
      </c>
      <c r="X357" s="21">
        <f>T357*V357/(1+Assumptions!$B$3)^W357</f>
        <v/>
      </c>
      <c r="Y357" s="25">
        <f>IF(T357=0,"",ROUND(X357/T357*100,1))</f>
        <v/>
      </c>
      <c r="Z357" s="26">
        <f>X357*Assumptions!$B$4</f>
        <v/>
      </c>
      <c r="AA357" s="25">
        <f>IF(T357=0,"",ROUND(Z357/T357*100,1))</f>
        <v/>
      </c>
      <c r="AB357" s="26">
        <f>X357-Z357</f>
        <v/>
      </c>
      <c r="AC357" s="25">
        <f>IF(T357=0,"",ROUND((X357-Z357)/T357*100,1))</f>
        <v/>
      </c>
      <c r="AD357" s="27" t="inlineStr">
        <is>
          <t>UNKNOWN</t>
        </is>
      </c>
      <c r="AE357" s="28" t="inlineStr">
        <is>
          <t>https://ricardobiancardi.com.br/wp-content/uploads/2024/12/Edital-1-relacao-de-credores-pub.-02.12.24-.pdf</t>
        </is>
      </c>
      <c r="AF357" s="27" t="inlineStr">
        <is>
          <t>p3 r16</t>
        </is>
      </c>
      <c r="AG357" s="27" t="inlineStr">
        <is>
          <t>p3: R$ 370.928,52</t>
        </is>
      </c>
      <c r="AH357" s="27" t="inlineStr">
        <is>
          <t>DEBTOR_LIST</t>
        </is>
      </c>
      <c r="AI357" s="27" t="inlineStr">
        <is>
          <t>2024-12-02</t>
        </is>
      </c>
      <c r="AJ357" s="27" t="inlineStr">
        <is>
          <t>OK_NO_TOTALS</t>
        </is>
      </c>
      <c r="AK357" s="29" t="inlineStr">
        <is>
          <t>0041309-42.2014.8.08.0024</t>
        </is>
      </c>
      <c r="AL357" s="29" t="inlineStr">
        <is>
          <t>TJ</t>
        </is>
      </c>
      <c r="AM357" s="29" t="inlineStr"/>
      <c r="AN357" s="29" t="n">
        <v>2014</v>
      </c>
      <c r="AO357" s="29" t="inlineStr">
        <is>
          <t>12y since filing, no plan document</t>
        </is>
      </c>
      <c r="AP357" s="29" t="inlineStr">
        <is>
          <t>VITORIA</t>
        </is>
      </c>
      <c r="AQ357" s="29" t="inlineStr">
        <is>
          <t>ES</t>
        </is>
      </c>
      <c r="AR357" s="29" t="inlineStr">
        <is>
          <t>Captação, tratamento e distribuição de água</t>
        </is>
      </c>
      <c r="AS357" s="29" t="inlineStr">
        <is>
          <t>DEMAIS</t>
        </is>
      </c>
      <c r="AT357" s="29" t="inlineStr">
        <is>
          <t>LARGE CORP</t>
        </is>
      </c>
      <c r="AU357" s="29" t="inlineStr">
        <is>
          <t>28151363</t>
        </is>
      </c>
      <c r="AV357" s="29" t="n">
        <v>1</v>
      </c>
      <c r="AW357" s="29" t="inlineStr">
        <is>
          <t>ROWS:p3r16 UNRECONCILED_SOURCE</t>
        </is>
      </c>
    </row>
    <row r="358">
      <c r="A358" s="15" t="inlineStr">
        <is>
          <t>COOPERATIVA DE PRODUTORES DE GRAOS DO ALTO URUGUAI LTDA</t>
        </is>
      </c>
      <c r="B358" s="16" t="n">
        <v>401745.93</v>
      </c>
      <c r="C358" s="17" t="inlineStr"/>
      <c r="D358" s="18" t="inlineStr">
        <is>
          <t>NEW</t>
        </is>
      </c>
      <c r="E358" s="19" t="inlineStr"/>
      <c r="F358" s="18" t="inlineStr"/>
      <c r="G358" s="19" t="inlineStr"/>
      <c r="H358" s="18" t="inlineStr"/>
      <c r="I358" s="20" t="inlineStr">
        <is>
          <t>ALEX SCOLARI RIGO</t>
        </is>
      </c>
      <c r="J358" s="20" t="inlineStr">
        <is>
          <t>Administrador</t>
        </is>
      </c>
      <c r="K358" s="20" t="inlineStr">
        <is>
          <t>(54) 9983-4616</t>
        </is>
      </c>
      <c r="L358" s="20" t="inlineStr"/>
      <c r="M358" s="20" t="inlineStr"/>
      <c r="N358" s="20" t="inlineStr"/>
      <c r="O358" s="20" t="inlineStr"/>
      <c r="P358" s="20" t="inlineStr">
        <is>
          <t>JOSE ARTUR BORTOLINI</t>
        </is>
      </c>
      <c r="Q358" s="20" t="inlineStr">
        <is>
          <t>Administrador</t>
        </is>
      </c>
      <c r="R358" s="20" t="inlineStr">
        <is>
          <t>(54) 9983-4616</t>
        </is>
      </c>
      <c r="S358" s="20" t="inlineStr"/>
      <c r="T358" s="21" t="n">
        <v>401745.93</v>
      </c>
      <c r="U358" s="22" t="inlineStr">
        <is>
          <t>B</t>
        </is>
      </c>
      <c r="V358" s="23">
        <f>IFERROR(VLOOKUP(U358,Assumptions!$A$7:$D$11,2,FALSE),0)</f>
        <v/>
      </c>
      <c r="W358" s="24">
        <f>MAX(0.5,IFERROR(VLOOKUP(U358,Assumptions!$A$7:$D$11,3,FALSE),3)+IFERROR(VLOOKUP(U358,Assumptions!$A$7:$D$11,4,FALSE),8)/2-IF(AN358="",0,YEAR(TODAY())-AN358))</f>
        <v/>
      </c>
      <c r="X358" s="21">
        <f>T358*V358/(1+Assumptions!$B$3)^W358</f>
        <v/>
      </c>
      <c r="Y358" s="25">
        <f>IF(T358=0,"",ROUND(X358/T358*100,1))</f>
        <v/>
      </c>
      <c r="Z358" s="26">
        <f>X358*Assumptions!$B$4</f>
        <v/>
      </c>
      <c r="AA358" s="25">
        <f>IF(T358=0,"",ROUND(Z358/T358*100,1))</f>
        <v/>
      </c>
      <c r="AB358" s="26">
        <f>X358-Z358</f>
        <v/>
      </c>
      <c r="AC358" s="25">
        <f>IF(T358=0,"",ROUND((X358-Z358)/T358*100,1))</f>
        <v/>
      </c>
      <c r="AD358" s="27" t="inlineStr">
        <is>
          <t>ESTIMATED</t>
        </is>
      </c>
      <c r="AE358" s="28" t="inlineStr">
        <is>
          <t>https://rlg-aj.com.br/wp-content/uploads/2024/11/07.-Relação-de-credores.pdf</t>
        </is>
      </c>
      <c r="AF358" s="27" t="inlineStr">
        <is>
          <t>p1 r30</t>
        </is>
      </c>
      <c r="AG358" s="27" t="inlineStr">
        <is>
          <t>p1: R$ 401.745,93</t>
        </is>
      </c>
      <c r="AH358" s="27" t="inlineStr">
        <is>
          <t>UNKNOWN</t>
        </is>
      </c>
      <c r="AI358" s="27" t="inlineStr"/>
      <c r="AJ358" s="27" t="inlineStr">
        <is>
          <t>OK_NO_TOTALS</t>
        </is>
      </c>
      <c r="AK358" s="29" t="inlineStr">
        <is>
          <t>5009149-92.2024.8.24.0019</t>
        </is>
      </c>
      <c r="AL358" s="29" t="inlineStr">
        <is>
          <t>TJSC</t>
        </is>
      </c>
      <c r="AM358" s="29" t="inlineStr">
        <is>
          <t>ACTIVE</t>
        </is>
      </c>
      <c r="AN358" s="29" t="n">
        <v>2024</v>
      </c>
      <c r="AO358" s="29" t="inlineStr">
        <is>
          <t>live case, no plan document yet</t>
        </is>
      </c>
      <c r="AP358" s="29" t="inlineStr">
        <is>
          <t>ESTACAO</t>
        </is>
      </c>
      <c r="AQ358" s="29" t="inlineStr">
        <is>
          <t>RS</t>
        </is>
      </c>
      <c r="AR358" s="29" t="inlineStr">
        <is>
          <t>Comércio atacadista de cereais e leguminosas beneficiados</t>
        </is>
      </c>
      <c r="AS358" s="29" t="inlineStr">
        <is>
          <t>DEMAIS</t>
        </is>
      </c>
      <c r="AT358" s="29" t="inlineStr">
        <is>
          <t>MID-MARKET</t>
        </is>
      </c>
      <c r="AU358" s="29" t="inlineStr">
        <is>
          <t>05039208</t>
        </is>
      </c>
      <c r="AV358" s="29" t="n">
        <v>1</v>
      </c>
      <c r="AW358" s="29" t="inlineStr">
        <is>
          <t>ROWS:p1r30 UNRECONCILED_SOURCE</t>
        </is>
      </c>
    </row>
    <row r="359">
      <c r="A359" s="15" t="inlineStr">
        <is>
          <t>POLIJUTA INDUSTRIA E COMERCIO DE EMBALAGENS LTDA</t>
        </is>
      </c>
      <c r="B359" s="16" t="n">
        <v>321041.01</v>
      </c>
      <c r="C359" s="17" t="inlineStr"/>
      <c r="D359" s="18" t="inlineStr">
        <is>
          <t>NEW</t>
        </is>
      </c>
      <c r="E359" s="19" t="inlineStr"/>
      <c r="F359" s="18" t="inlineStr"/>
      <c r="G359" s="19" t="inlineStr"/>
      <c r="H359" s="18" t="inlineStr"/>
      <c r="I359" s="20" t="inlineStr">
        <is>
          <t>Andrezza Araujo</t>
        </is>
      </c>
      <c r="J359" s="20" t="inlineStr">
        <is>
          <t>Gestora Administrativa Financeira</t>
        </is>
      </c>
      <c r="K359" s="20" t="inlineStr">
        <is>
          <t>(42) 3627-7722</t>
        </is>
      </c>
      <c r="L359" s="20" t="inlineStr"/>
      <c r="M359" s="20" t="inlineStr"/>
      <c r="N359" s="20" t="inlineStr"/>
      <c r="O359" s="20" t="inlineStr">
        <is>
          <t>contabilidade4@polijuta.com.br</t>
        </is>
      </c>
      <c r="P359" s="20" t="inlineStr">
        <is>
          <t>Michelle Osti</t>
        </is>
      </c>
      <c r="Q359" s="20" t="inlineStr">
        <is>
          <t>Supervisora Contábil e Fiscal</t>
        </is>
      </c>
      <c r="R359" s="20" t="inlineStr"/>
      <c r="S359" s="20" t="inlineStr">
        <is>
          <t>contabilidade4@polijuta.com.br</t>
        </is>
      </c>
      <c r="T359" s="21" t="n">
        <v>321041.01</v>
      </c>
      <c r="U359" s="22" t="inlineStr">
        <is>
          <t>B</t>
        </is>
      </c>
      <c r="V359" s="23">
        <f>IFERROR(VLOOKUP(U359,Assumptions!$A$7:$D$11,2,FALSE),0)</f>
        <v/>
      </c>
      <c r="W359" s="24">
        <f>MAX(0.5,IFERROR(VLOOKUP(U359,Assumptions!$A$7:$D$11,3,FALSE),3)+IFERROR(VLOOKUP(U359,Assumptions!$A$7:$D$11,4,FALSE),8)/2-IF(AN359="",0,YEAR(TODAY())-AN359))</f>
        <v/>
      </c>
      <c r="X359" s="21">
        <f>T359*V359/(1+Assumptions!$B$3)^W359</f>
        <v/>
      </c>
      <c r="Y359" s="25">
        <f>IF(T359=0,"",ROUND(X359/T359*100,1))</f>
        <v/>
      </c>
      <c r="Z359" s="26">
        <f>X359*Assumptions!$B$4</f>
        <v/>
      </c>
      <c r="AA359" s="25">
        <f>IF(T359=0,"",ROUND(Z359/T359*100,1))</f>
        <v/>
      </c>
      <c r="AB359" s="26">
        <f>X359-Z359</f>
        <v/>
      </c>
      <c r="AC359" s="25">
        <f>IF(T359=0,"",ROUND((X359-Z359)/T359*100,1))</f>
        <v/>
      </c>
      <c r="AD359" s="27" t="inlineStr">
        <is>
          <t>ESTIMATED</t>
        </is>
      </c>
      <c r="AE359" s="28" t="inlineStr">
        <is>
          <t>https://cataliseaj.com.br/sgc/download.php?file=files/processo_documento/processo_documento15092204102024_1_.pdf&amp;nome=02. RELAÇÃO DE CREDORES</t>
        </is>
      </c>
      <c r="AF359" s="27" t="inlineStr">
        <is>
          <t>p3 r4</t>
        </is>
      </c>
      <c r="AG359" s="27" t="inlineStr">
        <is>
          <t>p3: R$ 321.041,01</t>
        </is>
      </c>
      <c r="AH359" s="27" t="inlineStr">
        <is>
          <t>DEBTOR_LIST</t>
        </is>
      </c>
      <c r="AI359" s="27" t="inlineStr"/>
      <c r="AJ359" s="27" t="inlineStr">
        <is>
          <t>OK_NO_TOTALS</t>
        </is>
      </c>
      <c r="AK359" s="29" t="inlineStr">
        <is>
          <t>5011460-87.2023.8.24.0020</t>
        </is>
      </c>
      <c r="AL359" s="29" t="inlineStr">
        <is>
          <t>TJSC</t>
        </is>
      </c>
      <c r="AM359" s="29" t="inlineStr">
        <is>
          <t>ACTIVE</t>
        </is>
      </c>
      <c r="AN359" s="29" t="n">
        <v>2023</v>
      </c>
      <c r="AO359" s="29" t="inlineStr">
        <is>
          <t>live case, no plan document yet</t>
        </is>
      </c>
      <c r="AP359" s="29" t="inlineStr">
        <is>
          <t>GUARAPUAVA</t>
        </is>
      </c>
      <c r="AQ359" s="29" t="inlineStr">
        <is>
          <t>PR</t>
        </is>
      </c>
      <c r="AR359" s="29" t="inlineStr">
        <is>
          <t>Fabricação de embalagens de material plástico</t>
        </is>
      </c>
      <c r="AS359" s="29" t="inlineStr">
        <is>
          <t>DEMAIS</t>
        </is>
      </c>
      <c r="AT359" s="29" t="inlineStr">
        <is>
          <t>MID-MARKET</t>
        </is>
      </c>
      <c r="AU359" s="29" t="inlineStr">
        <is>
          <t>82270281</t>
        </is>
      </c>
      <c r="AV359" s="29" t="n">
        <v>1</v>
      </c>
      <c r="AW359" s="29" t="inlineStr">
        <is>
          <t>ROWS:p3r4 UNRECONCILED_SOURCE</t>
        </is>
      </c>
    </row>
    <row r="360">
      <c r="A360" s="15" t="inlineStr">
        <is>
          <t>INDUSTRIA QUIMICA ANASTACIO S A</t>
        </is>
      </c>
      <c r="B360" s="16" t="n">
        <v>367145.2</v>
      </c>
      <c r="C360" s="17" t="inlineStr"/>
      <c r="D360" s="18" t="inlineStr">
        <is>
          <t>NEW</t>
        </is>
      </c>
      <c r="E360" s="19" t="inlineStr"/>
      <c r="F360" s="18" t="inlineStr"/>
      <c r="G360" s="19" t="inlineStr"/>
      <c r="H360" s="18" t="inlineStr"/>
      <c r="I360" s="20" t="inlineStr">
        <is>
          <t>Rafael Kaufman</t>
        </is>
      </c>
      <c r="J360" s="20" t="inlineStr">
        <is>
          <t>Treasury Manager</t>
        </is>
      </c>
      <c r="K360" s="20" t="inlineStr">
        <is>
          <t>(11) 2133-6600</t>
        </is>
      </c>
      <c r="L360" s="20" t="inlineStr"/>
      <c r="M360" s="20" t="inlineStr"/>
      <c r="N360" s="20" t="inlineStr">
        <is>
          <t>rafael.kaufman@anastacio.com</t>
        </is>
      </c>
      <c r="O360" s="20" t="inlineStr"/>
      <c r="P360" s="20" t="inlineStr">
        <is>
          <t>Priscila Lianza</t>
        </is>
      </c>
      <c r="Q360" s="20" t="inlineStr">
        <is>
          <t>Supervisora Crédito e Cobrança</t>
        </is>
      </c>
      <c r="R360" s="20" t="inlineStr"/>
      <c r="S360" s="20" t="inlineStr"/>
      <c r="T360" s="21" t="n">
        <v>367145.2</v>
      </c>
      <c r="U360" s="31" t="inlineStr">
        <is>
          <t>C</t>
        </is>
      </c>
      <c r="V360" s="23">
        <f>IFERROR(VLOOKUP(U360,Assumptions!$A$7:$D$11,2,FALSE),0)</f>
        <v/>
      </c>
      <c r="W360" s="24">
        <f>MAX(0.5,IFERROR(VLOOKUP(U360,Assumptions!$A$7:$D$11,3,FALSE),3)+IFERROR(VLOOKUP(U360,Assumptions!$A$7:$D$11,4,FALSE),8)/2-IF(AN360="",0,YEAR(TODAY())-AN360))</f>
        <v/>
      </c>
      <c r="X360" s="21">
        <f>T360*V360/(1+Assumptions!$B$3)^W360</f>
        <v/>
      </c>
      <c r="Y360" s="25">
        <f>IF(T360=0,"",ROUND(X360/T360*100,1))</f>
        <v/>
      </c>
      <c r="Z360" s="26">
        <f>X360*Assumptions!$B$4</f>
        <v/>
      </c>
      <c r="AA360" s="25">
        <f>IF(T360=0,"",ROUND(Z360/T360*100,1))</f>
        <v/>
      </c>
      <c r="AB360" s="26">
        <f>X360-Z360</f>
        <v/>
      </c>
      <c r="AC360" s="25">
        <f>IF(T360=0,"",ROUND((X360-Z360)/T360*100,1))</f>
        <v/>
      </c>
      <c r="AD360" s="27" t="inlineStr">
        <is>
          <t>UNKNOWN</t>
        </is>
      </c>
      <c r="AE360" s="28" t="inlineStr">
        <is>
          <t>https://ajruiz.com.br/sites/default/files/public/arquivos-processos/2024-04/relacao_de_credores_recuperanda_1.pdf</t>
        </is>
      </c>
      <c r="AF360" s="27" t="inlineStr">
        <is>
          <t>p6 r4; p6 r5; p6 r6</t>
        </is>
      </c>
      <c r="AG360" s="27" t="inlineStr">
        <is>
          <t>p6: R$ 193.593,75; p6: R$ 193.593,75; p6: R$ 173.551,45</t>
        </is>
      </c>
      <c r="AH360" s="27" t="inlineStr">
        <is>
          <t>QGC</t>
        </is>
      </c>
      <c r="AI360" s="27" t="inlineStr">
        <is>
          <t>2024-01-31</t>
        </is>
      </c>
      <c r="AJ360" s="27" t="inlineStr">
        <is>
          <t>OK</t>
        </is>
      </c>
      <c r="AK360" s="29" t="inlineStr">
        <is>
          <t>0000148-67.1996.8.24.0079</t>
        </is>
      </c>
      <c r="AL360" s="29" t="inlineStr">
        <is>
          <t>TJ</t>
        </is>
      </c>
      <c r="AM360" s="29" t="inlineStr"/>
      <c r="AN360" s="29" t="n">
        <v>1996</v>
      </c>
      <c r="AO360" s="29" t="inlineStr">
        <is>
          <t>30y since filing, no plan document</t>
        </is>
      </c>
      <c r="AP360" s="29" t="inlineStr">
        <is>
          <t>SAO PAULO</t>
        </is>
      </c>
      <c r="AQ360" s="29" t="inlineStr">
        <is>
          <t>SP</t>
        </is>
      </c>
      <c r="AR360" s="29" t="inlineStr">
        <is>
          <t>Fabricação de produtos químicos orgânicos não especificados anteriormente</t>
        </is>
      </c>
      <c r="AS360" s="29" t="inlineStr">
        <is>
          <t>DEMAIS</t>
        </is>
      </c>
      <c r="AT360" s="29" t="inlineStr">
        <is>
          <t>LARGE CORP</t>
        </is>
      </c>
      <c r="AU360" s="29" t="inlineStr">
        <is>
          <t>60874724</t>
        </is>
      </c>
      <c r="AV360" s="29" t="n">
        <v>2</v>
      </c>
      <c r="AW360" s="29" t="inlineStr">
        <is>
          <t>ROWS:p6r4,p6r6</t>
        </is>
      </c>
    </row>
    <row r="361">
      <c r="A361" s="15" t="inlineStr">
        <is>
          <t>CM HOSPITALAR S.A.</t>
        </is>
      </c>
      <c r="B361" s="16" t="n">
        <v>254179.99</v>
      </c>
      <c r="C361" s="17" t="inlineStr">
        <is>
          <t>ASSOCIACAO DE CARIDADE SANTA CASA DE RIO GRANDE</t>
        </is>
      </c>
      <c r="D361" s="18" t="inlineStr">
        <is>
          <t>NEW</t>
        </is>
      </c>
      <c r="E361" s="19" t="inlineStr"/>
      <c r="F361" s="18" t="inlineStr"/>
      <c r="G361" s="19" t="inlineStr"/>
      <c r="H361" s="18" t="inlineStr"/>
      <c r="I361" s="20" t="inlineStr">
        <is>
          <t>ANDRE CLARK JULIANO</t>
        </is>
      </c>
      <c r="J361" s="20" t="inlineStr">
        <is>
          <t>Presidente</t>
        </is>
      </c>
      <c r="K361" s="20" t="inlineStr">
        <is>
          <t>(47) 3321-8450</t>
        </is>
      </c>
      <c r="L361" s="20" t="inlineStr">
        <is>
          <t>(16) 3995-9401</t>
        </is>
      </c>
      <c r="M361" s="20" t="inlineStr"/>
      <c r="N361" s="20" t="inlineStr"/>
      <c r="O361" s="20" t="inlineStr"/>
      <c r="P361" s="20" t="inlineStr">
        <is>
          <t>ARTUR DE BARROS AVANCINE</t>
        </is>
      </c>
      <c r="Q361" s="20" t="inlineStr">
        <is>
          <t>Diretor</t>
        </is>
      </c>
      <c r="R361" s="20" t="inlineStr">
        <is>
          <t>(16) 3995-9401</t>
        </is>
      </c>
      <c r="S361" s="20" t="inlineStr"/>
      <c r="T361" s="21" t="n">
        <v>254179.99</v>
      </c>
      <c r="U361" s="22" t="inlineStr">
        <is>
          <t>B</t>
        </is>
      </c>
      <c r="V361" s="23">
        <f>IFERROR(VLOOKUP(U361,Assumptions!$A$7:$D$11,2,FALSE),0)</f>
        <v/>
      </c>
      <c r="W361" s="24">
        <f>MAX(0.5,IFERROR(VLOOKUP(U361,Assumptions!$A$7:$D$11,3,FALSE),3)+IFERROR(VLOOKUP(U361,Assumptions!$A$7:$D$11,4,FALSE),8)/2-IF(AN361="",0,YEAR(TODAY())-AN361))</f>
        <v/>
      </c>
      <c r="X361" s="21">
        <f>T361*V361/(1+Assumptions!$B$3)^W361</f>
        <v/>
      </c>
      <c r="Y361" s="25">
        <f>IF(T361=0,"",ROUND(X361/T361*100,1))</f>
        <v/>
      </c>
      <c r="Z361" s="26">
        <f>X361*Assumptions!$B$4</f>
        <v/>
      </c>
      <c r="AA361" s="25">
        <f>IF(T361=0,"",ROUND(Z361/T361*100,1))</f>
        <v/>
      </c>
      <c r="AB361" s="26">
        <f>X361-Z361</f>
        <v/>
      </c>
      <c r="AC361" s="25">
        <f>IF(T361=0,"",ROUND((X361-Z361)/T361*100,1))</f>
        <v/>
      </c>
      <c r="AD361" s="27" t="inlineStr">
        <is>
          <t>ESTIMATED</t>
        </is>
      </c>
      <c r="AE361" s="28" t="inlineStr">
        <is>
          <t>https://scalzilliaj.com.br/sgc/download.php?file=files/processo_documento/processo_documento09120721032023_1_.pdf&amp;nome=15 - Edital do art. 7º, §2º e 53 da Lei 11.101/2005 (segunda lista de credores e recebimento do plano))</t>
        </is>
      </c>
      <c r="AF361" s="27" t="inlineStr">
        <is>
          <t>p26 r35; p26 r36; p26 r37</t>
        </is>
      </c>
      <c r="AG361" s="27" t="inlineStr">
        <is>
          <t>p26: R$ 115.725,39; p26: R$ 21.768,85; p26: R$ 116.685,75</t>
        </is>
      </c>
      <c r="AH361" s="27" t="inlineStr">
        <is>
          <t>AJ_LIST</t>
        </is>
      </c>
      <c r="AI361" s="27" t="inlineStr">
        <is>
          <t>2023-03-21</t>
        </is>
      </c>
      <c r="AJ361" s="27" t="inlineStr">
        <is>
          <t>OK_NO_TOTALS</t>
        </is>
      </c>
      <c r="AK361" s="29" t="inlineStr">
        <is>
          <t>5012306-16.2022.8.21.0023</t>
        </is>
      </c>
      <c r="AL361" s="29" t="inlineStr">
        <is>
          <t>TJRS</t>
        </is>
      </c>
      <c r="AM361" s="29" t="inlineStr">
        <is>
          <t>ACTIVE</t>
        </is>
      </c>
      <c r="AN361" s="29" t="n">
        <v>2022</v>
      </c>
      <c r="AO361" s="29" t="inlineStr">
        <is>
          <t>live case, no plan document yet</t>
        </is>
      </c>
      <c r="AP361" s="29" t="inlineStr">
        <is>
          <t>RIBEIRAO PRETO</t>
        </is>
      </c>
      <c r="AQ361" s="29" t="inlineStr">
        <is>
          <t>SP</t>
        </is>
      </c>
      <c r="AR361" s="29" t="inlineStr">
        <is>
          <t>Comércio atacadista de medicamentos e drogas de uso humano</t>
        </is>
      </c>
      <c r="AS361" s="29" t="inlineStr">
        <is>
          <t>DEMAIS</t>
        </is>
      </c>
      <c r="AT361" s="29" t="inlineStr">
        <is>
          <t>LARGE CORP</t>
        </is>
      </c>
      <c r="AU361" s="29" t="inlineStr">
        <is>
          <t>12420164</t>
        </is>
      </c>
      <c r="AV361" s="29" t="n">
        <v>3</v>
      </c>
      <c r="AW361" s="29" t="inlineStr">
        <is>
          <t>ROWS:p26r35,p26r36,p26r37 UNRECONCILED_SOURCE</t>
        </is>
      </c>
    </row>
    <row r="362">
      <c r="A362" s="15" t="inlineStr">
        <is>
          <t>LEV TERMOPLASTICOS LTDA</t>
        </is>
      </c>
      <c r="B362" s="16" t="n">
        <v>362990.37</v>
      </c>
      <c r="C362" s="17" t="inlineStr"/>
      <c r="D362" s="18" t="inlineStr">
        <is>
          <t>NEW</t>
        </is>
      </c>
      <c r="E362" s="19" t="inlineStr"/>
      <c r="F362" s="18" t="inlineStr"/>
      <c r="G362" s="19" t="inlineStr"/>
      <c r="H362" s="18" t="inlineStr"/>
      <c r="I362" s="20" t="inlineStr">
        <is>
          <t>Linda Hindi</t>
        </is>
      </c>
      <c r="J362" s="20" t="inlineStr">
        <is>
          <t>Financial Manager</t>
        </is>
      </c>
      <c r="K362" s="20" t="inlineStr">
        <is>
          <t>(37) 3231-0200</t>
        </is>
      </c>
      <c r="L362" s="20" t="inlineStr">
        <is>
          <t>(37) 3231-0210</t>
        </is>
      </c>
      <c r="M362" s="20" t="inlineStr"/>
      <c r="N362" s="20" t="inlineStr">
        <is>
          <t>linda@levterm.com.br</t>
        </is>
      </c>
      <c r="O362" s="20" t="inlineStr">
        <is>
          <t>liliane@levterm.com.br</t>
        </is>
      </c>
      <c r="P362" s="20" t="inlineStr">
        <is>
          <t>Liliane Trindade</t>
        </is>
      </c>
      <c r="Q362" s="20" t="inlineStr">
        <is>
          <t>Gerente de Compras e Negocios Internacionais</t>
        </is>
      </c>
      <c r="R362" s="20" t="inlineStr"/>
      <c r="S362" s="20" t="inlineStr">
        <is>
          <t>liliane@levterm.com.br</t>
        </is>
      </c>
      <c r="T362" s="21" t="n">
        <v>362990.37</v>
      </c>
      <c r="U362" s="31" t="inlineStr">
        <is>
          <t>C</t>
        </is>
      </c>
      <c r="V362" s="23">
        <f>IFERROR(VLOOKUP(U362,Assumptions!$A$7:$D$11,2,FALSE),0)</f>
        <v/>
      </c>
      <c r="W362" s="24">
        <f>MAX(0.5,IFERROR(VLOOKUP(U362,Assumptions!$A$7:$D$11,3,FALSE),3)+IFERROR(VLOOKUP(U362,Assumptions!$A$7:$D$11,4,FALSE),8)/2-IF(AN362="",0,YEAR(TODAY())-AN362))</f>
        <v/>
      </c>
      <c r="X362" s="21">
        <f>T362*V362/(1+Assumptions!$B$3)^W362</f>
        <v/>
      </c>
      <c r="Y362" s="25">
        <f>IF(T362=0,"",ROUND(X362/T362*100,1))</f>
        <v/>
      </c>
      <c r="Z362" s="26">
        <f>X362*Assumptions!$B$4</f>
        <v/>
      </c>
      <c r="AA362" s="25">
        <f>IF(T362=0,"",ROUND(Z362/T362*100,1))</f>
        <v/>
      </c>
      <c r="AB362" s="26">
        <f>X362-Z362</f>
        <v/>
      </c>
      <c r="AC362" s="25">
        <f>IF(T362=0,"",ROUND((X362-Z362)/T362*100,1))</f>
        <v/>
      </c>
      <c r="AD362" s="27" t="inlineStr">
        <is>
          <t>UNKNOWN</t>
        </is>
      </c>
      <c r="AE362" s="28" t="inlineStr">
        <is>
          <t>https://ajruiz.com.br/sites/default/files/public/arquivos-processos/2024-04/relacao_de_credores_recuperanda_1.pdf</t>
        </is>
      </c>
      <c r="AF362" s="27" t="inlineStr">
        <is>
          <t>p7 r5; p7 r6; p7 r7; p7 r8; p7 r9; p7 r10; p7 r11; p7 r12</t>
        </is>
      </c>
      <c r="AG362" s="27" t="inlineStr">
        <is>
          <t>p7: R$ 64.799,70; p7: R$ 53.607,40; p7: R$ 129.599,40; p7: R$ 129.599,40; p7: R$ 129.599,40; p7: R$ 97.199,55; p7: R$ 6.984,36; p7: R$ 10.799,96</t>
        </is>
      </c>
      <c r="AH362" s="27" t="inlineStr">
        <is>
          <t>QGC</t>
        </is>
      </c>
      <c r="AI362" s="27" t="inlineStr">
        <is>
          <t>2024-01-31</t>
        </is>
      </c>
      <c r="AJ362" s="27" t="inlineStr">
        <is>
          <t>OK</t>
        </is>
      </c>
      <c r="AK362" s="29" t="inlineStr">
        <is>
          <t>0000148-67.1996.8.24.0079</t>
        </is>
      </c>
      <c r="AL362" s="29" t="inlineStr">
        <is>
          <t>TJ</t>
        </is>
      </c>
      <c r="AM362" s="29" t="inlineStr"/>
      <c r="AN362" s="29" t="n">
        <v>1996</v>
      </c>
      <c r="AO362" s="29" t="inlineStr">
        <is>
          <t>30y since filing, no plan document</t>
        </is>
      </c>
      <c r="AP362" s="29" t="inlineStr">
        <is>
          <t>PARA DE MINAS</t>
        </is>
      </c>
      <c r="AQ362" s="29" t="inlineStr">
        <is>
          <t>MG</t>
        </is>
      </c>
      <c r="AR362" s="29" t="inlineStr">
        <is>
          <t>Fabricação de artefatos de borracha não especificados anteriormente</t>
        </is>
      </c>
      <c r="AS362" s="29" t="inlineStr">
        <is>
          <t>DEMAIS</t>
        </is>
      </c>
      <c r="AT362" s="29" t="inlineStr">
        <is>
          <t>LARGE CORP</t>
        </is>
      </c>
      <c r="AU362" s="29" t="inlineStr">
        <is>
          <t>05936089</t>
        </is>
      </c>
      <c r="AV362" s="29" t="n">
        <v>6</v>
      </c>
      <c r="AW362" s="29" t="inlineStr">
        <is>
          <t>ROWS:p7r5,p7r6,p7r7,p7r10,p7r11,p7r12</t>
        </is>
      </c>
    </row>
    <row r="363">
      <c r="A363" s="15" t="inlineStr">
        <is>
          <t>MONFORTE ALIMENTOS LTDA</t>
        </is>
      </c>
      <c r="B363" s="16" t="n">
        <v>390793.75</v>
      </c>
      <c r="C363" s="17" t="inlineStr">
        <is>
          <t>FRIGORIFICO ALFA INDUSTRIA E COMERCIO DE CARNES E DERIVADOS LTDA EM RECUPERACAO JUDICIAL</t>
        </is>
      </c>
      <c r="D363" s="18" t="inlineStr">
        <is>
          <t>NEW</t>
        </is>
      </c>
      <c r="E363" s="19" t="inlineStr"/>
      <c r="F363" s="18" t="inlineStr"/>
      <c r="G363" s="19" t="inlineStr"/>
      <c r="H363" s="18" t="inlineStr"/>
      <c r="I363" s="20" t="inlineStr">
        <is>
          <t>LUCIA CRISTINA DE OLIVEIRA OLIVEIRA</t>
        </is>
      </c>
      <c r="J363" s="20" t="inlineStr">
        <is>
          <t>Sócio-Administrador</t>
        </is>
      </c>
      <c r="K363" s="20" t="inlineStr">
        <is>
          <t>(14) 3441-5037</t>
        </is>
      </c>
      <c r="L363" s="20" t="inlineStr"/>
      <c r="M363" s="20" t="inlineStr"/>
      <c r="N363" s="20" t="inlineStr"/>
      <c r="O363" s="20" t="inlineStr"/>
      <c r="P363" s="20" t="inlineStr">
        <is>
          <t>PAULO SERGIO DE OLIVEIRA</t>
        </is>
      </c>
      <c r="Q363" s="20" t="inlineStr">
        <is>
          <t>Sócio-Administrador</t>
        </is>
      </c>
      <c r="R363" s="20" t="inlineStr">
        <is>
          <t>(14) 3441-5037</t>
        </is>
      </c>
      <c r="S363" s="20" t="inlineStr"/>
      <c r="T363" s="21" t="n">
        <v>390793.75</v>
      </c>
      <c r="U363" s="22" t="inlineStr">
        <is>
          <t>B</t>
        </is>
      </c>
      <c r="V363" s="23">
        <f>IFERROR(VLOOKUP(U363,Assumptions!$A$7:$D$11,2,FALSE),0)</f>
        <v/>
      </c>
      <c r="W363" s="24">
        <f>MAX(0.5,IFERROR(VLOOKUP(U363,Assumptions!$A$7:$D$11,3,FALSE),3)+IFERROR(VLOOKUP(U363,Assumptions!$A$7:$D$11,4,FALSE),8)/2-IF(AN363="",0,YEAR(TODAY())-AN363))</f>
        <v/>
      </c>
      <c r="X363" s="21">
        <f>T363*V363/(1+Assumptions!$B$3)^W363</f>
        <v/>
      </c>
      <c r="Y363" s="25">
        <f>IF(T363=0,"",ROUND(X363/T363*100,1))</f>
        <v/>
      </c>
      <c r="Z363" s="26">
        <f>X363*Assumptions!$B$4</f>
        <v/>
      </c>
      <c r="AA363" s="25">
        <f>IF(T363=0,"",ROUND(Z363/T363*100,1))</f>
        <v/>
      </c>
      <c r="AB363" s="26">
        <f>X363-Z363</f>
        <v/>
      </c>
      <c r="AC363" s="25">
        <f>IF(T363=0,"",ROUND((X363-Z363)/T363*100,1))</f>
        <v/>
      </c>
      <c r="AD363" s="27" t="inlineStr">
        <is>
          <t>ESTIMATED</t>
        </is>
      </c>
      <c r="AE363" s="28" t="inlineStr">
        <is>
          <t>https://vtladm.com.br/wp-content/uploads/2024/04/09-–-EDITAL-DE-CONVOCACAO-DE-CREDORES-–-Frigorifico-Alfa-Industria-e-Comercio-de-Carnes-e-Derivados-Ltda.-e-Ctx-Logistica-Transporte-E-Locacoes-Ltda.pdf</t>
        </is>
      </c>
      <c r="AF363" s="27" t="inlineStr">
        <is>
          <t>p1 r61</t>
        </is>
      </c>
      <c r="AG363" s="27" t="inlineStr">
        <is>
          <t>p1: R$ 390.793,75</t>
        </is>
      </c>
      <c r="AH363" s="27" t="inlineStr">
        <is>
          <t>AJ_LIST</t>
        </is>
      </c>
      <c r="AI363" s="27" t="inlineStr"/>
      <c r="AJ363" s="27" t="inlineStr">
        <is>
          <t>OK</t>
        </is>
      </c>
      <c r="AK363" s="29" t="inlineStr">
        <is>
          <t>1009827-02.2024.8.26.0576</t>
        </is>
      </c>
      <c r="AL363" s="29" t="inlineStr">
        <is>
          <t>TJSP</t>
        </is>
      </c>
      <c r="AM363" s="29" t="inlineStr">
        <is>
          <t>ACTIVE</t>
        </is>
      </c>
      <c r="AN363" s="29" t="n">
        <v>2024</v>
      </c>
      <c r="AO363" s="29" t="inlineStr">
        <is>
          <t>live case, no plan document yet</t>
        </is>
      </c>
      <c r="AP363" s="29" t="inlineStr">
        <is>
          <t>TUPA</t>
        </is>
      </c>
      <c r="AQ363" s="29" t="inlineStr">
        <is>
          <t>SP</t>
        </is>
      </c>
      <c r="AR363" s="29" t="inlineStr">
        <is>
          <t>Comércio atacadista de carnes bovinas e suínas e derivados</t>
        </is>
      </c>
      <c r="AS363" s="29" t="inlineStr">
        <is>
          <t>DEMAIS</t>
        </is>
      </c>
      <c r="AT363" s="29" t="inlineStr">
        <is>
          <t>MID-MARKET</t>
        </is>
      </c>
      <c r="AU363" s="29" t="inlineStr">
        <is>
          <t>13259183</t>
        </is>
      </c>
      <c r="AV363" s="29" t="n">
        <v>1</v>
      </c>
      <c r="AW363" s="29" t="inlineStr">
        <is>
          <t>ALT_VALUE:390.793,75 ROWS:p1r61</t>
        </is>
      </c>
    </row>
    <row r="364">
      <c r="A364" s="15" t="inlineStr">
        <is>
          <t>CATIVA TEXTIL INDUSTRIA E COMERCIO LTDA</t>
        </is>
      </c>
      <c r="B364" s="16" t="n">
        <v>249899.16</v>
      </c>
      <c r="C364" s="17" t="inlineStr">
        <is>
          <t>R W CONSTRUCOES LTDA</t>
        </is>
      </c>
      <c r="D364" s="18" t="inlineStr">
        <is>
          <t>NEW</t>
        </is>
      </c>
      <c r="E364" s="19" t="inlineStr"/>
      <c r="F364" s="18" t="inlineStr"/>
      <c r="G364" s="19" t="inlineStr"/>
      <c r="H364" s="18" t="inlineStr"/>
      <c r="I364" s="20" t="inlineStr">
        <is>
          <t>GILMAR ROGERIO SPRUNG</t>
        </is>
      </c>
      <c r="J364" s="20" t="inlineStr">
        <is>
          <t>Sócio-Administrador</t>
        </is>
      </c>
      <c r="K364" s="20" t="inlineStr">
        <is>
          <t>(47) 3387-9999</t>
        </is>
      </c>
      <c r="L364" s="20" t="inlineStr"/>
      <c r="M364" s="20" t="inlineStr"/>
      <c r="N364" s="20" t="inlineStr"/>
      <c r="O364" s="20" t="inlineStr"/>
      <c r="P364" s="20" t="inlineStr"/>
      <c r="Q364" s="20" t="inlineStr"/>
      <c r="R364" s="20" t="inlineStr"/>
      <c r="S364" s="20" t="inlineStr"/>
      <c r="T364" s="21" t="n">
        <v>249899.16</v>
      </c>
      <c r="U364" s="22" t="inlineStr">
        <is>
          <t>B</t>
        </is>
      </c>
      <c r="V364" s="23">
        <f>IFERROR(VLOOKUP(U364,Assumptions!$A$7:$D$11,2,FALSE),0)</f>
        <v/>
      </c>
      <c r="W364" s="24">
        <f>MAX(0.5,IFERROR(VLOOKUP(U364,Assumptions!$A$7:$D$11,3,FALSE),3)+IFERROR(VLOOKUP(U364,Assumptions!$A$7:$D$11,4,FALSE),8)/2-IF(AN364="",0,YEAR(TODAY())-AN364))</f>
        <v/>
      </c>
      <c r="X364" s="21">
        <f>T364*V364/(1+Assumptions!$B$3)^W364</f>
        <v/>
      </c>
      <c r="Y364" s="25">
        <f>IF(T364=0,"",ROUND(X364/T364*100,1))</f>
        <v/>
      </c>
      <c r="Z364" s="26">
        <f>X364*Assumptions!$B$4</f>
        <v/>
      </c>
      <c r="AA364" s="25">
        <f>IF(T364=0,"",ROUND(Z364/T364*100,1))</f>
        <v/>
      </c>
      <c r="AB364" s="26">
        <f>X364-Z364</f>
        <v/>
      </c>
      <c r="AC364" s="25">
        <f>IF(T364=0,"",ROUND((X364-Z364)/T364*100,1))</f>
        <v/>
      </c>
      <c r="AD364" s="27" t="inlineStr">
        <is>
          <t>ESTIMATED</t>
        </is>
      </c>
      <c r="AE364" s="28" t="inlineStr">
        <is>
          <t>https://lrflideres.com.br/wp-content/plugins/download-attachments/includes/download.php?id=4023</t>
        </is>
      </c>
      <c r="AF364" s="27" t="inlineStr">
        <is>
          <t>p4 r61; p7 r84; p9 r63</t>
        </is>
      </c>
      <c r="AG364" s="27" t="inlineStr">
        <is>
          <t>p4: R$ 61.029,24; p7: R$ 155.348,64; p9: R$ 33.521,28</t>
        </is>
      </c>
      <c r="AH364" s="27" t="inlineStr">
        <is>
          <t>DEBTOR_LIST</t>
        </is>
      </c>
      <c r="AI364" s="27" t="inlineStr"/>
      <c r="AJ364" s="27" t="inlineStr">
        <is>
          <t>QUARANTINED</t>
        </is>
      </c>
      <c r="AK364" s="29" t="inlineStr">
        <is>
          <t>0002484-82.2022.8.17.2001</t>
        </is>
      </c>
      <c r="AL364" s="29" t="inlineStr">
        <is>
          <t>TJPE</t>
        </is>
      </c>
      <c r="AM364" s="29" t="inlineStr">
        <is>
          <t>ACTIVE</t>
        </is>
      </c>
      <c r="AN364" s="29" t="n">
        <v>2022</v>
      </c>
      <c r="AO364" s="29" t="inlineStr">
        <is>
          <t>live case, no plan document yet</t>
        </is>
      </c>
      <c r="AP364" s="29" t="inlineStr">
        <is>
          <t>POMERODE</t>
        </is>
      </c>
      <c r="AQ364" s="29" t="inlineStr">
        <is>
          <t>SC</t>
        </is>
      </c>
      <c r="AR364" s="29" t="inlineStr">
        <is>
          <t>Confecção de peças de vestuário, exceto roupas íntimas e as confeccionadas sob medida</t>
        </is>
      </c>
      <c r="AS364" s="29" t="inlineStr">
        <is>
          <t>DEMAIS</t>
        </is>
      </c>
      <c r="AT364" s="29" t="inlineStr">
        <is>
          <t>MID-MARKET</t>
        </is>
      </c>
      <c r="AU364" s="29" t="inlineStr">
        <is>
          <t>80959513</t>
        </is>
      </c>
      <c r="AV364" s="29" t="n">
        <v>3</v>
      </c>
      <c r="AW364" s="29" t="inlineStr">
        <is>
          <t>PARTIAL_DOC_CLASS_III_RECONCILED ROWS:p4r61,p7r84,p9r63</t>
        </is>
      </c>
    </row>
    <row r="365">
      <c r="A365" s="15" t="inlineStr">
        <is>
          <t>ALBUQUERQUE SOCCER ATIVIDADES ESPORTIVAS LTDA</t>
        </is>
      </c>
      <c r="B365" s="16" t="n">
        <v>310000</v>
      </c>
      <c r="C365" s="17" t="inlineStr">
        <is>
          <t>CLUBE NAUTICO CAPIBARIBE - EM RECUPERACAO JUDICIAL</t>
        </is>
      </c>
      <c r="D365" s="18" t="inlineStr">
        <is>
          <t>NEW</t>
        </is>
      </c>
      <c r="E365" s="19" t="inlineStr"/>
      <c r="F365" s="18" t="inlineStr"/>
      <c r="G365" s="19" t="inlineStr"/>
      <c r="H365" s="18" t="inlineStr"/>
      <c r="I365" s="20" t="inlineStr">
        <is>
          <t>IGOR JOSE DE SA BARRETO ALBUQUERQUE</t>
        </is>
      </c>
      <c r="J365" s="20" t="inlineStr">
        <is>
          <t>Sócio-Administrador</t>
        </is>
      </c>
      <c r="K365" s="20" t="inlineStr">
        <is>
          <t>(81) 9994-1904</t>
        </is>
      </c>
      <c r="L365" s="20" t="inlineStr"/>
      <c r="M365" s="20" t="inlineStr"/>
      <c r="N365" s="20" t="inlineStr"/>
      <c r="O365" s="20" t="inlineStr"/>
      <c r="P365" s="20" t="inlineStr"/>
      <c r="Q365" s="20" t="inlineStr"/>
      <c r="R365" s="20" t="inlineStr"/>
      <c r="S365" s="20" t="inlineStr"/>
      <c r="T365" s="21" t="n">
        <v>310000</v>
      </c>
      <c r="U365" s="22" t="inlineStr">
        <is>
          <t>B</t>
        </is>
      </c>
      <c r="V365" s="23">
        <f>IFERROR(VLOOKUP(U365,Assumptions!$A$7:$D$11,2,FALSE),0)</f>
        <v/>
      </c>
      <c r="W365" s="24">
        <f>MAX(0.5,IFERROR(VLOOKUP(U365,Assumptions!$A$7:$D$11,3,FALSE),3)+IFERROR(VLOOKUP(U365,Assumptions!$A$7:$D$11,4,FALSE),8)/2-IF(AN365="",0,YEAR(TODAY())-AN365))</f>
        <v/>
      </c>
      <c r="X365" s="21">
        <f>T365*V365/(1+Assumptions!$B$3)^W365</f>
        <v/>
      </c>
      <c r="Y365" s="25">
        <f>IF(T365=0,"",ROUND(X365/T365*100,1))</f>
        <v/>
      </c>
      <c r="Z365" s="26">
        <f>X365*Assumptions!$B$4</f>
        <v/>
      </c>
      <c r="AA365" s="25">
        <f>IF(T365=0,"",ROUND(Z365/T365*100,1))</f>
        <v/>
      </c>
      <c r="AB365" s="26">
        <f>X365-Z365</f>
        <v/>
      </c>
      <c r="AC365" s="25">
        <f>IF(T365=0,"",ROUND((X365-Z365)/T365*100,1))</f>
        <v/>
      </c>
      <c r="AD365" s="27" t="inlineStr">
        <is>
          <t>ESTIMATED</t>
        </is>
      </c>
      <c r="AE365" s="28" t="inlineStr">
        <is>
          <t>https://lrflideres.com.br/wp-content/plugins/download-attachments/includes/download.php?id=5589</t>
        </is>
      </c>
      <c r="AF365" s="27" t="inlineStr">
        <is>
          <t>p11 r61</t>
        </is>
      </c>
      <c r="AG365" s="27" t="inlineStr">
        <is>
          <t>p11: R$ 310.000,00</t>
        </is>
      </c>
      <c r="AH365" s="27" t="inlineStr">
        <is>
          <t>AJ_LIST</t>
        </is>
      </c>
      <c r="AI365" s="27" t="inlineStr">
        <is>
          <t>2023-11-27</t>
        </is>
      </c>
      <c r="AJ365" s="27" t="inlineStr">
        <is>
          <t>QUARANTINED</t>
        </is>
      </c>
      <c r="AK365" s="29" t="inlineStr">
        <is>
          <t>0011283-80.2023.8.17.2001</t>
        </is>
      </c>
      <c r="AL365" s="29" t="inlineStr">
        <is>
          <t>TJPE</t>
        </is>
      </c>
      <c r="AM365" s="29" t="inlineStr">
        <is>
          <t>ACTIVE</t>
        </is>
      </c>
      <c r="AN365" s="29" t="n">
        <v>2023</v>
      </c>
      <c r="AO365" s="29" t="inlineStr">
        <is>
          <t>live case, no plan document yet</t>
        </is>
      </c>
      <c r="AP365" s="29" t="inlineStr">
        <is>
          <t>OLINDA</t>
        </is>
      </c>
      <c r="AQ365" s="29" t="inlineStr">
        <is>
          <t>PE</t>
        </is>
      </c>
      <c r="AR365" s="29" t="inlineStr">
        <is>
          <t>Produção e promoção de eventos esportivos</t>
        </is>
      </c>
      <c r="AS365" s="29" t="inlineStr">
        <is>
          <t>DEMAIS</t>
        </is>
      </c>
      <c r="AT365" s="29" t="inlineStr">
        <is>
          <t>MID-MARKET</t>
        </is>
      </c>
      <c r="AU365" s="29" t="inlineStr">
        <is>
          <t>16620321</t>
        </is>
      </c>
      <c r="AV365" s="29" t="n">
        <v>1</v>
      </c>
      <c r="AW365" s="29" t="inlineStr">
        <is>
          <t>PARTIAL_DOC_CLASS_III_RECONCILED ROWS:p11r61</t>
        </is>
      </c>
    </row>
    <row r="366">
      <c r="A366" s="15" t="inlineStr">
        <is>
          <t>MEGATEAM CONSULTORIA LTDA</t>
        </is>
      </c>
      <c r="B366" s="16" t="n">
        <v>307262.69</v>
      </c>
      <c r="C366" s="17" t="inlineStr">
        <is>
          <t>CLUBE NAUTICO CAPIBARIBE - EM RECUPERACAO JUDICIAL</t>
        </is>
      </c>
      <c r="D366" s="18" t="inlineStr">
        <is>
          <t>NEW</t>
        </is>
      </c>
      <c r="E366" s="19" t="inlineStr"/>
      <c r="F366" s="18" t="inlineStr"/>
      <c r="G366" s="19" t="inlineStr"/>
      <c r="H366" s="18" t="inlineStr"/>
      <c r="I366" s="20" t="inlineStr">
        <is>
          <t>PAULO ESTEVAO BRAGA NEHMY</t>
        </is>
      </c>
      <c r="J366" s="20" t="inlineStr">
        <is>
          <t>Sócio-Administrador</t>
        </is>
      </c>
      <c r="K366" s="20" t="inlineStr">
        <is>
          <t>(31) 9982-4747</t>
        </is>
      </c>
      <c r="L366" s="20" t="inlineStr"/>
      <c r="M366" s="20" t="inlineStr"/>
      <c r="N366" s="20" t="inlineStr"/>
      <c r="O366" s="20" t="inlineStr"/>
      <c r="P366" s="20" t="inlineStr"/>
      <c r="Q366" s="20" t="inlineStr"/>
      <c r="R366" s="20" t="inlineStr"/>
      <c r="S366" s="20" t="inlineStr"/>
      <c r="T366" s="21" t="n">
        <v>307262.69</v>
      </c>
      <c r="U366" s="22" t="inlineStr">
        <is>
          <t>B</t>
        </is>
      </c>
      <c r="V366" s="23">
        <f>IFERROR(VLOOKUP(U366,Assumptions!$A$7:$D$11,2,FALSE),0)</f>
        <v/>
      </c>
      <c r="W366" s="24">
        <f>MAX(0.5,IFERROR(VLOOKUP(U366,Assumptions!$A$7:$D$11,3,FALSE),3)+IFERROR(VLOOKUP(U366,Assumptions!$A$7:$D$11,4,FALSE),8)/2-IF(AN366="",0,YEAR(TODAY())-AN366))</f>
        <v/>
      </c>
      <c r="X366" s="21">
        <f>T366*V366/(1+Assumptions!$B$3)^W366</f>
        <v/>
      </c>
      <c r="Y366" s="25">
        <f>IF(T366=0,"",ROUND(X366/T366*100,1))</f>
        <v/>
      </c>
      <c r="Z366" s="26">
        <f>X366*Assumptions!$B$4</f>
        <v/>
      </c>
      <c r="AA366" s="25">
        <f>IF(T366=0,"",ROUND(Z366/T366*100,1))</f>
        <v/>
      </c>
      <c r="AB366" s="26">
        <f>X366-Z366</f>
        <v/>
      </c>
      <c r="AC366" s="25">
        <f>IF(T366=0,"",ROUND((X366-Z366)/T366*100,1))</f>
        <v/>
      </c>
      <c r="AD366" s="27" t="inlineStr">
        <is>
          <t>ESTIMATED</t>
        </is>
      </c>
      <c r="AE366" s="28" t="inlineStr">
        <is>
          <t>https://lrflideres.com.br/wp-content/plugins/download-attachments/includes/download.php?id=5589</t>
        </is>
      </c>
      <c r="AF366" s="27" t="inlineStr">
        <is>
          <t>p12 r33</t>
        </is>
      </c>
      <c r="AG366" s="27" t="inlineStr">
        <is>
          <t>p12: R$ 307.262,69</t>
        </is>
      </c>
      <c r="AH366" s="27" t="inlineStr">
        <is>
          <t>AJ_LIST</t>
        </is>
      </c>
      <c r="AI366" s="27" t="inlineStr">
        <is>
          <t>2023-11-27</t>
        </is>
      </c>
      <c r="AJ366" s="27" t="inlineStr">
        <is>
          <t>QUARANTINED</t>
        </is>
      </c>
      <c r="AK366" s="29" t="inlineStr">
        <is>
          <t>0011283-80.2023.8.17.2001</t>
        </is>
      </c>
      <c r="AL366" s="29" t="inlineStr">
        <is>
          <t>TJPE</t>
        </is>
      </c>
      <c r="AM366" s="29" t="inlineStr">
        <is>
          <t>ACTIVE</t>
        </is>
      </c>
      <c r="AN366" s="29" t="n">
        <v>2023</v>
      </c>
      <c r="AO366" s="29" t="inlineStr">
        <is>
          <t>live case, no plan document yet</t>
        </is>
      </c>
      <c r="AP366" s="29" t="inlineStr">
        <is>
          <t>BELO HORIZONTE</t>
        </is>
      </c>
      <c r="AQ366" s="29" t="inlineStr">
        <is>
          <t>MG</t>
        </is>
      </c>
      <c r="AR366" s="29" t="inlineStr">
        <is>
          <t>Atividades de intermediação e agenciamento de serviços e negócios em geral, exceto imobiliários</t>
        </is>
      </c>
      <c r="AS366" s="29" t="inlineStr">
        <is>
          <t>DEMAIS</t>
        </is>
      </c>
      <c r="AT366" s="29" t="inlineStr">
        <is>
          <t>MID-MARKET</t>
        </is>
      </c>
      <c r="AU366" s="29" t="inlineStr">
        <is>
          <t>05603186</t>
        </is>
      </c>
      <c r="AV366" s="29" t="n">
        <v>1</v>
      </c>
      <c r="AW366" s="29" t="inlineStr">
        <is>
          <t>PARTIAL_DOC_CLASS_III_RECONCILED ROWS:p12r33</t>
        </is>
      </c>
    </row>
    <row r="367">
      <c r="A367" s="15" t="inlineStr">
        <is>
          <t>COLOR VISAO DO BRASIL INDUSTRIA ACRILICA LIMITADA</t>
        </is>
      </c>
      <c r="B367" s="16" t="n">
        <v>491209.57</v>
      </c>
      <c r="C367" s="17" t="inlineStr">
        <is>
          <t>aludida empresa</t>
        </is>
      </c>
      <c r="D367" s="18" t="inlineStr">
        <is>
          <t>NEW</t>
        </is>
      </c>
      <c r="E367" s="19" t="inlineStr"/>
      <c r="F367" s="18" t="inlineStr"/>
      <c r="G367" s="19" t="inlineStr"/>
      <c r="H367" s="18" t="inlineStr"/>
      <c r="I367" s="20" t="inlineStr">
        <is>
          <t>CARLOS ALBERTO RIBEIRO DA SILVA</t>
        </is>
      </c>
      <c r="J367" s="20" t="inlineStr">
        <is>
          <t>Sócio-Administrador</t>
        </is>
      </c>
      <c r="K367" s="20" t="inlineStr">
        <is>
          <t>(18) 3631-8500</t>
        </is>
      </c>
      <c r="L367" s="20" t="inlineStr"/>
      <c r="M367" s="20" t="inlineStr"/>
      <c r="N367" s="20" t="inlineStr"/>
      <c r="O367" s="20" t="inlineStr"/>
      <c r="P367" s="20" t="inlineStr">
        <is>
          <t>JARRIER BELMONTE SILVA</t>
        </is>
      </c>
      <c r="Q367" s="20" t="inlineStr">
        <is>
          <t>Sócio-Administrador</t>
        </is>
      </c>
      <c r="R367" s="20" t="inlineStr">
        <is>
          <t>(18) 3631-8500</t>
        </is>
      </c>
      <c r="S367" s="20" t="inlineStr"/>
      <c r="T367" s="21" t="n">
        <v>491209.57</v>
      </c>
      <c r="U367" s="31" t="inlineStr">
        <is>
          <t>C</t>
        </is>
      </c>
      <c r="V367" s="23">
        <f>IFERROR(VLOOKUP(U367,Assumptions!$A$7:$D$11,2,FALSE),0)</f>
        <v/>
      </c>
      <c r="W367" s="24">
        <f>MAX(0.5,IFERROR(VLOOKUP(U367,Assumptions!$A$7:$D$11,3,FALSE),3)+IFERROR(VLOOKUP(U367,Assumptions!$A$7:$D$11,4,FALSE),8)/2-IF(AN367="",0,YEAR(TODAY())-AN367))</f>
        <v/>
      </c>
      <c r="X367" s="21">
        <f>T367*V367/(1+Assumptions!$B$3)^W367</f>
        <v/>
      </c>
      <c r="Y367" s="25">
        <f>IF(T367=0,"",ROUND(X367/T367*100,1))</f>
        <v/>
      </c>
      <c r="Z367" s="26">
        <f>X367*Assumptions!$B$4</f>
        <v/>
      </c>
      <c r="AA367" s="25">
        <f>IF(T367=0,"",ROUND(Z367/T367*100,1))</f>
        <v/>
      </c>
      <c r="AB367" s="26">
        <f>X367-Z367</f>
        <v/>
      </c>
      <c r="AC367" s="25">
        <f>IF(T367=0,"",ROUND((X367-Z367)/T367*100,1))</f>
        <v/>
      </c>
      <c r="AD367" s="27" t="inlineStr">
        <is>
          <t>ESTIMATED</t>
        </is>
      </c>
      <c r="AE367" s="28" t="inlineStr">
        <is>
          <t>https://recuperacaojudicial.squarespace.com/s/RJ-Credimoveis-QGC-01082025.pdf</t>
        </is>
      </c>
      <c r="AF367" s="27" t="inlineStr">
        <is>
          <t>p15 r35</t>
        </is>
      </c>
      <c r="AG367" s="27" t="inlineStr">
        <is>
          <t>p15: R$ 491.209,57</t>
        </is>
      </c>
      <c r="AH367" s="27" t="inlineStr">
        <is>
          <t>QGC</t>
        </is>
      </c>
      <c r="AI367" s="27" t="inlineStr">
        <is>
          <t>2026-01-28</t>
        </is>
      </c>
      <c r="AJ367" s="27" t="inlineStr">
        <is>
          <t>OK</t>
        </is>
      </c>
      <c r="AK367" s="29" t="inlineStr">
        <is>
          <t>0007565-40.2020.8.17.2370</t>
        </is>
      </c>
      <c r="AL367" s="29" t="inlineStr">
        <is>
          <t>TJPE</t>
        </is>
      </c>
      <c r="AM367" s="29" t="inlineStr">
        <is>
          <t>ACTIVE</t>
        </is>
      </c>
      <c r="AN367" s="29" t="n">
        <v>2020</v>
      </c>
      <c r="AO367" s="29" t="inlineStr">
        <is>
          <t>6y since filing, no plan document</t>
        </is>
      </c>
      <c r="AP367" s="29" t="inlineStr">
        <is>
          <t>ARACATUBA</t>
        </is>
      </c>
      <c r="AQ367" s="29" t="inlineStr">
        <is>
          <t>SP</t>
        </is>
      </c>
      <c r="AR367" s="29" t="inlineStr">
        <is>
          <t>Fabricação de fogões, refrigeradores e máquinas de lavar e secar para uso doméstico, peças e acessórios</t>
        </is>
      </c>
      <c r="AS367" s="29" t="inlineStr">
        <is>
          <t>DEMAIS</t>
        </is>
      </c>
      <c r="AT367" s="29" t="inlineStr">
        <is>
          <t>MID-MARKET</t>
        </is>
      </c>
      <c r="AU367" s="29" t="inlineStr">
        <is>
          <t>47747969</t>
        </is>
      </c>
      <c r="AV367" s="29" t="n">
        <v>1</v>
      </c>
      <c r="AW367" s="29" t="inlineStr">
        <is>
          <t>ROWS:p15r35</t>
        </is>
      </c>
    </row>
    <row r="368">
      <c r="A368" s="15" t="inlineStr">
        <is>
          <t>CAEL ATACADO LTDA</t>
        </is>
      </c>
      <c r="B368" s="16" t="n">
        <v>489038.37</v>
      </c>
      <c r="C368" s="17" t="inlineStr">
        <is>
          <t>aludida empresa</t>
        </is>
      </c>
      <c r="D368" s="18" t="inlineStr">
        <is>
          <t>NEW</t>
        </is>
      </c>
      <c r="E368" s="19" t="inlineStr"/>
      <c r="F368" s="18" t="inlineStr"/>
      <c r="G368" s="19" t="inlineStr"/>
      <c r="H368" s="18" t="inlineStr"/>
      <c r="I368" s="20" t="inlineStr">
        <is>
          <t>ALEXANDRE BARBOSA LEAL</t>
        </is>
      </c>
      <c r="J368" s="20" t="inlineStr">
        <is>
          <t>Sócio-Administrador</t>
        </is>
      </c>
      <c r="K368" s="20" t="inlineStr">
        <is>
          <t>(81) 3722-5599</t>
        </is>
      </c>
      <c r="L368" s="20" t="inlineStr"/>
      <c r="M368" s="20" t="inlineStr"/>
      <c r="N368" s="20" t="inlineStr"/>
      <c r="O368" s="20" t="inlineStr"/>
      <c r="P368" s="20" t="inlineStr">
        <is>
          <t>TACIANA BARBOSA LEAL</t>
        </is>
      </c>
      <c r="Q368" s="20" t="inlineStr">
        <is>
          <t>Sócio-Administrador</t>
        </is>
      </c>
      <c r="R368" s="20" t="inlineStr">
        <is>
          <t>(81) 3722-5599</t>
        </is>
      </c>
      <c r="S368" s="20" t="inlineStr"/>
      <c r="T368" s="21" t="n">
        <v>489038.37</v>
      </c>
      <c r="U368" s="31" t="inlineStr">
        <is>
          <t>C</t>
        </is>
      </c>
      <c r="V368" s="23">
        <f>IFERROR(VLOOKUP(U368,Assumptions!$A$7:$D$11,2,FALSE),0)</f>
        <v/>
      </c>
      <c r="W368" s="24">
        <f>MAX(0.5,IFERROR(VLOOKUP(U368,Assumptions!$A$7:$D$11,3,FALSE),3)+IFERROR(VLOOKUP(U368,Assumptions!$A$7:$D$11,4,FALSE),8)/2-IF(AN368="",0,YEAR(TODAY())-AN368))</f>
        <v/>
      </c>
      <c r="X368" s="21">
        <f>T368*V368/(1+Assumptions!$B$3)^W368</f>
        <v/>
      </c>
      <c r="Y368" s="25">
        <f>IF(T368=0,"",ROUND(X368/T368*100,1))</f>
        <v/>
      </c>
      <c r="Z368" s="26">
        <f>X368*Assumptions!$B$4</f>
        <v/>
      </c>
      <c r="AA368" s="25">
        <f>IF(T368=0,"",ROUND(Z368/T368*100,1))</f>
        <v/>
      </c>
      <c r="AB368" s="26">
        <f>X368-Z368</f>
        <v/>
      </c>
      <c r="AC368" s="25">
        <f>IF(T368=0,"",ROUND((X368-Z368)/T368*100,1))</f>
        <v/>
      </c>
      <c r="AD368" s="27" t="inlineStr">
        <is>
          <t>ESTIMATED</t>
        </is>
      </c>
      <c r="AE368" s="28" t="inlineStr">
        <is>
          <t>https://recuperacaojudicial.squarespace.com/s/RJ-Credimoveis-QGC-01082025.pdf</t>
        </is>
      </c>
      <c r="AF368" s="27" t="inlineStr">
        <is>
          <t>p15 r25</t>
        </is>
      </c>
      <c r="AG368" s="27" t="inlineStr">
        <is>
          <t>p15: R$ 489.038,37</t>
        </is>
      </c>
      <c r="AH368" s="27" t="inlineStr">
        <is>
          <t>QGC</t>
        </is>
      </c>
      <c r="AI368" s="27" t="inlineStr">
        <is>
          <t>2026-01-28</t>
        </is>
      </c>
      <c r="AJ368" s="27" t="inlineStr">
        <is>
          <t>OK</t>
        </is>
      </c>
      <c r="AK368" s="29" t="inlineStr">
        <is>
          <t>0007565-40.2020.8.17.2370</t>
        </is>
      </c>
      <c r="AL368" s="29" t="inlineStr">
        <is>
          <t>TJPE</t>
        </is>
      </c>
      <c r="AM368" s="29" t="inlineStr">
        <is>
          <t>ACTIVE</t>
        </is>
      </c>
      <c r="AN368" s="29" t="n">
        <v>2020</v>
      </c>
      <c r="AO368" s="29" t="inlineStr">
        <is>
          <t>6y since filing, no plan document</t>
        </is>
      </c>
      <c r="AP368" s="29" t="inlineStr">
        <is>
          <t>CARUARU</t>
        </is>
      </c>
      <c r="AQ368" s="29" t="inlineStr">
        <is>
          <t>PE</t>
        </is>
      </c>
      <c r="AR368" s="29" t="inlineStr">
        <is>
          <t>Comércio atacadista de outros equipamentos e artigos de uso pessoal e doméstico não especificados anteriormente</t>
        </is>
      </c>
      <c r="AS368" s="29" t="inlineStr">
        <is>
          <t>DEMAIS</t>
        </is>
      </c>
      <c r="AT368" s="29" t="inlineStr">
        <is>
          <t>MID-MARKET</t>
        </is>
      </c>
      <c r="AU368" s="29" t="inlineStr">
        <is>
          <t>08439087</t>
        </is>
      </c>
      <c r="AV368" s="29" t="n">
        <v>1</v>
      </c>
      <c r="AW368" s="29" t="inlineStr">
        <is>
          <t>ROWS:p15r25</t>
        </is>
      </c>
    </row>
    <row r="369">
      <c r="A369" s="15" t="inlineStr">
        <is>
          <t>ERPLASTI INDUSTRIA E COMERCIO DE PLASTICOS LTDA</t>
        </is>
      </c>
      <c r="B369" s="16" t="n">
        <v>299861.9</v>
      </c>
      <c r="C369" s="17" t="inlineStr"/>
      <c r="D369" s="18" t="inlineStr">
        <is>
          <t>NEW</t>
        </is>
      </c>
      <c r="E369" s="19" t="inlineStr"/>
      <c r="F369" s="18" t="inlineStr"/>
      <c r="G369" s="19" t="inlineStr"/>
      <c r="H369" s="18" t="inlineStr"/>
      <c r="I369" s="20" t="inlineStr">
        <is>
          <t>Daniela Sprandel</t>
        </is>
      </c>
      <c r="J369" s="20" t="inlineStr">
        <is>
          <t>Financial Manager</t>
        </is>
      </c>
      <c r="K369" s="20" t="inlineStr">
        <is>
          <t>(51) 8163-9936</t>
        </is>
      </c>
      <c r="L369" s="20" t="inlineStr"/>
      <c r="M369" s="20" t="inlineStr"/>
      <c r="N369" s="20" t="inlineStr">
        <is>
          <t>dgsprandel@erplasti.com.br</t>
        </is>
      </c>
      <c r="O369" s="20" t="inlineStr">
        <is>
          <t>aerthal@erplasti.com.br</t>
        </is>
      </c>
      <c r="P369" s="20" t="inlineStr">
        <is>
          <t>Andressa Erthal</t>
        </is>
      </c>
      <c r="Q369" s="20" t="inlineStr">
        <is>
          <t>Administradora na Erplasti</t>
        </is>
      </c>
      <c r="R369" s="20" t="inlineStr"/>
      <c r="S369" s="20" t="inlineStr">
        <is>
          <t>aerthal@erplasti.com.br</t>
        </is>
      </c>
      <c r="T369" s="21" t="n">
        <v>299861.9</v>
      </c>
      <c r="U369" s="22" t="inlineStr">
        <is>
          <t>B</t>
        </is>
      </c>
      <c r="V369" s="23">
        <f>IFERROR(VLOOKUP(U369,Assumptions!$A$7:$D$11,2,FALSE),0)</f>
        <v/>
      </c>
      <c r="W369" s="24">
        <f>MAX(0.5,IFERROR(VLOOKUP(U369,Assumptions!$A$7:$D$11,3,FALSE),3)+IFERROR(VLOOKUP(U369,Assumptions!$A$7:$D$11,4,FALSE),8)/2-IF(AN369="",0,YEAR(TODAY())-AN369))</f>
        <v/>
      </c>
      <c r="X369" s="21">
        <f>T369*V369/(1+Assumptions!$B$3)^W369</f>
        <v/>
      </c>
      <c r="Y369" s="25">
        <f>IF(T369=0,"",ROUND(X369/T369*100,1))</f>
        <v/>
      </c>
      <c r="Z369" s="26">
        <f>X369*Assumptions!$B$4</f>
        <v/>
      </c>
      <c r="AA369" s="25">
        <f>IF(T369=0,"",ROUND(Z369/T369*100,1))</f>
        <v/>
      </c>
      <c r="AB369" s="26">
        <f>X369-Z369</f>
        <v/>
      </c>
      <c r="AC369" s="25">
        <f>IF(T369=0,"",ROUND((X369-Z369)/T369*100,1))</f>
        <v/>
      </c>
      <c r="AD369" s="27" t="inlineStr">
        <is>
          <t>ESTIMATED</t>
        </is>
      </c>
      <c r="AE369" s="28" t="inlineStr">
        <is>
          <t>https://cataliseaj.com.br/sgc/download.php?file=files/processo_documento/processo_documento15092204102024_1_.pdf&amp;nome=02. RELAÇÃO DE CREDORES</t>
        </is>
      </c>
      <c r="AF369" s="27" t="inlineStr">
        <is>
          <t>p2 r36</t>
        </is>
      </c>
      <c r="AG369" s="27" t="inlineStr">
        <is>
          <t>p2: R$ 299.861,90</t>
        </is>
      </c>
      <c r="AH369" s="27" t="inlineStr">
        <is>
          <t>DEBTOR_LIST</t>
        </is>
      </c>
      <c r="AI369" s="27" t="inlineStr"/>
      <c r="AJ369" s="27" t="inlineStr">
        <is>
          <t>OK_NO_TOTALS</t>
        </is>
      </c>
      <c r="AK369" s="29" t="inlineStr">
        <is>
          <t>5011460-87.2023.8.24.0020</t>
        </is>
      </c>
      <c r="AL369" s="29" t="inlineStr">
        <is>
          <t>TJSC</t>
        </is>
      </c>
      <c r="AM369" s="29" t="inlineStr">
        <is>
          <t>ACTIVE</t>
        </is>
      </c>
      <c r="AN369" s="29" t="n">
        <v>2023</v>
      </c>
      <c r="AO369" s="29" t="inlineStr">
        <is>
          <t>live case, no plan document yet</t>
        </is>
      </c>
      <c r="AP369" s="29" t="inlineStr">
        <is>
          <t>MONTENEGRO</t>
        </is>
      </c>
      <c r="AQ369" s="29" t="inlineStr">
        <is>
          <t>RS</t>
        </is>
      </c>
      <c r="AR369" s="29" t="inlineStr">
        <is>
          <t>Fabricação de laminados planos e tubulares de material plástico</t>
        </is>
      </c>
      <c r="AS369" s="29" t="inlineStr">
        <is>
          <t>DEMAIS</t>
        </is>
      </c>
      <c r="AT369" s="29" t="inlineStr">
        <is>
          <t>MID-MARKET</t>
        </is>
      </c>
      <c r="AU369" s="29" t="inlineStr">
        <is>
          <t>92185008</t>
        </is>
      </c>
      <c r="AV369" s="29" t="n">
        <v>1</v>
      </c>
      <c r="AW369" s="29" t="inlineStr">
        <is>
          <t>ROWS:p2r36 UNRECONCILED_SOURCE</t>
        </is>
      </c>
    </row>
    <row r="370">
      <c r="A370" s="15" t="inlineStr">
        <is>
          <t>BCR - COMERCIO E DISTRIBUICAO DE IMPLANTES CIRURGICOS LTDA.</t>
        </is>
      </c>
      <c r="B370" s="16" t="n">
        <v>239412.95</v>
      </c>
      <c r="C370" s="17" t="inlineStr">
        <is>
          <t>ASSOCIACAO DE CARIDADE SANTA CASA DE RIO GRANDE</t>
        </is>
      </c>
      <c r="D370" s="18" t="inlineStr">
        <is>
          <t>NEW</t>
        </is>
      </c>
      <c r="E370" s="19" t="inlineStr"/>
      <c r="F370" s="18" t="inlineStr"/>
      <c r="G370" s="19" t="inlineStr"/>
      <c r="H370" s="18" t="inlineStr"/>
      <c r="I370" s="20" t="inlineStr">
        <is>
          <t>ELIANE BETIATTO</t>
        </is>
      </c>
      <c r="J370" s="20" t="inlineStr">
        <is>
          <t>Sócio-Administrador</t>
        </is>
      </c>
      <c r="K370" s="20" t="inlineStr">
        <is>
          <t>(51) 3334-8589</t>
        </is>
      </c>
      <c r="L370" s="20" t="inlineStr"/>
      <c r="M370" s="20" t="inlineStr"/>
      <c r="N370" s="20" t="inlineStr"/>
      <c r="O370" s="20" t="inlineStr"/>
      <c r="P370" s="20" t="inlineStr">
        <is>
          <t>ROBER ROSSO</t>
        </is>
      </c>
      <c r="Q370" s="20" t="inlineStr">
        <is>
          <t>Sócio-Administrador</t>
        </is>
      </c>
      <c r="R370" s="20" t="inlineStr">
        <is>
          <t>(51) 3334-8589</t>
        </is>
      </c>
      <c r="S370" s="20" t="inlineStr"/>
      <c r="T370" s="21" t="n">
        <v>239412.95</v>
      </c>
      <c r="U370" s="22" t="inlineStr">
        <is>
          <t>B</t>
        </is>
      </c>
      <c r="V370" s="23">
        <f>IFERROR(VLOOKUP(U370,Assumptions!$A$7:$D$11,2,FALSE),0)</f>
        <v/>
      </c>
      <c r="W370" s="24">
        <f>MAX(0.5,IFERROR(VLOOKUP(U370,Assumptions!$A$7:$D$11,3,FALSE),3)+IFERROR(VLOOKUP(U370,Assumptions!$A$7:$D$11,4,FALSE),8)/2-IF(AN370="",0,YEAR(TODAY())-AN370))</f>
        <v/>
      </c>
      <c r="X370" s="21">
        <f>T370*V370/(1+Assumptions!$B$3)^W370</f>
        <v/>
      </c>
      <c r="Y370" s="25">
        <f>IF(T370=0,"",ROUND(X370/T370*100,1))</f>
        <v/>
      </c>
      <c r="Z370" s="26">
        <f>X370*Assumptions!$B$4</f>
        <v/>
      </c>
      <c r="AA370" s="25">
        <f>IF(T370=0,"",ROUND(Z370/T370*100,1))</f>
        <v/>
      </c>
      <c r="AB370" s="26">
        <f>X370-Z370</f>
        <v/>
      </c>
      <c r="AC370" s="25">
        <f>IF(T370=0,"",ROUND((X370-Z370)/T370*100,1))</f>
        <v/>
      </c>
      <c r="AD370" s="27" t="inlineStr">
        <is>
          <t>ESTIMATED</t>
        </is>
      </c>
      <c r="AE370" s="28" t="inlineStr">
        <is>
          <t>https://scalzilliaj.com.br/sgc/download.php?file=files/processo_documento/processo_documento09120721032023_1_.pdf&amp;nome=15 - Edital do art. 7º, §2º e 53 da Lei 11.101/2005 (segunda lista de credores e recebimento do plano))</t>
        </is>
      </c>
      <c r="AF370" s="27" t="inlineStr">
        <is>
          <t>p26 r3</t>
        </is>
      </c>
      <c r="AG370" s="27" t="inlineStr">
        <is>
          <t>p26: R$ 239.412,95</t>
        </is>
      </c>
      <c r="AH370" s="27" t="inlineStr">
        <is>
          <t>AJ_LIST</t>
        </is>
      </c>
      <c r="AI370" s="27" t="inlineStr">
        <is>
          <t>2023-03-21</t>
        </is>
      </c>
      <c r="AJ370" s="27" t="inlineStr">
        <is>
          <t>OK_NO_TOTALS</t>
        </is>
      </c>
      <c r="AK370" s="29" t="inlineStr">
        <is>
          <t>5012306-16.2022.8.21.0023</t>
        </is>
      </c>
      <c r="AL370" s="29" t="inlineStr">
        <is>
          <t>TJRS</t>
        </is>
      </c>
      <c r="AM370" s="29" t="inlineStr">
        <is>
          <t>ACTIVE</t>
        </is>
      </c>
      <c r="AN370" s="29" t="n">
        <v>2022</v>
      </c>
      <c r="AO370" s="29" t="inlineStr">
        <is>
          <t>live case, no plan document yet</t>
        </is>
      </c>
      <c r="AP370" s="29" t="inlineStr">
        <is>
          <t>PORTO ALEGRE</t>
        </is>
      </c>
      <c r="AQ370" s="29" t="inlineStr">
        <is>
          <t>RS</t>
        </is>
      </c>
      <c r="AR370" s="29" t="inlineStr">
        <is>
          <t>Comércio atacadista de instrumentos e materiais para uso médico, cirúrgico, hospitalar e de laboratórios</t>
        </is>
      </c>
      <c r="AS370" s="29" t="inlineStr">
        <is>
          <t>DEMAIS</t>
        </is>
      </c>
      <c r="AT370" s="29" t="inlineStr">
        <is>
          <t>MID-MARKET</t>
        </is>
      </c>
      <c r="AU370" s="29" t="inlineStr">
        <is>
          <t>17958615</t>
        </is>
      </c>
      <c r="AV370" s="29" t="n">
        <v>1</v>
      </c>
      <c r="AW370" s="29" t="inlineStr">
        <is>
          <t>ROWS:p26r3 UNRECONCILED_SOURCE</t>
        </is>
      </c>
    </row>
    <row r="371">
      <c r="A371" s="15" t="inlineStr">
        <is>
          <t>CROPFERT INDUSTRIA DE FERTILIZANTES E AGROQUIMICOS LTDA</t>
        </is>
      </c>
      <c r="B371" s="16" t="n">
        <v>467392</v>
      </c>
      <c r="C371" s="17" t="inlineStr">
        <is>
          <t>NORTESUL COMERCIAL AGRICOLA LTDA EM RECUPERACAO JUDICIAL</t>
        </is>
      </c>
      <c r="D371" s="18" t="inlineStr">
        <is>
          <t>NEW</t>
        </is>
      </c>
      <c r="E371" s="19" t="inlineStr"/>
      <c r="F371" s="18" t="inlineStr"/>
      <c r="G371" s="19" t="inlineStr"/>
      <c r="H371" s="18" t="inlineStr"/>
      <c r="I371" s="20" t="inlineStr">
        <is>
          <t>ANDERSON JOSE FAUSTINO</t>
        </is>
      </c>
      <c r="J371" s="20" t="inlineStr">
        <is>
          <t>Administrador</t>
        </is>
      </c>
      <c r="K371" s="20" t="inlineStr">
        <is>
          <t>(43) 3162-2700</t>
        </is>
      </c>
      <c r="L371" s="20" t="inlineStr"/>
      <c r="M371" s="20" t="inlineStr"/>
      <c r="N371" s="20" t="inlineStr"/>
      <c r="O371" s="20" t="inlineStr"/>
      <c r="P371" s="20" t="inlineStr">
        <is>
          <t>RODERLEY CLEMENTE DA SILVA</t>
        </is>
      </c>
      <c r="Q371" s="20" t="inlineStr">
        <is>
          <t>Administrador</t>
        </is>
      </c>
      <c r="R371" s="20" t="inlineStr">
        <is>
          <t>(43) 3162-2700</t>
        </is>
      </c>
      <c r="S371" s="20" t="inlineStr"/>
      <c r="T371" s="21" t="n">
        <v>467392</v>
      </c>
      <c r="U371" s="22" t="inlineStr">
        <is>
          <t>B</t>
        </is>
      </c>
      <c r="V371" s="23">
        <f>IFERROR(VLOOKUP(U371,Assumptions!$A$7:$D$11,2,FALSE),0)</f>
        <v/>
      </c>
      <c r="W371" s="24">
        <f>MAX(0.5,IFERROR(VLOOKUP(U371,Assumptions!$A$7:$D$11,3,FALSE),3)+IFERROR(VLOOKUP(U371,Assumptions!$A$7:$D$11,4,FALSE),8)/2-IF(AN371="",0,YEAR(TODAY())-AN371))</f>
        <v/>
      </c>
      <c r="X371" s="21">
        <f>T371*V371/(1+Assumptions!$B$3)^W371</f>
        <v/>
      </c>
      <c r="Y371" s="25">
        <f>IF(T371=0,"",ROUND(X371/T371*100,1))</f>
        <v/>
      </c>
      <c r="Z371" s="26">
        <f>X371*Assumptions!$B$4</f>
        <v/>
      </c>
      <c r="AA371" s="25">
        <f>IF(T371=0,"",ROUND(Z371/T371*100,1))</f>
        <v/>
      </c>
      <c r="AB371" s="26">
        <f>X371-Z371</f>
        <v/>
      </c>
      <c r="AC371" s="25">
        <f>IF(T371=0,"",ROUND((X371-Z371)/T371*100,1))</f>
        <v/>
      </c>
      <c r="AD371" s="27" t="inlineStr">
        <is>
          <t>ESTIMATED</t>
        </is>
      </c>
      <c r="AE371" s="28" t="inlineStr">
        <is>
          <t>https://lrflideres.com.br/wp-content/plugins/download-attachments/includes/download.php?id=6879</t>
        </is>
      </c>
      <c r="AF371" s="27" t="inlineStr">
        <is>
          <t>p1 r12</t>
        </is>
      </c>
      <c r="AG371" s="27" t="inlineStr">
        <is>
          <t>p1: R$ 467.392,00</t>
        </is>
      </c>
      <c r="AH371" s="27" t="inlineStr">
        <is>
          <t>AJ_LIST</t>
        </is>
      </c>
      <c r="AI371" s="27" t="inlineStr">
        <is>
          <t>2026-01-15</t>
        </is>
      </c>
      <c r="AJ371" s="27" t="inlineStr">
        <is>
          <t>OK</t>
        </is>
      </c>
      <c r="AK371" s="29" t="inlineStr">
        <is>
          <t>0804401-51.2025.8.14.0039</t>
        </is>
      </c>
      <c r="AL371" s="29" t="inlineStr">
        <is>
          <t>TJPA</t>
        </is>
      </c>
      <c r="AM371" s="29" t="inlineStr">
        <is>
          <t>ACTIVE</t>
        </is>
      </c>
      <c r="AN371" s="29" t="n">
        <v>2025</v>
      </c>
      <c r="AO371" s="29" t="inlineStr">
        <is>
          <t>live case, no plan document yet</t>
        </is>
      </c>
      <c r="AP371" s="29" t="inlineStr">
        <is>
          <t>JANDAIA DO SUL</t>
        </is>
      </c>
      <c r="AQ371" s="29" t="inlineStr">
        <is>
          <t>PR</t>
        </is>
      </c>
      <c r="AR371" s="29" t="inlineStr">
        <is>
          <t>Fabricação de defensivos agrícolas</t>
        </is>
      </c>
      <c r="AS371" s="29" t="inlineStr">
        <is>
          <t>DEMAIS</t>
        </is>
      </c>
      <c r="AT371" s="29" t="inlineStr">
        <is>
          <t>MID-MARKET</t>
        </is>
      </c>
      <c r="AU371" s="29" t="inlineStr">
        <is>
          <t>18373437</t>
        </is>
      </c>
      <c r="AV371" s="29" t="n">
        <v>1</v>
      </c>
      <c r="AW371" s="29" t="inlineStr">
        <is>
          <t>ROWS:p1r12</t>
        </is>
      </c>
    </row>
    <row r="372">
      <c r="A372" s="15" t="inlineStr">
        <is>
          <t>PALUDETTO &amp; CIA LTDA</t>
        </is>
      </c>
      <c r="B372" s="16" t="n">
        <v>475452</v>
      </c>
      <c r="C372" s="17" t="inlineStr">
        <is>
          <t>aludida empresa</t>
        </is>
      </c>
      <c r="D372" s="18" t="inlineStr">
        <is>
          <t>NEW</t>
        </is>
      </c>
      <c r="E372" s="19" t="inlineStr"/>
      <c r="F372" s="18" t="inlineStr"/>
      <c r="G372" s="19" t="inlineStr"/>
      <c r="H372" s="18" t="inlineStr"/>
      <c r="I372" s="20" t="inlineStr">
        <is>
          <t>Andrey Paludetto</t>
        </is>
      </c>
      <c r="J372" s="20" t="inlineStr">
        <is>
          <t>Commercial Director</t>
        </is>
      </c>
      <c r="K372" s="20" t="inlineStr">
        <is>
          <t>(43) 3172-1600</t>
        </is>
      </c>
      <c r="L372" s="20" t="inlineStr">
        <is>
          <t>(43) 3172-1646</t>
        </is>
      </c>
      <c r="M372" s="20" t="inlineStr"/>
      <c r="N372" s="20" t="inlineStr">
        <is>
          <t>andrey@moveisalbatroz.com.br</t>
        </is>
      </c>
      <c r="O372" s="20" t="inlineStr"/>
      <c r="P372" s="20" t="inlineStr">
        <is>
          <t>EDUARDO PALUDETO</t>
        </is>
      </c>
      <c r="Q372" s="20" t="inlineStr">
        <is>
          <t>Sócio-Administrador</t>
        </is>
      </c>
      <c r="R372" s="20" t="inlineStr">
        <is>
          <t>(43) 3172-1646</t>
        </is>
      </c>
      <c r="S372" s="20" t="inlineStr"/>
      <c r="T372" s="21" t="n">
        <v>475452</v>
      </c>
      <c r="U372" s="31" t="inlineStr">
        <is>
          <t>C</t>
        </is>
      </c>
      <c r="V372" s="23">
        <f>IFERROR(VLOOKUP(U372,Assumptions!$A$7:$D$11,2,FALSE),0)</f>
        <v/>
      </c>
      <c r="W372" s="24">
        <f>MAX(0.5,IFERROR(VLOOKUP(U372,Assumptions!$A$7:$D$11,3,FALSE),3)+IFERROR(VLOOKUP(U372,Assumptions!$A$7:$D$11,4,FALSE),8)/2-IF(AN372="",0,YEAR(TODAY())-AN372))</f>
        <v/>
      </c>
      <c r="X372" s="21">
        <f>T372*V372/(1+Assumptions!$B$3)^W372</f>
        <v/>
      </c>
      <c r="Y372" s="25">
        <f>IF(T372=0,"",ROUND(X372/T372*100,1))</f>
        <v/>
      </c>
      <c r="Z372" s="26">
        <f>X372*Assumptions!$B$4</f>
        <v/>
      </c>
      <c r="AA372" s="25">
        <f>IF(T372=0,"",ROUND(Z372/T372*100,1))</f>
        <v/>
      </c>
      <c r="AB372" s="26">
        <f>X372-Z372</f>
        <v/>
      </c>
      <c r="AC372" s="25">
        <f>IF(T372=0,"",ROUND((X372-Z372)/T372*100,1))</f>
        <v/>
      </c>
      <c r="AD372" s="27" t="inlineStr">
        <is>
          <t>ESTIMATED</t>
        </is>
      </c>
      <c r="AE372" s="28" t="inlineStr">
        <is>
          <t>https://recuperacaojudicial.squarespace.com/s/RJ-Credimoveis-QGC-01082025.pdf</t>
        </is>
      </c>
      <c r="AF372" s="27" t="inlineStr">
        <is>
          <t>p16 r37</t>
        </is>
      </c>
      <c r="AG372" s="27" t="inlineStr">
        <is>
          <t>p16: R$ 475.452,00</t>
        </is>
      </c>
      <c r="AH372" s="27" t="inlineStr">
        <is>
          <t>QGC</t>
        </is>
      </c>
      <c r="AI372" s="27" t="inlineStr">
        <is>
          <t>2026-01-28</t>
        </is>
      </c>
      <c r="AJ372" s="27" t="inlineStr">
        <is>
          <t>OK</t>
        </is>
      </c>
      <c r="AK372" s="29" t="inlineStr">
        <is>
          <t>0007565-40.2020.8.17.2370</t>
        </is>
      </c>
      <c r="AL372" s="29" t="inlineStr">
        <is>
          <t>TJPE</t>
        </is>
      </c>
      <c r="AM372" s="29" t="inlineStr">
        <is>
          <t>ACTIVE</t>
        </is>
      </c>
      <c r="AN372" s="29" t="n">
        <v>2020</v>
      </c>
      <c r="AO372" s="29" t="inlineStr">
        <is>
          <t>6y since filing, no plan document</t>
        </is>
      </c>
      <c r="AP372" s="29" t="inlineStr">
        <is>
          <t>ARAPONGAS</t>
        </is>
      </c>
      <c r="AQ372" s="29" t="inlineStr">
        <is>
          <t>PR</t>
        </is>
      </c>
      <c r="AR372" s="29" t="inlineStr">
        <is>
          <t>Fabricação de móveis com predominância de madeira</t>
        </is>
      </c>
      <c r="AS372" s="29" t="inlineStr">
        <is>
          <t>DEMAIS</t>
        </is>
      </c>
      <c r="AT372" s="29" t="inlineStr">
        <is>
          <t>MID-MARKET</t>
        </is>
      </c>
      <c r="AU372" s="29" t="inlineStr">
        <is>
          <t>77991552</t>
        </is>
      </c>
      <c r="AV372" s="29" t="n">
        <v>1</v>
      </c>
      <c r="AW372" s="29" t="inlineStr">
        <is>
          <t>ROWS:p16r37</t>
        </is>
      </c>
    </row>
    <row r="373">
      <c r="A373" s="15" t="inlineStr">
        <is>
          <t>EMPRESA DE TERMOPLASTICOS DO NORDESTE ETENO LTDA</t>
        </is>
      </c>
      <c r="B373" s="16" t="n">
        <v>296123.94</v>
      </c>
      <c r="C373" s="17" t="inlineStr">
        <is>
          <t>civilmente LTDA</t>
        </is>
      </c>
      <c r="D373" s="18" t="inlineStr">
        <is>
          <t>NEW</t>
        </is>
      </c>
      <c r="E373" s="19" t="inlineStr"/>
      <c r="F373" s="18" t="inlineStr"/>
      <c r="G373" s="19" t="inlineStr"/>
      <c r="H373" s="18" t="inlineStr"/>
      <c r="I373" s="20" t="inlineStr">
        <is>
          <t>Leonardo Santana</t>
        </is>
      </c>
      <c r="J373" s="20" t="inlineStr">
        <is>
          <t>Financial Coordinator</t>
        </is>
      </c>
      <c r="K373" s="20" t="inlineStr">
        <is>
          <t>(81) 3342-2323</t>
        </is>
      </c>
      <c r="L373" s="20" t="inlineStr"/>
      <c r="M373" s="20" t="inlineStr"/>
      <c r="N373" s="20" t="inlineStr">
        <is>
          <t>leonardo.melo@eteno.com.br</t>
        </is>
      </c>
      <c r="O373" s="20" t="inlineStr">
        <is>
          <t>rodrigo.fernandes@eteno.com.br</t>
        </is>
      </c>
      <c r="P373" s="20" t="inlineStr">
        <is>
          <t>Rodrigo Fernandes</t>
        </is>
      </c>
      <c r="Q373" s="20" t="inlineStr">
        <is>
          <t>Director</t>
        </is>
      </c>
      <c r="R373" s="20" t="inlineStr"/>
      <c r="S373" s="20" t="inlineStr">
        <is>
          <t>rodrigo.fernandes@eteno.com.br</t>
        </is>
      </c>
      <c r="T373" s="21" t="n">
        <v>296123.94</v>
      </c>
      <c r="U373" s="22" t="inlineStr">
        <is>
          <t>B</t>
        </is>
      </c>
      <c r="V373" s="23">
        <f>IFERROR(VLOOKUP(U373,Assumptions!$A$7:$D$11,2,FALSE),0)</f>
        <v/>
      </c>
      <c r="W373" s="24">
        <f>MAX(0.5,IFERROR(VLOOKUP(U373,Assumptions!$A$7:$D$11,3,FALSE),3)+IFERROR(VLOOKUP(U373,Assumptions!$A$7:$D$11,4,FALSE),8)/2-IF(AN373="",0,YEAR(TODAY())-AN373))</f>
        <v/>
      </c>
      <c r="X373" s="21">
        <f>T373*V373/(1+Assumptions!$B$3)^W373</f>
        <v/>
      </c>
      <c r="Y373" s="25">
        <f>IF(T373=0,"",ROUND(X373/T373*100,1))</f>
        <v/>
      </c>
      <c r="Z373" s="26">
        <f>X373*Assumptions!$B$4</f>
        <v/>
      </c>
      <c r="AA373" s="25">
        <f>IF(T373=0,"",ROUND(Z373/T373*100,1))</f>
        <v/>
      </c>
      <c r="AB373" s="26">
        <f>X373-Z373</f>
        <v/>
      </c>
      <c r="AC373" s="25">
        <f>IF(T373=0,"",ROUND((X373-Z373)/T373*100,1))</f>
        <v/>
      </c>
      <c r="AD373" s="27" t="inlineStr">
        <is>
          <t>ESTIMATED</t>
        </is>
      </c>
      <c r="AE373" s="28" t="inlineStr">
        <is>
          <t>http://recuperacaojudicial.squarespace.com/s/LISTA-DE-CREDORES-CONSOLIDADA-ATE-04102024.pdf</t>
        </is>
      </c>
      <c r="AF373" s="27" t="inlineStr">
        <is>
          <t>p6 r12</t>
        </is>
      </c>
      <c r="AG373" s="27" t="inlineStr">
        <is>
          <t>p6: R$ 296.123,94</t>
        </is>
      </c>
      <c r="AH373" s="27" t="inlineStr">
        <is>
          <t>AJ_LIST</t>
        </is>
      </c>
      <c r="AI373" s="27" t="inlineStr">
        <is>
          <t>2024-10-04</t>
        </is>
      </c>
      <c r="AJ373" s="27" t="inlineStr">
        <is>
          <t>OK</t>
        </is>
      </c>
      <c r="AK373" s="29" t="inlineStr">
        <is>
          <t>0800778-16.2023.8.20.5104</t>
        </is>
      </c>
      <c r="AL373" s="29" t="inlineStr">
        <is>
          <t>TJRN</t>
        </is>
      </c>
      <c r="AM373" s="29" t="inlineStr">
        <is>
          <t>ACTIVE</t>
        </is>
      </c>
      <c r="AN373" s="29" t="n">
        <v>2023</v>
      </c>
      <c r="AO373" s="29" t="inlineStr">
        <is>
          <t>live case, no plan document yet</t>
        </is>
      </c>
      <c r="AP373" s="29" t="inlineStr">
        <is>
          <t>RECIFE</t>
        </is>
      </c>
      <c r="AQ373" s="29" t="inlineStr">
        <is>
          <t>PE</t>
        </is>
      </c>
      <c r="AR373" s="29" t="inlineStr">
        <is>
          <t>Fabricação de resinas termoplásticas</t>
        </is>
      </c>
      <c r="AS373" s="29" t="inlineStr">
        <is>
          <t>DEMAIS</t>
        </is>
      </c>
      <c r="AT373" s="29" t="inlineStr">
        <is>
          <t>MID-MARKET</t>
        </is>
      </c>
      <c r="AU373" s="29" t="inlineStr">
        <is>
          <t>08516950</t>
        </is>
      </c>
      <c r="AV373" s="29" t="n">
        <v>1</v>
      </c>
      <c r="AW373" s="29" t="inlineStr">
        <is>
          <t>ROWS:p6r12 VALUE_COL:Valor_Do_Crédito</t>
        </is>
      </c>
    </row>
    <row r="374">
      <c r="A374" s="15" t="inlineStr">
        <is>
          <t>FS I INDUSTRIA DE ETANOL S.A</t>
        </is>
      </c>
      <c r="B374" s="16" t="n">
        <v>425717.6</v>
      </c>
      <c r="C374" s="17" t="inlineStr">
        <is>
          <t>COMERCIO RACOES BEM BOM LTDA</t>
        </is>
      </c>
      <c r="D374" s="18" t="inlineStr">
        <is>
          <t>NEW</t>
        </is>
      </c>
      <c r="E374" s="19" t="inlineStr"/>
      <c r="F374" s="18" t="inlineStr"/>
      <c r="G374" s="19" t="inlineStr"/>
      <c r="H374" s="18" t="inlineStr"/>
      <c r="I374" s="20" t="inlineStr">
        <is>
          <t>DANIEL COSTA LOPES</t>
        </is>
      </c>
      <c r="J374" s="20" t="inlineStr">
        <is>
          <t>Diretor</t>
        </is>
      </c>
      <c r="K374" s="20" t="inlineStr">
        <is>
          <t>(65) 3548-1500</t>
        </is>
      </c>
      <c r="L374" s="20" t="inlineStr"/>
      <c r="M374" s="20" t="inlineStr"/>
      <c r="N374" s="20" t="inlineStr"/>
      <c r="O374" s="20" t="inlineStr"/>
      <c r="P374" s="20" t="inlineStr">
        <is>
          <t>DANIEL NOZAKI GUSHI</t>
        </is>
      </c>
      <c r="Q374" s="20" t="inlineStr">
        <is>
          <t>Diretor</t>
        </is>
      </c>
      <c r="R374" s="20" t="inlineStr">
        <is>
          <t>(65) 3548-1500</t>
        </is>
      </c>
      <c r="S374" s="20" t="inlineStr"/>
      <c r="T374" s="21" t="n">
        <v>425717.6</v>
      </c>
      <c r="U374" s="32" t="inlineStr">
        <is>
          <t>A</t>
        </is>
      </c>
      <c r="V374" s="23">
        <f>IFERROR(VLOOKUP(U374,Assumptions!$A$7:$D$11,2,FALSE),0)</f>
        <v/>
      </c>
      <c r="W374" s="24">
        <f>MAX(0.5,IFERROR(VLOOKUP(U374,Assumptions!$A$7:$D$11,3,FALSE),3)+IFERROR(VLOOKUP(U374,Assumptions!$A$7:$D$11,4,FALSE),8)/2-IF(AN374="",0,YEAR(TODAY())-AN374))</f>
        <v/>
      </c>
      <c r="X374" s="21">
        <f>T374*V374/(1+Assumptions!$B$3)^W374</f>
        <v/>
      </c>
      <c r="Y374" s="25">
        <f>IF(T374=0,"",ROUND(X374/T374*100,1))</f>
        <v/>
      </c>
      <c r="Z374" s="26">
        <f>X374*Assumptions!$B$4</f>
        <v/>
      </c>
      <c r="AA374" s="25">
        <f>IF(T374=0,"",ROUND(Z374/T374*100,1))</f>
        <v/>
      </c>
      <c r="AB374" s="26">
        <f>X374-Z374</f>
        <v/>
      </c>
      <c r="AC374" s="25">
        <f>IF(T374=0,"",ROUND((X374-Z374)/T374*100,1))</f>
        <v/>
      </c>
      <c r="AD374" s="27" t="inlineStr">
        <is>
          <t>CONFIRMED</t>
        </is>
      </c>
      <c r="AE374" s="28" t="inlineStr">
        <is>
          <t>https://stenius.com.br/wp-content/uploads/2026/06/EDITAL-GRUPO-3E.pdf</t>
        </is>
      </c>
      <c r="AF374" s="27" t="inlineStr">
        <is>
          <t>p13 r64</t>
        </is>
      </c>
      <c r="AG374" s="27" t="inlineStr">
        <is>
          <t>p13: R$ 425.717,60</t>
        </is>
      </c>
      <c r="AH374" s="27" t="inlineStr">
        <is>
          <t>DEBTOR_LIST</t>
        </is>
      </c>
      <c r="AI374" s="27" t="inlineStr">
        <is>
          <t>2026-06-22</t>
        </is>
      </c>
      <c r="AJ374" s="27" t="inlineStr">
        <is>
          <t>OK_NO_TOTALS</t>
        </is>
      </c>
      <c r="AK374" s="29" t="inlineStr">
        <is>
          <t>5341375-33.2026.8.09.0049</t>
        </is>
      </c>
      <c r="AL374" s="29" t="inlineStr">
        <is>
          <t>TJGO</t>
        </is>
      </c>
      <c r="AM374" s="29" t="inlineStr">
        <is>
          <t>ACTIVE</t>
        </is>
      </c>
      <c r="AN374" s="29" t="n">
        <v>2026</v>
      </c>
      <c r="AO374" s="29" t="inlineStr">
        <is>
          <t>plan/homologation document found</t>
        </is>
      </c>
      <c r="AP374" s="29" t="inlineStr">
        <is>
          <t>SAO PAULO</t>
        </is>
      </c>
      <c r="AQ374" s="29" t="inlineStr">
        <is>
          <t>SP</t>
        </is>
      </c>
      <c r="AR374" s="29" t="inlineStr">
        <is>
          <t>Comércio atacadista de matérias-primas agrícolas não especificadas anteriormente</t>
        </is>
      </c>
      <c r="AS374" s="29" t="inlineStr">
        <is>
          <t>DEMAIS</t>
        </is>
      </c>
      <c r="AT374" s="29" t="inlineStr">
        <is>
          <t>LARGE CORP</t>
        </is>
      </c>
      <c r="AU374" s="29" t="inlineStr">
        <is>
          <t>46710597</t>
        </is>
      </c>
      <c r="AV374" s="29" t="n">
        <v>1</v>
      </c>
      <c r="AW374" s="29" t="inlineStr">
        <is>
          <t>ROWS:p13r64 UNRECONCILED_SOURCE</t>
        </is>
      </c>
    </row>
    <row r="375">
      <c r="A375" s="15" t="inlineStr">
        <is>
          <t>DIMASTER - COMERCIO DE PRODUTOS HOSPITALARES LTDA.</t>
        </is>
      </c>
      <c r="B375" s="16" t="n">
        <v>232250.7</v>
      </c>
      <c r="C375" s="17" t="inlineStr">
        <is>
          <t>ASSOCIACAO DE CARIDADE SANTA CASA DE RIO GRANDE</t>
        </is>
      </c>
      <c r="D375" s="18" t="inlineStr">
        <is>
          <t>NEW</t>
        </is>
      </c>
      <c r="E375" s="19" t="inlineStr"/>
      <c r="F375" s="18" t="inlineStr"/>
      <c r="G375" s="19" t="inlineStr"/>
      <c r="H375" s="18" t="inlineStr"/>
      <c r="I375" s="20" t="inlineStr">
        <is>
          <t>ODAIR JOSE BALESTRIN</t>
        </is>
      </c>
      <c r="J375" s="20" t="inlineStr">
        <is>
          <t>Sócio-Administrador</t>
        </is>
      </c>
      <c r="K375" s="20" t="inlineStr">
        <is>
          <t>(54) 3523-2600</t>
        </is>
      </c>
      <c r="L375" s="20" t="inlineStr"/>
      <c r="M375" s="20" t="inlineStr"/>
      <c r="N375" s="20" t="inlineStr"/>
      <c r="O375" s="20" t="inlineStr"/>
      <c r="P375" s="20" t="inlineStr"/>
      <c r="Q375" s="20" t="inlineStr"/>
      <c r="R375" s="20" t="inlineStr"/>
      <c r="S375" s="20" t="inlineStr"/>
      <c r="T375" s="21" t="n">
        <v>232250.7</v>
      </c>
      <c r="U375" s="22" t="inlineStr">
        <is>
          <t>B</t>
        </is>
      </c>
      <c r="V375" s="23">
        <f>IFERROR(VLOOKUP(U375,Assumptions!$A$7:$D$11,2,FALSE),0)</f>
        <v/>
      </c>
      <c r="W375" s="24">
        <f>MAX(0.5,IFERROR(VLOOKUP(U375,Assumptions!$A$7:$D$11,3,FALSE),3)+IFERROR(VLOOKUP(U375,Assumptions!$A$7:$D$11,4,FALSE),8)/2-IF(AN375="",0,YEAR(TODAY())-AN375))</f>
        <v/>
      </c>
      <c r="X375" s="21">
        <f>T375*V375/(1+Assumptions!$B$3)^W375</f>
        <v/>
      </c>
      <c r="Y375" s="25">
        <f>IF(T375=0,"",ROUND(X375/T375*100,1))</f>
        <v/>
      </c>
      <c r="Z375" s="26">
        <f>X375*Assumptions!$B$4</f>
        <v/>
      </c>
      <c r="AA375" s="25">
        <f>IF(T375=0,"",ROUND(Z375/T375*100,1))</f>
        <v/>
      </c>
      <c r="AB375" s="26">
        <f>X375-Z375</f>
        <v/>
      </c>
      <c r="AC375" s="25">
        <f>IF(T375=0,"",ROUND((X375-Z375)/T375*100,1))</f>
        <v/>
      </c>
      <c r="AD375" s="27" t="inlineStr">
        <is>
          <t>ESTIMATED</t>
        </is>
      </c>
      <c r="AE375" s="28" t="inlineStr">
        <is>
          <t>https://scalzilliaj.com.br/sgc/download.php?file=files/processo_documento/processo_documento09120721032023_1_.pdf&amp;nome=15 - Edital do art. 7º, §2º e 53 da Lei 11.101/2005 (segunda lista de credores e recebimento do plano))</t>
        </is>
      </c>
      <c r="AF375" s="27" t="inlineStr">
        <is>
          <t>p27 r7</t>
        </is>
      </c>
      <c r="AG375" s="27" t="inlineStr">
        <is>
          <t>p27: R$ 232.250,70</t>
        </is>
      </c>
      <c r="AH375" s="27" t="inlineStr">
        <is>
          <t>AJ_LIST</t>
        </is>
      </c>
      <c r="AI375" s="27" t="inlineStr">
        <is>
          <t>2023-03-21</t>
        </is>
      </c>
      <c r="AJ375" s="27" t="inlineStr">
        <is>
          <t>OK_NO_TOTALS</t>
        </is>
      </c>
      <c r="AK375" s="29" t="inlineStr">
        <is>
          <t>5012306-16.2022.8.21.0023</t>
        </is>
      </c>
      <c r="AL375" s="29" t="inlineStr">
        <is>
          <t>TJRS</t>
        </is>
      </c>
      <c r="AM375" s="29" t="inlineStr">
        <is>
          <t>ACTIVE</t>
        </is>
      </c>
      <c r="AN375" s="29" t="n">
        <v>2022</v>
      </c>
      <c r="AO375" s="29" t="inlineStr">
        <is>
          <t>live case, no plan document yet</t>
        </is>
      </c>
      <c r="AP375" s="29" t="inlineStr">
        <is>
          <t>BARAO DE COTEGIPE</t>
        </is>
      </c>
      <c r="AQ375" s="29" t="inlineStr">
        <is>
          <t>RS</t>
        </is>
      </c>
      <c r="AR375" s="29" t="inlineStr">
        <is>
          <t>Comércio atacadista de medicamentos e drogas de uso humano</t>
        </is>
      </c>
      <c r="AS375" s="29" t="inlineStr">
        <is>
          <t>DEMAIS</t>
        </is>
      </c>
      <c r="AT375" s="29" t="inlineStr">
        <is>
          <t>MID-MARKET</t>
        </is>
      </c>
      <c r="AU375" s="29" t="inlineStr">
        <is>
          <t>02520829</t>
        </is>
      </c>
      <c r="AV375" s="29" t="n">
        <v>1</v>
      </c>
      <c r="AW375" s="29" t="inlineStr">
        <is>
          <t>ROWS:p27r7 UNRECONCILED_SOURCE</t>
        </is>
      </c>
    </row>
    <row r="376">
      <c r="A376" s="15" t="inlineStr">
        <is>
          <t>INCOFIOS INDUSTRIA E COMERCIO DE FIOS LTDA</t>
        </is>
      </c>
      <c r="B376" s="16" t="n">
        <v>330759.56</v>
      </c>
      <c r="C376" s="17" t="inlineStr">
        <is>
          <t>BANCO BRADESCO S.A.</t>
        </is>
      </c>
      <c r="D376" s="18" t="inlineStr">
        <is>
          <t>NEW</t>
        </is>
      </c>
      <c r="E376" s="19" t="inlineStr"/>
      <c r="F376" s="18" t="inlineStr"/>
      <c r="G376" s="19" t="inlineStr"/>
      <c r="H376" s="18" t="inlineStr"/>
      <c r="I376" s="20" t="inlineStr">
        <is>
          <t>VITOR LUIZ RAMBO JUNIOR</t>
        </is>
      </c>
      <c r="J376" s="20" t="inlineStr">
        <is>
          <t>Administrador</t>
        </is>
      </c>
      <c r="K376" s="20" t="inlineStr">
        <is>
          <t>(47) 3377-8000</t>
        </is>
      </c>
      <c r="L376" s="20" t="inlineStr"/>
      <c r="M376" s="20" t="inlineStr"/>
      <c r="N376" s="20" t="inlineStr"/>
      <c r="O376" s="20" t="inlineStr"/>
      <c r="P376" s="20" t="inlineStr"/>
      <c r="Q376" s="20" t="inlineStr"/>
      <c r="R376" s="20" t="inlineStr"/>
      <c r="S376" s="20" t="inlineStr"/>
      <c r="T376" s="21" t="n">
        <v>330759.56</v>
      </c>
      <c r="U376" s="31" t="inlineStr">
        <is>
          <t>C</t>
        </is>
      </c>
      <c r="V376" s="23">
        <f>IFERROR(VLOOKUP(U376,Assumptions!$A$7:$D$11,2,FALSE),0)</f>
        <v/>
      </c>
      <c r="W376" s="24">
        <f>MAX(0.5,IFERROR(VLOOKUP(U376,Assumptions!$A$7:$D$11,3,FALSE),3)+IFERROR(VLOOKUP(U376,Assumptions!$A$7:$D$11,4,FALSE),8)/2-IF(AN376="",0,YEAR(TODAY())-AN376))</f>
        <v/>
      </c>
      <c r="X376" s="21">
        <f>T376*V376/(1+Assumptions!$B$3)^W376</f>
        <v/>
      </c>
      <c r="Y376" s="25">
        <f>IF(T376=0,"",ROUND(X376/T376*100,1))</f>
        <v/>
      </c>
      <c r="Z376" s="26">
        <f>X376*Assumptions!$B$4</f>
        <v/>
      </c>
      <c r="AA376" s="25">
        <f>IF(T376=0,"",ROUND(Z376/T376*100,1))</f>
        <v/>
      </c>
      <c r="AB376" s="26">
        <f>X376-Z376</f>
        <v/>
      </c>
      <c r="AC376" s="25">
        <f>IF(T376=0,"",ROUND((X376-Z376)/T376*100,1))</f>
        <v/>
      </c>
      <c r="AD376" s="27" t="inlineStr">
        <is>
          <t>UNKNOWN</t>
        </is>
      </c>
      <c r="AE376" s="28" t="inlineStr">
        <is>
          <t>https://administradorajudicialgs.com.br/wp-content/uploads/2023/08/doc-06-relacao-credores-do-administrador-judicial-10-02-2015.pdf</t>
        </is>
      </c>
      <c r="AF376" s="27" t="inlineStr">
        <is>
          <t>p2 r17</t>
        </is>
      </c>
      <c r="AG376" s="27" t="inlineStr">
        <is>
          <t>p2: R$ 330.759,56</t>
        </is>
      </c>
      <c r="AH376" s="27" t="inlineStr">
        <is>
          <t>AJ_LIST</t>
        </is>
      </c>
      <c r="AI376" s="27" t="inlineStr"/>
      <c r="AJ376" s="27" t="inlineStr">
        <is>
          <t>QUARANTINED</t>
        </is>
      </c>
      <c r="AK376" s="29" t="inlineStr">
        <is>
          <t>0302174-63.2015.8.24.0025</t>
        </is>
      </c>
      <c r="AL376" s="29" t="inlineStr">
        <is>
          <t>TJ</t>
        </is>
      </c>
      <c r="AM376" s="29" t="inlineStr"/>
      <c r="AN376" s="29" t="n">
        <v>2015</v>
      </c>
      <c r="AO376" s="29" t="inlineStr">
        <is>
          <t>11y since filing, no plan document</t>
        </is>
      </c>
      <c r="AP376" s="29" t="inlineStr">
        <is>
          <t>INDAIAL</t>
        </is>
      </c>
      <c r="AQ376" s="29" t="inlineStr">
        <is>
          <t>SC</t>
        </is>
      </c>
      <c r="AR376" s="29" t="inlineStr">
        <is>
          <t>Preparação e fiação de fibras de algodão</t>
        </is>
      </c>
      <c r="AS376" s="29" t="inlineStr">
        <is>
          <t>DEMAIS</t>
        </is>
      </c>
      <c r="AT376" s="29" t="inlineStr">
        <is>
          <t>LARGE CORP</t>
        </is>
      </c>
      <c r="AU376" s="29" t="inlineStr">
        <is>
          <t>04432327</t>
        </is>
      </c>
      <c r="AV376" s="29" t="n">
        <v>1</v>
      </c>
      <c r="AW376" s="29" t="inlineStr">
        <is>
          <t>PARTIAL_DOC_CLASS_III_RECONCILED ROWS:p2r17</t>
        </is>
      </c>
    </row>
    <row r="377">
      <c r="A377" s="15" t="inlineStr">
        <is>
          <t>WHITE MARTINS GASES INDUSTRIAIS LTDA</t>
        </is>
      </c>
      <c r="B377" s="16" t="n">
        <v>328667.29</v>
      </c>
      <c r="C377" s="17" t="inlineStr">
        <is>
          <t>HOSPITAL SA</t>
        </is>
      </c>
      <c r="D377" s="18" t="inlineStr">
        <is>
          <t>NEW</t>
        </is>
      </c>
      <c r="E377" s="19" t="inlineStr"/>
      <c r="F377" s="18" t="inlineStr"/>
      <c r="G377" s="19" t="inlineStr"/>
      <c r="H377" s="18" t="inlineStr"/>
      <c r="I377" s="20" t="inlineStr">
        <is>
          <t>Claudio Ferreira</t>
        </is>
      </c>
      <c r="J377" s="20" t="inlineStr">
        <is>
          <t>Supervisor Contas a Receber</t>
        </is>
      </c>
      <c r="K377" s="20" t="inlineStr">
        <is>
          <t>(21) 3279-9000</t>
        </is>
      </c>
      <c r="L377" s="20" t="inlineStr"/>
      <c r="M377" s="20" t="inlineStr"/>
      <c r="N377" s="20" t="inlineStr"/>
      <c r="O377" s="20" t="inlineStr"/>
      <c r="P377" s="20" t="inlineStr">
        <is>
          <t>Livia Pestana</t>
        </is>
      </c>
      <c r="Q377" s="20" t="inlineStr">
        <is>
          <t>Supervisor de Cobrança / Contas a Receber</t>
        </is>
      </c>
      <c r="R377" s="20" t="inlineStr"/>
      <c r="S377" s="20" t="inlineStr"/>
      <c r="T377" s="21" t="n">
        <v>328667.29</v>
      </c>
      <c r="U377" s="31" t="inlineStr">
        <is>
          <t>C</t>
        </is>
      </c>
      <c r="V377" s="23">
        <f>IFERROR(VLOOKUP(U377,Assumptions!$A$7:$D$11,2,FALSE),0)</f>
        <v/>
      </c>
      <c r="W377" s="24">
        <f>MAX(0.5,IFERROR(VLOOKUP(U377,Assumptions!$A$7:$D$11,3,FALSE),3)+IFERROR(VLOOKUP(U377,Assumptions!$A$7:$D$11,4,FALSE),8)/2-IF(AN377="",0,YEAR(TODAY())-AN377))</f>
        <v/>
      </c>
      <c r="X377" s="21">
        <f>T377*V377/(1+Assumptions!$B$3)^W377</f>
        <v/>
      </c>
      <c r="Y377" s="25">
        <f>IF(T377=0,"",ROUND(X377/T377*100,1))</f>
        <v/>
      </c>
      <c r="Z377" s="26">
        <f>X377*Assumptions!$B$4</f>
        <v/>
      </c>
      <c r="AA377" s="25">
        <f>IF(T377=0,"",ROUND(Z377/T377*100,1))</f>
        <v/>
      </c>
      <c r="AB377" s="26">
        <f>X377-Z377</f>
        <v/>
      </c>
      <c r="AC377" s="25">
        <f>IF(T377=0,"",ROUND((X377-Z377)/T377*100,1))</f>
        <v/>
      </c>
      <c r="AD377" s="27" t="inlineStr">
        <is>
          <t>UNKNOWN</t>
        </is>
      </c>
      <c r="AE377" s="28" t="inlineStr">
        <is>
          <t>https://ricardobiancardi.com.br/wp-content/uploads/2024/12/Edital-1-relacao-de-credores-pub.-02.12.24-.pdf</t>
        </is>
      </c>
      <c r="AF377" s="27" t="inlineStr">
        <is>
          <t>p5 r24</t>
        </is>
      </c>
      <c r="AG377" s="27" t="inlineStr">
        <is>
          <t>p5: R$ 328.667,29</t>
        </is>
      </c>
      <c r="AH377" s="27" t="inlineStr">
        <is>
          <t>DEBTOR_LIST</t>
        </is>
      </c>
      <c r="AI377" s="27" t="inlineStr">
        <is>
          <t>2024-12-02</t>
        </is>
      </c>
      <c r="AJ377" s="27" t="inlineStr">
        <is>
          <t>OK_NO_TOTALS</t>
        </is>
      </c>
      <c r="AK377" s="29" t="inlineStr">
        <is>
          <t>0041309-42.2014.8.08.0024</t>
        </is>
      </c>
      <c r="AL377" s="29" t="inlineStr">
        <is>
          <t>TJ</t>
        </is>
      </c>
      <c r="AM377" s="29" t="inlineStr"/>
      <c r="AN377" s="29" t="n">
        <v>2014</v>
      </c>
      <c r="AO377" s="29" t="inlineStr">
        <is>
          <t>12y since filing, no plan document</t>
        </is>
      </c>
      <c r="AP377" s="29" t="inlineStr">
        <is>
          <t>RIO DE JANEIRO</t>
        </is>
      </c>
      <c r="AQ377" s="29" t="inlineStr">
        <is>
          <t>RJ</t>
        </is>
      </c>
      <c r="AR377" s="29" t="inlineStr">
        <is>
          <t>Atividades de consultoria em gestão empresarial, exceto consultoria técnica específica</t>
        </is>
      </c>
      <c r="AS377" s="29" t="inlineStr">
        <is>
          <t>DEMAIS</t>
        </is>
      </c>
      <c r="AT377" s="29" t="inlineStr">
        <is>
          <t>LARGE CORP</t>
        </is>
      </c>
      <c r="AU377" s="29" t="inlineStr">
        <is>
          <t>35820448</t>
        </is>
      </c>
      <c r="AV377" s="29" t="n">
        <v>1</v>
      </c>
      <c r="AW377" s="29" t="inlineStr">
        <is>
          <t>ROWS:p5r24 UNRECONCILED_SOURCE</t>
        </is>
      </c>
    </row>
    <row r="378">
      <c r="A378" s="15" t="inlineStr">
        <is>
          <t>TRR PEGORARO LTDA</t>
        </is>
      </c>
      <c r="B378" s="16" t="n">
        <v>358250</v>
      </c>
      <c r="C378" s="17" t="inlineStr">
        <is>
          <t>D'AGOSTINI &amp; DIDOMENICO LTDA EM RECUPERACAO JUDICIAL</t>
        </is>
      </c>
      <c r="D378" s="18" t="inlineStr">
        <is>
          <t>NEW</t>
        </is>
      </c>
      <c r="E378" s="19" t="inlineStr"/>
      <c r="F378" s="18" t="inlineStr"/>
      <c r="G378" s="19" t="inlineStr"/>
      <c r="H378" s="18" t="inlineStr"/>
      <c r="I378" s="20" t="inlineStr">
        <is>
          <t>DARIO PEGORARO</t>
        </is>
      </c>
      <c r="J378" s="20" t="inlineStr">
        <is>
          <t>Sócio-Administrador</t>
        </is>
      </c>
      <c r="K378" s="20" t="inlineStr">
        <is>
          <t>(67) 3291-9200</t>
        </is>
      </c>
      <c r="L378" s="20" t="inlineStr">
        <is>
          <t>(67) 3291-9232</t>
        </is>
      </c>
      <c r="M378" s="20" t="inlineStr"/>
      <c r="N378" s="20" t="inlineStr"/>
      <c r="O378" s="20" t="inlineStr"/>
      <c r="P378" s="20" t="inlineStr">
        <is>
          <t>DARLON PEGORARO</t>
        </is>
      </c>
      <c r="Q378" s="20" t="inlineStr">
        <is>
          <t>Administrador</t>
        </is>
      </c>
      <c r="R378" s="20" t="inlineStr">
        <is>
          <t>(67) 3291-9232</t>
        </is>
      </c>
      <c r="S378" s="20" t="inlineStr"/>
      <c r="T378" s="21" t="n">
        <v>358250</v>
      </c>
      <c r="U378" s="22" t="inlineStr">
        <is>
          <t>B</t>
        </is>
      </c>
      <c r="V378" s="23">
        <f>IFERROR(VLOOKUP(U378,Assumptions!$A$7:$D$11,2,FALSE),0)</f>
        <v/>
      </c>
      <c r="W378" s="24">
        <f>MAX(0.5,IFERROR(VLOOKUP(U378,Assumptions!$A$7:$D$11,3,FALSE),3)+IFERROR(VLOOKUP(U378,Assumptions!$A$7:$D$11,4,FALSE),8)/2-IF(AN378="",0,YEAR(TODAY())-AN378))</f>
        <v/>
      </c>
      <c r="X378" s="21">
        <f>T378*V378/(1+Assumptions!$B$3)^W378</f>
        <v/>
      </c>
      <c r="Y378" s="25">
        <f>IF(T378=0,"",ROUND(X378/T378*100,1))</f>
        <v/>
      </c>
      <c r="Z378" s="26">
        <f>X378*Assumptions!$B$4</f>
        <v/>
      </c>
      <c r="AA378" s="25">
        <f>IF(T378=0,"",ROUND(Z378/T378*100,1))</f>
        <v/>
      </c>
      <c r="AB378" s="26">
        <f>X378-Z378</f>
        <v/>
      </c>
      <c r="AC378" s="25">
        <f>IF(T378=0,"",ROUND((X378-Z378)/T378*100,1))</f>
        <v/>
      </c>
      <c r="AD378" s="27" t="inlineStr">
        <is>
          <t>ESTIMATED</t>
        </is>
      </c>
      <c r="AE378" s="28" t="inlineStr">
        <is>
          <t>https://marquesadmjudicial.com.br/sgc/download.php?file=files/processo_documento/processo_documento20014127022025_1_.pdf&amp;nome=Relação Nominal de Credores</t>
        </is>
      </c>
      <c r="AF378" s="27" t="inlineStr">
        <is>
          <t>p6 r5</t>
        </is>
      </c>
      <c r="AG378" s="27" t="inlineStr">
        <is>
          <t>p6: R$ 358.250,00</t>
        </is>
      </c>
      <c r="AH378" s="27" t="inlineStr">
        <is>
          <t>AJ_LIST</t>
        </is>
      </c>
      <c r="AI378" s="27" t="inlineStr">
        <is>
          <t>2024-11-08</t>
        </is>
      </c>
      <c r="AJ378" s="27" t="inlineStr">
        <is>
          <t>QUARANTINED</t>
        </is>
      </c>
      <c r="AK378" s="29" t="inlineStr">
        <is>
          <t>0001943-40.2024.8.16.0115</t>
        </is>
      </c>
      <c r="AL378" s="29" t="inlineStr">
        <is>
          <t>TJPR</t>
        </is>
      </c>
      <c r="AM378" s="29" t="inlineStr">
        <is>
          <t>ACTIVE</t>
        </is>
      </c>
      <c r="AN378" s="29" t="n">
        <v>2024</v>
      </c>
      <c r="AO378" s="29" t="inlineStr">
        <is>
          <t>live case, no plan document yet</t>
        </is>
      </c>
      <c r="AP378" s="29" t="inlineStr">
        <is>
          <t>COXIM</t>
        </is>
      </c>
      <c r="AQ378" s="29" t="inlineStr">
        <is>
          <t>MS</t>
        </is>
      </c>
      <c r="AR378" s="29" t="inlineStr">
        <is>
          <t>Comércio atacadista de combustíveis realizado por transportador retalhista (T.R.R.)</t>
        </is>
      </c>
      <c r="AS378" s="29" t="inlineStr">
        <is>
          <t>DEMAIS</t>
        </is>
      </c>
      <c r="AT378" s="29" t="inlineStr">
        <is>
          <t>MID-MARKET</t>
        </is>
      </c>
      <c r="AU378" s="29" t="inlineStr">
        <is>
          <t>17986477</t>
        </is>
      </c>
      <c r="AV378" s="29" t="n">
        <v>1</v>
      </c>
      <c r="AW378" s="29" t="inlineStr">
        <is>
          <t>PARTIAL_DOC_CLASS_III_RECONCILED ROWS:p6r5</t>
        </is>
      </c>
    </row>
    <row r="379">
      <c r="A379" s="15" t="inlineStr">
        <is>
          <t>GSI CREOS BRASIL LTDA</t>
        </is>
      </c>
      <c r="B379" s="16" t="n">
        <v>325850.6</v>
      </c>
      <c r="C379" s="17" t="inlineStr">
        <is>
          <t>CENTRO DE TRATAMENTO RENAL ZONA SUL LTDA - EM RECUPERACAO JUDICIAL</t>
        </is>
      </c>
      <c r="D379" s="18" t="inlineStr">
        <is>
          <t>NEW</t>
        </is>
      </c>
      <c r="E379" s="19" t="inlineStr"/>
      <c r="F379" s="18" t="inlineStr"/>
      <c r="G379" s="19" t="inlineStr"/>
      <c r="H379" s="18" t="inlineStr"/>
      <c r="I379" s="20" t="inlineStr">
        <is>
          <t>Jamily Gueiros</t>
        </is>
      </c>
      <c r="J379" s="20" t="inlineStr">
        <is>
          <t>Financial Analyst</t>
        </is>
      </c>
      <c r="K379" s="20" t="inlineStr">
        <is>
          <t>(11) 3266-4133</t>
        </is>
      </c>
      <c r="L379" s="20" t="inlineStr"/>
      <c r="M379" s="20" t="inlineStr"/>
      <c r="N379" s="20" t="inlineStr"/>
      <c r="O379" s="20" t="inlineStr">
        <is>
          <t>daniela@gsi.com.br</t>
        </is>
      </c>
      <c r="P379" s="20" t="inlineStr">
        <is>
          <t>Daniela Yamauti</t>
        </is>
      </c>
      <c r="Q379" s="20" t="inlineStr">
        <is>
          <t>Operations Director</t>
        </is>
      </c>
      <c r="R379" s="20" t="inlineStr"/>
      <c r="S379" s="20" t="inlineStr">
        <is>
          <t>daniela@gsi.com.br</t>
        </is>
      </c>
      <c r="T379" s="21" t="n">
        <v>325850.6</v>
      </c>
      <c r="U379" s="31" t="inlineStr">
        <is>
          <t>C</t>
        </is>
      </c>
      <c r="V379" s="23">
        <f>IFERROR(VLOOKUP(U379,Assumptions!$A$7:$D$11,2,FALSE),0)</f>
        <v/>
      </c>
      <c r="W379" s="24">
        <f>MAX(0.5,IFERROR(VLOOKUP(U379,Assumptions!$A$7:$D$11,3,FALSE),3)+IFERROR(VLOOKUP(U379,Assumptions!$A$7:$D$11,4,FALSE),8)/2-IF(AN379="",0,YEAR(TODAY())-AN379))</f>
        <v/>
      </c>
      <c r="X379" s="21">
        <f>T379*V379/(1+Assumptions!$B$3)^W379</f>
        <v/>
      </c>
      <c r="Y379" s="25">
        <f>IF(T379=0,"",ROUND(X379/T379*100,1))</f>
        <v/>
      </c>
      <c r="Z379" s="26">
        <f>X379*Assumptions!$B$4</f>
        <v/>
      </c>
      <c r="AA379" s="25">
        <f>IF(T379=0,"",ROUND(Z379/T379*100,1))</f>
        <v/>
      </c>
      <c r="AB379" s="26">
        <f>X379-Z379</f>
        <v/>
      </c>
      <c r="AC379" s="25">
        <f>IF(T379=0,"",ROUND((X379-Z379)/T379*100,1))</f>
        <v/>
      </c>
      <c r="AD379" s="27" t="inlineStr">
        <is>
          <t>UNKNOWN</t>
        </is>
      </c>
      <c r="AE379" s="28" t="inlineStr">
        <is>
          <t>https://recuperacaojudicial.squarespace.com/s/4-RJCTREditalda2ListadeCredoresnovembro2019.pdf</t>
        </is>
      </c>
      <c r="AF379" s="27" t="inlineStr">
        <is>
          <t>p3 r24</t>
        </is>
      </c>
      <c r="AG379" s="27" t="inlineStr">
        <is>
          <t>p3: R$ 325.850,60</t>
        </is>
      </c>
      <c r="AH379" s="27" t="inlineStr">
        <is>
          <t>AJ_LIST</t>
        </is>
      </c>
      <c r="AI379" s="27" t="inlineStr">
        <is>
          <t>2019-11-25</t>
        </is>
      </c>
      <c r="AJ379" s="27" t="inlineStr">
        <is>
          <t>OK</t>
        </is>
      </c>
      <c r="AK379" s="29" t="inlineStr">
        <is>
          <t>0015488-29.2018.8.17.2810</t>
        </is>
      </c>
      <c r="AL379" s="29" t="inlineStr">
        <is>
          <t>TJ</t>
        </is>
      </c>
      <c r="AM379" s="29" t="inlineStr"/>
      <c r="AN379" s="29" t="n">
        <v>2018</v>
      </c>
      <c r="AO379" s="29" t="inlineStr">
        <is>
          <t>8y since filing, no plan document</t>
        </is>
      </c>
      <c r="AP379" s="29" t="inlineStr">
        <is>
          <t>SAO PAULO</t>
        </is>
      </c>
      <c r="AQ379" s="29" t="inlineStr">
        <is>
          <t>SP</t>
        </is>
      </c>
      <c r="AR379" s="29" t="inlineStr">
        <is>
          <t>Comércio atacadista de máquinas, aparelhos e equipamentos para uso agropecuário; partes e peças</t>
        </is>
      </c>
      <c r="AS379" s="29" t="inlineStr">
        <is>
          <t>DEMAIS</t>
        </is>
      </c>
      <c r="AT379" s="29" t="inlineStr">
        <is>
          <t>MID-MARKET</t>
        </is>
      </c>
      <c r="AU379" s="29" t="inlineStr">
        <is>
          <t>43718469</t>
        </is>
      </c>
      <c r="AV379" s="29" t="n">
        <v>1</v>
      </c>
      <c r="AW379" s="29" t="inlineStr">
        <is>
          <t>ROWS:p3r24</t>
        </is>
      </c>
    </row>
    <row r="380">
      <c r="A380" s="15" t="inlineStr">
        <is>
          <t>TRANS FALLS LTDA</t>
        </is>
      </c>
      <c r="B380" s="16" t="n">
        <v>354400</v>
      </c>
      <c r="C380" s="17" t="inlineStr">
        <is>
          <t>D'AGOSTINI &amp; DIDOMENICO LTDA EM RECUPERACAO JUDICIAL</t>
        </is>
      </c>
      <c r="D380" s="18" t="inlineStr">
        <is>
          <t>NEW</t>
        </is>
      </c>
      <c r="E380" s="19" t="inlineStr"/>
      <c r="F380" s="18" t="inlineStr"/>
      <c r="G380" s="19" t="inlineStr"/>
      <c r="H380" s="18" t="inlineStr"/>
      <c r="I380" s="20" t="inlineStr">
        <is>
          <t>Lenoir Lenoir</t>
        </is>
      </c>
      <c r="J380" s="20" t="inlineStr">
        <is>
          <t>(no title)</t>
        </is>
      </c>
      <c r="K380" s="20" t="inlineStr">
        <is>
          <t>(45) 3526-2997</t>
        </is>
      </c>
      <c r="L380" s="20" t="inlineStr"/>
      <c r="M380" s="20" t="inlineStr"/>
      <c r="N380" s="20" t="inlineStr">
        <is>
          <t>lenoir@transfalls.com.br</t>
        </is>
      </c>
      <c r="O380" s="20" t="inlineStr"/>
      <c r="P380" s="20" t="inlineStr">
        <is>
          <t>JOAO CARLOS ADAMES</t>
        </is>
      </c>
      <c r="Q380" s="20" t="inlineStr">
        <is>
          <t>Sócio-Administrador</t>
        </is>
      </c>
      <c r="R380" s="20" t="inlineStr">
        <is>
          <t>(45) 3526-2997</t>
        </is>
      </c>
      <c r="S380" s="20" t="inlineStr"/>
      <c r="T380" s="21" t="n">
        <v>354400</v>
      </c>
      <c r="U380" s="22" t="inlineStr">
        <is>
          <t>B</t>
        </is>
      </c>
      <c r="V380" s="23">
        <f>IFERROR(VLOOKUP(U380,Assumptions!$A$7:$D$11,2,FALSE),0)</f>
        <v/>
      </c>
      <c r="W380" s="24">
        <f>MAX(0.5,IFERROR(VLOOKUP(U380,Assumptions!$A$7:$D$11,3,FALSE),3)+IFERROR(VLOOKUP(U380,Assumptions!$A$7:$D$11,4,FALSE),8)/2-IF(AN380="",0,YEAR(TODAY())-AN380))</f>
        <v/>
      </c>
      <c r="X380" s="21">
        <f>T380*V380/(1+Assumptions!$B$3)^W380</f>
        <v/>
      </c>
      <c r="Y380" s="25">
        <f>IF(T380=0,"",ROUND(X380/T380*100,1))</f>
        <v/>
      </c>
      <c r="Z380" s="26">
        <f>X380*Assumptions!$B$4</f>
        <v/>
      </c>
      <c r="AA380" s="25">
        <f>IF(T380=0,"",ROUND(Z380/T380*100,1))</f>
        <v/>
      </c>
      <c r="AB380" s="26">
        <f>X380-Z380</f>
        <v/>
      </c>
      <c r="AC380" s="25">
        <f>IF(T380=0,"",ROUND((X380-Z380)/T380*100,1))</f>
        <v/>
      </c>
      <c r="AD380" s="27" t="inlineStr">
        <is>
          <t>ESTIMATED</t>
        </is>
      </c>
      <c r="AE380" s="28" t="inlineStr">
        <is>
          <t>https://marquesadmjudicial.com.br/sgc/download.php?file=files/processo_documento/processo_documento20014127022025_1_.pdf&amp;nome=Relação Nominal de Credores</t>
        </is>
      </c>
      <c r="AF380" s="27" t="inlineStr">
        <is>
          <t>p6 r4</t>
        </is>
      </c>
      <c r="AG380" s="27" t="inlineStr">
        <is>
          <t>p6: R$ 354.400,00</t>
        </is>
      </c>
      <c r="AH380" s="27" t="inlineStr">
        <is>
          <t>AJ_LIST</t>
        </is>
      </c>
      <c r="AI380" s="27" t="inlineStr">
        <is>
          <t>2024-11-08</t>
        </is>
      </c>
      <c r="AJ380" s="27" t="inlineStr">
        <is>
          <t>QUARANTINED</t>
        </is>
      </c>
      <c r="AK380" s="29" t="inlineStr">
        <is>
          <t>0001943-40.2024.8.16.0115</t>
        </is>
      </c>
      <c r="AL380" s="29" t="inlineStr">
        <is>
          <t>TJPR</t>
        </is>
      </c>
      <c r="AM380" s="29" t="inlineStr">
        <is>
          <t>ACTIVE</t>
        </is>
      </c>
      <c r="AN380" s="29" t="n">
        <v>2024</v>
      </c>
      <c r="AO380" s="29" t="inlineStr">
        <is>
          <t>live case, no plan document yet</t>
        </is>
      </c>
      <c r="AP380" s="29" t="inlineStr">
        <is>
          <t>FOZ DO IGUACU</t>
        </is>
      </c>
      <c r="AQ380" s="29" t="inlineStr">
        <is>
          <t>PR</t>
        </is>
      </c>
      <c r="AR380" s="29" t="inlineStr">
        <is>
          <t>Transporte rodoviário de carga, exceto produtos perigosos e mudanças, intermunicipal, interestadual e internacional</t>
        </is>
      </c>
      <c r="AS380" s="29" t="inlineStr">
        <is>
          <t>DEMAIS</t>
        </is>
      </c>
      <c r="AT380" s="29" t="inlineStr">
        <is>
          <t>MID-MARKET</t>
        </is>
      </c>
      <c r="AU380" s="29" t="inlineStr">
        <is>
          <t>03266537</t>
        </is>
      </c>
      <c r="AV380" s="29" t="n">
        <v>1</v>
      </c>
      <c r="AW380" s="29" t="inlineStr">
        <is>
          <t>PARTIAL_DOC_CLASS_III_RECONCILED ROWS:p6r4</t>
        </is>
      </c>
    </row>
    <row r="381">
      <c r="A381" s="15" t="inlineStr">
        <is>
          <t>MK BR S.A</t>
        </is>
      </c>
      <c r="B381" s="16" t="n">
        <v>450760.99</v>
      </c>
      <c r="C381" s="17" t="inlineStr">
        <is>
          <t>aludida empresa</t>
        </is>
      </c>
      <c r="D381" s="18" t="inlineStr">
        <is>
          <t>NEW</t>
        </is>
      </c>
      <c r="E381" s="19" t="inlineStr"/>
      <c r="F381" s="18" t="inlineStr"/>
      <c r="G381" s="19" t="inlineStr"/>
      <c r="H381" s="18" t="inlineStr"/>
      <c r="I381" s="20" t="inlineStr">
        <is>
          <t>ALBERTO BAGGIANI</t>
        </is>
      </c>
      <c r="J381" s="20" t="inlineStr">
        <is>
          <t>Diretor</t>
        </is>
      </c>
      <c r="K381" s="20" t="inlineStr">
        <is>
          <t>(11) 3581-4125</t>
        </is>
      </c>
      <c r="L381" s="20" t="inlineStr"/>
      <c r="M381" s="20" t="inlineStr"/>
      <c r="N381" s="20" t="inlineStr"/>
      <c r="O381" s="20" t="inlineStr"/>
      <c r="P381" s="20" t="inlineStr">
        <is>
          <t>GIOVANNI MARINS CARDOSO</t>
        </is>
      </c>
      <c r="Q381" s="20" t="inlineStr">
        <is>
          <t>Diretor</t>
        </is>
      </c>
      <c r="R381" s="20" t="inlineStr">
        <is>
          <t>(11) 3581-4125</t>
        </is>
      </c>
      <c r="S381" s="20" t="inlineStr"/>
      <c r="T381" s="21" t="n">
        <v>450760.99</v>
      </c>
      <c r="U381" s="31" t="inlineStr">
        <is>
          <t>C</t>
        </is>
      </c>
      <c r="V381" s="23">
        <f>IFERROR(VLOOKUP(U381,Assumptions!$A$7:$D$11,2,FALSE),0)</f>
        <v/>
      </c>
      <c r="W381" s="24">
        <f>MAX(0.5,IFERROR(VLOOKUP(U381,Assumptions!$A$7:$D$11,3,FALSE),3)+IFERROR(VLOOKUP(U381,Assumptions!$A$7:$D$11,4,FALSE),8)/2-IF(AN381="",0,YEAR(TODAY())-AN381))</f>
        <v/>
      </c>
      <c r="X381" s="21">
        <f>T381*V381/(1+Assumptions!$B$3)^W381</f>
        <v/>
      </c>
      <c r="Y381" s="25">
        <f>IF(T381=0,"",ROUND(X381/T381*100,1))</f>
        <v/>
      </c>
      <c r="Z381" s="26">
        <f>X381*Assumptions!$B$4</f>
        <v/>
      </c>
      <c r="AA381" s="25">
        <f>IF(T381=0,"",ROUND(Z381/T381*100,1))</f>
        <v/>
      </c>
      <c r="AB381" s="26">
        <f>X381-Z381</f>
        <v/>
      </c>
      <c r="AC381" s="25">
        <f>IF(T381=0,"",ROUND((X381-Z381)/T381*100,1))</f>
        <v/>
      </c>
      <c r="AD381" s="27" t="inlineStr">
        <is>
          <t>ESTIMATED</t>
        </is>
      </c>
      <c r="AE381" s="28" t="inlineStr">
        <is>
          <t>https://recuperacaojudicial.squarespace.com/s/RJ-Credimoveis-QGC-01082025.pdf</t>
        </is>
      </c>
      <c r="AF381" s="27" t="inlineStr">
        <is>
          <t>p16 r20</t>
        </is>
      </c>
      <c r="AG381" s="27" t="inlineStr">
        <is>
          <t>p16: R$ 450.760,99</t>
        </is>
      </c>
      <c r="AH381" s="27" t="inlineStr">
        <is>
          <t>QGC</t>
        </is>
      </c>
      <c r="AI381" s="27" t="inlineStr">
        <is>
          <t>2026-01-28</t>
        </is>
      </c>
      <c r="AJ381" s="27" t="inlineStr">
        <is>
          <t>OK</t>
        </is>
      </c>
      <c r="AK381" s="29" t="inlineStr">
        <is>
          <t>0007565-40.2020.8.17.2370</t>
        </is>
      </c>
      <c r="AL381" s="29" t="inlineStr">
        <is>
          <t>TJPE</t>
        </is>
      </c>
      <c r="AM381" s="29" t="inlineStr">
        <is>
          <t>ACTIVE</t>
        </is>
      </c>
      <c r="AN381" s="29" t="n">
        <v>2020</v>
      </c>
      <c r="AO381" s="29" t="inlineStr">
        <is>
          <t>6y since filing, no plan document</t>
        </is>
      </c>
      <c r="AP381" s="29" t="inlineStr">
        <is>
          <t>CONCEICAO DO JACUIPE</t>
        </is>
      </c>
      <c r="AQ381" s="29" t="inlineStr">
        <is>
          <t>BA</t>
        </is>
      </c>
      <c r="AR381" s="29" t="inlineStr">
        <is>
          <t>Fabricação de outros aparelhos eletrodomésticos não especificados anteriormente, peças e acessórios</t>
        </is>
      </c>
      <c r="AS381" s="29" t="inlineStr">
        <is>
          <t>DEMAIS</t>
        </is>
      </c>
      <c r="AT381" s="29" t="inlineStr">
        <is>
          <t>MID-MARKET</t>
        </is>
      </c>
      <c r="AU381" s="29" t="inlineStr">
        <is>
          <t>07666567</t>
        </is>
      </c>
      <c r="AV381" s="29" t="n">
        <v>1</v>
      </c>
      <c r="AW381" s="29" t="inlineStr">
        <is>
          <t>ROWS:p16r20</t>
        </is>
      </c>
    </row>
    <row r="382">
      <c r="A382" s="15" t="inlineStr">
        <is>
          <t>GRUPO K1 S.A.</t>
        </is>
      </c>
      <c r="B382" s="16" t="n">
        <v>449678.5</v>
      </c>
      <c r="C382" s="17" t="inlineStr">
        <is>
          <t>aludida empresa</t>
        </is>
      </c>
      <c r="D382" s="18" t="inlineStr">
        <is>
          <t>NEW</t>
        </is>
      </c>
      <c r="E382" s="19" t="inlineStr"/>
      <c r="F382" s="18" t="inlineStr"/>
      <c r="G382" s="19" t="inlineStr"/>
      <c r="H382" s="18" t="inlineStr"/>
      <c r="I382" s="20" t="inlineStr">
        <is>
          <t>Aline Bervian</t>
        </is>
      </c>
      <c r="J382" s="20" t="inlineStr">
        <is>
          <t>Administrative Director (ex Gerente de Crédito e Cobrança)</t>
        </is>
      </c>
      <c r="K382" s="20" t="inlineStr">
        <is>
          <t>(51) 3635-8800</t>
        </is>
      </c>
      <c r="L382" s="20" t="inlineStr">
        <is>
          <t>(51) 3635-8819</t>
        </is>
      </c>
      <c r="M382" s="20" t="inlineStr"/>
      <c r="N382" s="20" t="inlineStr">
        <is>
          <t>aline@kappesberg.com.br</t>
        </is>
      </c>
      <c r="O382" s="20" t="inlineStr"/>
      <c r="P382" s="20" t="inlineStr"/>
      <c r="Q382" s="20" t="inlineStr"/>
      <c r="R382" s="20" t="inlineStr"/>
      <c r="S382" s="20" t="inlineStr"/>
      <c r="T382" s="21" t="n">
        <v>449678.5</v>
      </c>
      <c r="U382" s="31" t="inlineStr">
        <is>
          <t>C</t>
        </is>
      </c>
      <c r="V382" s="23">
        <f>IFERROR(VLOOKUP(U382,Assumptions!$A$7:$D$11,2,FALSE),0)</f>
        <v/>
      </c>
      <c r="W382" s="24">
        <f>MAX(0.5,IFERROR(VLOOKUP(U382,Assumptions!$A$7:$D$11,3,FALSE),3)+IFERROR(VLOOKUP(U382,Assumptions!$A$7:$D$11,4,FALSE),8)/2-IF(AN382="",0,YEAR(TODAY())-AN382))</f>
        <v/>
      </c>
      <c r="X382" s="21">
        <f>T382*V382/(1+Assumptions!$B$3)^W382</f>
        <v/>
      </c>
      <c r="Y382" s="25">
        <f>IF(T382=0,"",ROUND(X382/T382*100,1))</f>
        <v/>
      </c>
      <c r="Z382" s="26">
        <f>X382*Assumptions!$B$4</f>
        <v/>
      </c>
      <c r="AA382" s="25">
        <f>IF(T382=0,"",ROUND(Z382/T382*100,1))</f>
        <v/>
      </c>
      <c r="AB382" s="26">
        <f>X382-Z382</f>
        <v/>
      </c>
      <c r="AC382" s="25">
        <f>IF(T382=0,"",ROUND((X382-Z382)/T382*100,1))</f>
        <v/>
      </c>
      <c r="AD382" s="27" t="inlineStr">
        <is>
          <t>ESTIMATED</t>
        </is>
      </c>
      <c r="AE382" s="28" t="inlineStr">
        <is>
          <t>https://recuperacaojudicial.squarespace.com/s/RJ-Credimoveis-QGC-01082025.pdf</t>
        </is>
      </c>
      <c r="AF382" s="27" t="inlineStr">
        <is>
          <t>p16 r23</t>
        </is>
      </c>
      <c r="AG382" s="27" t="inlineStr">
        <is>
          <t>p16: R$ 449.678,50</t>
        </is>
      </c>
      <c r="AH382" s="27" t="inlineStr">
        <is>
          <t>QGC</t>
        </is>
      </c>
      <c r="AI382" s="27" t="inlineStr">
        <is>
          <t>2026-01-28</t>
        </is>
      </c>
      <c r="AJ382" s="27" t="inlineStr">
        <is>
          <t>OK</t>
        </is>
      </c>
      <c r="AK382" s="29" t="inlineStr">
        <is>
          <t>0007565-40.2020.8.17.2370</t>
        </is>
      </c>
      <c r="AL382" s="29" t="inlineStr">
        <is>
          <t>TJPE</t>
        </is>
      </c>
      <c r="AM382" s="29" t="inlineStr">
        <is>
          <t>ACTIVE</t>
        </is>
      </c>
      <c r="AN382" s="29" t="n">
        <v>2020</v>
      </c>
      <c r="AO382" s="29" t="inlineStr">
        <is>
          <t>6y since filing, no plan document</t>
        </is>
      </c>
      <c r="AP382" s="29" t="inlineStr">
        <is>
          <t>TUPANDI</t>
        </is>
      </c>
      <c r="AQ382" s="29" t="inlineStr">
        <is>
          <t>RS</t>
        </is>
      </c>
      <c r="AR382" s="29" t="inlineStr">
        <is>
          <t>Fabricação de móveis com predominância de madeira</t>
        </is>
      </c>
      <c r="AS382" s="29" t="inlineStr">
        <is>
          <t>DEMAIS</t>
        </is>
      </c>
      <c r="AT382" s="29" t="inlineStr">
        <is>
          <t>LARGE CORP</t>
        </is>
      </c>
      <c r="AU382" s="29" t="inlineStr">
        <is>
          <t>00912882</t>
        </is>
      </c>
      <c r="AV382" s="29" t="n">
        <v>1</v>
      </c>
      <c r="AW382" s="29" t="inlineStr">
        <is>
          <t>ROWS:p16r23</t>
        </is>
      </c>
    </row>
    <row r="383">
      <c r="A383" s="15" t="inlineStr">
        <is>
          <t>BIORESULT AGRONEGOCIOS LTDA</t>
        </is>
      </c>
      <c r="B383" s="16" t="n">
        <v>351079.81</v>
      </c>
      <c r="C383" s="17" t="inlineStr">
        <is>
          <t>AGROFORTE AGROPECUARIA LTDA EM RECUPERACAO JUDICIAL</t>
        </is>
      </c>
      <c r="D383" s="18" t="inlineStr">
        <is>
          <t>NEW</t>
        </is>
      </c>
      <c r="E383" s="19" t="inlineStr"/>
      <c r="F383" s="18" t="inlineStr"/>
      <c r="G383" s="19" t="inlineStr"/>
      <c r="H383" s="18" t="inlineStr"/>
      <c r="I383" s="20" t="inlineStr">
        <is>
          <t>LUIS HIDEKI TAKAHARA</t>
        </is>
      </c>
      <c r="J383" s="20" t="inlineStr">
        <is>
          <t>Sócio-Administrador</t>
        </is>
      </c>
      <c r="K383" s="20" t="inlineStr">
        <is>
          <t>(45) 4102-0950</t>
        </is>
      </c>
      <c r="L383" s="20" t="inlineStr"/>
      <c r="M383" s="20" t="inlineStr"/>
      <c r="N383" s="20" t="inlineStr"/>
      <c r="O383" s="20" t="inlineStr"/>
      <c r="P383" s="20" t="inlineStr"/>
      <c r="Q383" s="20" t="inlineStr"/>
      <c r="R383" s="20" t="inlineStr"/>
      <c r="S383" s="20" t="inlineStr"/>
      <c r="T383" s="21" t="n">
        <v>351079.81</v>
      </c>
      <c r="U383" s="22" t="inlineStr">
        <is>
          <t>B</t>
        </is>
      </c>
      <c r="V383" s="23">
        <f>IFERROR(VLOOKUP(U383,Assumptions!$A$7:$D$11,2,FALSE),0)</f>
        <v/>
      </c>
      <c r="W383" s="24">
        <f>MAX(0.5,IFERROR(VLOOKUP(U383,Assumptions!$A$7:$D$11,3,FALSE),3)+IFERROR(VLOOKUP(U383,Assumptions!$A$7:$D$11,4,FALSE),8)/2-IF(AN383="",0,YEAR(TODAY())-AN383))</f>
        <v/>
      </c>
      <c r="X383" s="21">
        <f>T383*V383/(1+Assumptions!$B$3)^W383</f>
        <v/>
      </c>
      <c r="Y383" s="25">
        <f>IF(T383=0,"",ROUND(X383/T383*100,1))</f>
        <v/>
      </c>
      <c r="Z383" s="26">
        <f>X383*Assumptions!$B$4</f>
        <v/>
      </c>
      <c r="AA383" s="25">
        <f>IF(T383=0,"",ROUND(Z383/T383*100,1))</f>
        <v/>
      </c>
      <c r="AB383" s="26">
        <f>X383-Z383</f>
        <v/>
      </c>
      <c r="AC383" s="25">
        <f>IF(T383=0,"",ROUND((X383-Z383)/T383*100,1))</f>
        <v/>
      </c>
      <c r="AD383" s="27" t="inlineStr">
        <is>
          <t>ESTIMATED</t>
        </is>
      </c>
      <c r="AE383" s="28" t="inlineStr">
        <is>
          <t>https://marquesadmjudicial.com.br/sgc/download.php?file=files/processo_documento/processo_documento11370527032026_1_.pdf&amp;nome=Quadro Geral de Credores (QGC) -AJ Anterior</t>
        </is>
      </c>
      <c r="AF383" s="27" t="inlineStr">
        <is>
          <t>p1 r11</t>
        </is>
      </c>
      <c r="AG383" s="27" t="inlineStr">
        <is>
          <t>p1: R$ 351.079,81</t>
        </is>
      </c>
      <c r="AH383" s="27" t="inlineStr">
        <is>
          <t>QGC</t>
        </is>
      </c>
      <c r="AI383" s="27" t="inlineStr">
        <is>
          <t>2025-09-22</t>
        </is>
      </c>
      <c r="AJ383" s="27" t="inlineStr">
        <is>
          <t>QUARANTINED</t>
        </is>
      </c>
      <c r="AK383" s="29" t="inlineStr">
        <is>
          <t>0031120-52.2024.8.16.0017</t>
        </is>
      </c>
      <c r="AL383" s="29" t="inlineStr">
        <is>
          <t>TJPR</t>
        </is>
      </c>
      <c r="AM383" s="29" t="inlineStr">
        <is>
          <t>ACTIVE</t>
        </is>
      </c>
      <c r="AN383" s="29" t="n">
        <v>2024</v>
      </c>
      <c r="AO383" s="29" t="inlineStr">
        <is>
          <t>live case, no plan document yet</t>
        </is>
      </c>
      <c r="AP383" s="29" t="inlineStr">
        <is>
          <t>TOLEDO</t>
        </is>
      </c>
      <c r="AQ383" s="29" t="inlineStr">
        <is>
          <t>PR</t>
        </is>
      </c>
      <c r="AR383" s="29" t="inlineStr">
        <is>
          <t>Fabricação de adubos e fertilizantes organo-minerais</t>
        </is>
      </c>
      <c r="AS383" s="29" t="inlineStr">
        <is>
          <t>DEMAIS</t>
        </is>
      </c>
      <c r="AT383" s="29" t="inlineStr">
        <is>
          <t>MID-MARKET</t>
        </is>
      </c>
      <c r="AU383" s="29" t="inlineStr">
        <is>
          <t>34635991</t>
        </is>
      </c>
      <c r="AV383" s="29" t="n">
        <v>1</v>
      </c>
      <c r="AW383" s="29" t="inlineStr">
        <is>
          <t>PARTIAL_DOC_CLASS_III_RECONCILED ROWS:p1r11</t>
        </is>
      </c>
    </row>
    <row r="384">
      <c r="A384" s="15" t="inlineStr">
        <is>
          <t>UNIDADE REVENDEDORA DE BEBIDAS LTDA</t>
        </is>
      </c>
      <c r="B384" s="16" t="n">
        <v>402999.19</v>
      </c>
      <c r="C384" s="17" t="inlineStr">
        <is>
          <t>COMERCIO RACOES BEM BOM LTDA</t>
        </is>
      </c>
      <c r="D384" s="18" t="inlineStr">
        <is>
          <t>NEW</t>
        </is>
      </c>
      <c r="E384" s="19" t="inlineStr"/>
      <c r="F384" s="18" t="inlineStr"/>
      <c r="G384" s="19" t="inlineStr"/>
      <c r="H384" s="18" t="inlineStr"/>
      <c r="I384" s="20" t="inlineStr">
        <is>
          <t>Lidia Costa</t>
        </is>
      </c>
      <c r="J384" s="20" t="inlineStr">
        <is>
          <t>Financial Administrative Manager</t>
        </is>
      </c>
      <c r="K384" s="20" t="inlineStr">
        <is>
          <t>(62) 8455-8905</t>
        </is>
      </c>
      <c r="L384" s="20" t="inlineStr"/>
      <c r="M384" s="20" t="inlineStr"/>
      <c r="N384" s="20" t="inlineStr"/>
      <c r="O384" s="20" t="inlineStr"/>
      <c r="P384" s="20" t="inlineStr">
        <is>
          <t>Frank Resende</t>
        </is>
      </c>
      <c r="Q384" s="20" t="inlineStr">
        <is>
          <t>Financial Supervisor</t>
        </is>
      </c>
      <c r="R384" s="20" t="inlineStr"/>
      <c r="S384" s="20" t="inlineStr"/>
      <c r="T384" s="21" t="n">
        <v>402999.19</v>
      </c>
      <c r="U384" s="32" t="inlineStr">
        <is>
          <t>A</t>
        </is>
      </c>
      <c r="V384" s="23">
        <f>IFERROR(VLOOKUP(U384,Assumptions!$A$7:$D$11,2,FALSE),0)</f>
        <v/>
      </c>
      <c r="W384" s="24">
        <f>MAX(0.5,IFERROR(VLOOKUP(U384,Assumptions!$A$7:$D$11,3,FALSE),3)+IFERROR(VLOOKUP(U384,Assumptions!$A$7:$D$11,4,FALSE),8)/2-IF(AN384="",0,YEAR(TODAY())-AN384))</f>
        <v/>
      </c>
      <c r="X384" s="21">
        <f>T384*V384/(1+Assumptions!$B$3)^W384</f>
        <v/>
      </c>
      <c r="Y384" s="25">
        <f>IF(T384=0,"",ROUND(X384/T384*100,1))</f>
        <v/>
      </c>
      <c r="Z384" s="26">
        <f>X384*Assumptions!$B$4</f>
        <v/>
      </c>
      <c r="AA384" s="25">
        <f>IF(T384=0,"",ROUND(Z384/T384*100,1))</f>
        <v/>
      </c>
      <c r="AB384" s="26">
        <f>X384-Z384</f>
        <v/>
      </c>
      <c r="AC384" s="25">
        <f>IF(T384=0,"",ROUND((X384-Z384)/T384*100,1))</f>
        <v/>
      </c>
      <c r="AD384" s="27" t="inlineStr">
        <is>
          <t>CONFIRMED</t>
        </is>
      </c>
      <c r="AE384" s="28" t="inlineStr">
        <is>
          <t>https://stenius.com.br/wp-content/uploads/2026/06/EDITAL-GRUPO-3E.pdf</t>
        </is>
      </c>
      <c r="AF384" s="27" t="inlineStr">
        <is>
          <t>p11 r56</t>
        </is>
      </c>
      <c r="AG384" s="27" t="inlineStr">
        <is>
          <t>p11: R$ 402.999,19</t>
        </is>
      </c>
      <c r="AH384" s="27" t="inlineStr">
        <is>
          <t>DEBTOR_LIST</t>
        </is>
      </c>
      <c r="AI384" s="27" t="inlineStr">
        <is>
          <t>2026-06-22</t>
        </is>
      </c>
      <c r="AJ384" s="27" t="inlineStr">
        <is>
          <t>OK_NO_TOTALS</t>
        </is>
      </c>
      <c r="AK384" s="29" t="inlineStr">
        <is>
          <t>5341375-33.2026.8.09.0049</t>
        </is>
      </c>
      <c r="AL384" s="29" t="inlineStr">
        <is>
          <t>TJGO</t>
        </is>
      </c>
      <c r="AM384" s="29" t="inlineStr">
        <is>
          <t>ACTIVE</t>
        </is>
      </c>
      <c r="AN384" s="29" t="n">
        <v>2026</v>
      </c>
      <c r="AO384" s="29" t="inlineStr">
        <is>
          <t>plan/homologation document found</t>
        </is>
      </c>
      <c r="AP384" s="29" t="inlineStr">
        <is>
          <t>PORANGATU</t>
        </is>
      </c>
      <c r="AQ384" s="29" t="inlineStr">
        <is>
          <t>GO</t>
        </is>
      </c>
      <c r="AR384" s="29" t="inlineStr">
        <is>
          <t>Comércio atacadista de cerveja, chope e refrigerante</t>
        </is>
      </c>
      <c r="AS384" s="29" t="inlineStr">
        <is>
          <t>DEMAIS</t>
        </is>
      </c>
      <c r="AT384" s="29" t="inlineStr">
        <is>
          <t>MID-MARKET</t>
        </is>
      </c>
      <c r="AU384" s="29" t="inlineStr">
        <is>
          <t>12095666</t>
        </is>
      </c>
      <c r="AV384" s="29" t="n">
        <v>1</v>
      </c>
      <c r="AW384" s="29" t="inlineStr">
        <is>
          <t>ROWS:p11r56 UNRECONCILED_SOURCE</t>
        </is>
      </c>
    </row>
    <row r="385">
      <c r="A385" s="15" t="inlineStr">
        <is>
          <t>INDUSTRIA DE CARROCERIAS METALICAS IBIPORA LTDA</t>
        </is>
      </c>
      <c r="B385" s="16" t="n">
        <v>398969.08</v>
      </c>
      <c r="C385" s="17" t="inlineStr">
        <is>
          <t>COMERCIO RACOES BEM BOM LTDA</t>
        </is>
      </c>
      <c r="D385" s="18" t="inlineStr">
        <is>
          <t>NEW</t>
        </is>
      </c>
      <c r="E385" s="19" t="inlineStr"/>
      <c r="F385" s="18" t="inlineStr"/>
      <c r="G385" s="19" t="inlineStr"/>
      <c r="H385" s="18" t="inlineStr"/>
      <c r="I385" s="20" t="inlineStr">
        <is>
          <t>DAVID WILLIAM MARTINS DA COSTA</t>
        </is>
      </c>
      <c r="J385" s="20" t="inlineStr">
        <is>
          <t>Sócio-Administrador</t>
        </is>
      </c>
      <c r="K385" s="20" t="inlineStr">
        <is>
          <t>(43) 3178-5000</t>
        </is>
      </c>
      <c r="L385" s="20" t="inlineStr"/>
      <c r="M385" s="20" t="inlineStr"/>
      <c r="N385" s="20" t="inlineStr"/>
      <c r="O385" s="20" t="inlineStr"/>
      <c r="P385" s="20" t="inlineStr">
        <is>
          <t>DEVANIR MARTINS DA COSTA</t>
        </is>
      </c>
      <c r="Q385" s="20" t="inlineStr">
        <is>
          <t>Sócio-Administrador</t>
        </is>
      </c>
      <c r="R385" s="20" t="inlineStr">
        <is>
          <t>(43) 3178-5000</t>
        </is>
      </c>
      <c r="S385" s="20" t="inlineStr"/>
      <c r="T385" s="21" t="n">
        <v>398969.08</v>
      </c>
      <c r="U385" s="32" t="inlineStr">
        <is>
          <t>A</t>
        </is>
      </c>
      <c r="V385" s="23">
        <f>IFERROR(VLOOKUP(U385,Assumptions!$A$7:$D$11,2,FALSE),0)</f>
        <v/>
      </c>
      <c r="W385" s="24">
        <f>MAX(0.5,IFERROR(VLOOKUP(U385,Assumptions!$A$7:$D$11,3,FALSE),3)+IFERROR(VLOOKUP(U385,Assumptions!$A$7:$D$11,4,FALSE),8)/2-IF(AN385="",0,YEAR(TODAY())-AN385))</f>
        <v/>
      </c>
      <c r="X385" s="21">
        <f>T385*V385/(1+Assumptions!$B$3)^W385</f>
        <v/>
      </c>
      <c r="Y385" s="25">
        <f>IF(T385=0,"",ROUND(X385/T385*100,1))</f>
        <v/>
      </c>
      <c r="Z385" s="26">
        <f>X385*Assumptions!$B$4</f>
        <v/>
      </c>
      <c r="AA385" s="25">
        <f>IF(T385=0,"",ROUND(Z385/T385*100,1))</f>
        <v/>
      </c>
      <c r="AB385" s="26">
        <f>X385-Z385</f>
        <v/>
      </c>
      <c r="AC385" s="25">
        <f>IF(T385=0,"",ROUND((X385-Z385)/T385*100,1))</f>
        <v/>
      </c>
      <c r="AD385" s="27" t="inlineStr">
        <is>
          <t>CONFIRMED</t>
        </is>
      </c>
      <c r="AE385" s="28" t="inlineStr">
        <is>
          <t>https://stenius.com.br/wp-content/uploads/2026/06/EDITAL-GRUPO-3E.pdf</t>
        </is>
      </c>
      <c r="AF385" s="27" t="inlineStr">
        <is>
          <t>p14 r52</t>
        </is>
      </c>
      <c r="AG385" s="27" t="inlineStr">
        <is>
          <t>p14: R$ 398.969,08</t>
        </is>
      </c>
      <c r="AH385" s="27" t="inlineStr">
        <is>
          <t>DEBTOR_LIST</t>
        </is>
      </c>
      <c r="AI385" s="27" t="inlineStr">
        <is>
          <t>2026-06-22</t>
        </is>
      </c>
      <c r="AJ385" s="27" t="inlineStr">
        <is>
          <t>OK_NO_TOTALS</t>
        </is>
      </c>
      <c r="AK385" s="29" t="inlineStr">
        <is>
          <t>5341375-33.2026.8.09.0049</t>
        </is>
      </c>
      <c r="AL385" s="29" t="inlineStr">
        <is>
          <t>TJGO</t>
        </is>
      </c>
      <c r="AM385" s="29" t="inlineStr">
        <is>
          <t>ACTIVE</t>
        </is>
      </c>
      <c r="AN385" s="29" t="n">
        <v>2026</v>
      </c>
      <c r="AO385" s="29" t="inlineStr">
        <is>
          <t>plan/homologation document found</t>
        </is>
      </c>
      <c r="AP385" s="29" t="inlineStr">
        <is>
          <t>IBIPORA</t>
        </is>
      </c>
      <c r="AQ385" s="29" t="inlineStr">
        <is>
          <t>PR</t>
        </is>
      </c>
      <c r="AR385" s="29" t="inlineStr">
        <is>
          <t>Fabricação de cabines, carrocerias e reboques para caminhões</t>
        </is>
      </c>
      <c r="AS385" s="29" t="inlineStr">
        <is>
          <t>DEMAIS</t>
        </is>
      </c>
      <c r="AT385" s="29" t="inlineStr">
        <is>
          <t>MID-MARKET</t>
        </is>
      </c>
      <c r="AU385" s="29" t="inlineStr">
        <is>
          <t>85462471</t>
        </is>
      </c>
      <c r="AV385" s="29" t="n">
        <v>1</v>
      </c>
      <c r="AW385" s="29" t="inlineStr">
        <is>
          <t>ROWS:p14r52 UNRECONCILED_SOURCE</t>
        </is>
      </c>
    </row>
    <row r="386">
      <c r="A386" s="15" t="inlineStr">
        <is>
          <t>HEMOPROT INDUSTRIA E COMERCIO DE PRODUTOS FRIGORIFICOS LTDA</t>
        </is>
      </c>
      <c r="B386" s="16" t="n">
        <v>398000</v>
      </c>
      <c r="C386" s="17" t="inlineStr">
        <is>
          <t>COMERCIO RACOES BEM BOM LTDA</t>
        </is>
      </c>
      <c r="D386" s="18" t="inlineStr">
        <is>
          <t>NEW</t>
        </is>
      </c>
      <c r="E386" s="19" t="inlineStr"/>
      <c r="F386" s="18" t="inlineStr"/>
      <c r="G386" s="19" t="inlineStr"/>
      <c r="H386" s="18" t="inlineStr"/>
      <c r="I386" s="20" t="inlineStr">
        <is>
          <t>Gustavo Dunzer</t>
        </is>
      </c>
      <c r="J386" s="20" t="inlineStr">
        <is>
          <t>Contador (CRC SC-041346/O-2)</t>
        </is>
      </c>
      <c r="K386" s="20" t="inlineStr">
        <is>
          <t>(67) 9212-6719</t>
        </is>
      </c>
      <c r="L386" s="20" t="inlineStr"/>
      <c r="M386" s="20" t="inlineStr"/>
      <c r="N386" s="20" t="inlineStr">
        <is>
          <t>gustavo.dunzer@hemoprot.com.br</t>
        </is>
      </c>
      <c r="O386" s="20" t="inlineStr">
        <is>
          <t>diogo.bracciali@hemoprot.com.br</t>
        </is>
      </c>
      <c r="P386" s="20" t="inlineStr">
        <is>
          <t>Diogo Bracciali</t>
        </is>
      </c>
      <c r="Q386" s="20" t="inlineStr">
        <is>
          <t>Sales Manager Latam</t>
        </is>
      </c>
      <c r="R386" s="20" t="inlineStr"/>
      <c r="S386" s="20" t="inlineStr">
        <is>
          <t>diogo.bracciali@hemoprot.com.br</t>
        </is>
      </c>
      <c r="T386" s="21" t="n">
        <v>398000</v>
      </c>
      <c r="U386" s="32" t="inlineStr">
        <is>
          <t>A</t>
        </is>
      </c>
      <c r="V386" s="23">
        <f>IFERROR(VLOOKUP(U386,Assumptions!$A$7:$D$11,2,FALSE),0)</f>
        <v/>
      </c>
      <c r="W386" s="24">
        <f>MAX(0.5,IFERROR(VLOOKUP(U386,Assumptions!$A$7:$D$11,3,FALSE),3)+IFERROR(VLOOKUP(U386,Assumptions!$A$7:$D$11,4,FALSE),8)/2-IF(AN386="",0,YEAR(TODAY())-AN386))</f>
        <v/>
      </c>
      <c r="X386" s="21">
        <f>T386*V386/(1+Assumptions!$B$3)^W386</f>
        <v/>
      </c>
      <c r="Y386" s="25">
        <f>IF(T386=0,"",ROUND(X386/T386*100,1))</f>
        <v/>
      </c>
      <c r="Z386" s="26">
        <f>X386*Assumptions!$B$4</f>
        <v/>
      </c>
      <c r="AA386" s="25">
        <f>IF(T386=0,"",ROUND(Z386/T386*100,1))</f>
        <v/>
      </c>
      <c r="AB386" s="26">
        <f>X386-Z386</f>
        <v/>
      </c>
      <c r="AC386" s="25">
        <f>IF(T386=0,"",ROUND((X386-Z386)/T386*100,1))</f>
        <v/>
      </c>
      <c r="AD386" s="27" t="inlineStr">
        <is>
          <t>CONFIRMED</t>
        </is>
      </c>
      <c r="AE386" s="28" t="inlineStr">
        <is>
          <t>https://stenius.com.br/wp-content/uploads/2026/06/EDITAL-GRUPO-3E.pdf</t>
        </is>
      </c>
      <c r="AF386" s="27" t="inlineStr">
        <is>
          <t>p14 r36</t>
        </is>
      </c>
      <c r="AG386" s="27" t="inlineStr">
        <is>
          <t>p14: R$ 398.000,00</t>
        </is>
      </c>
      <c r="AH386" s="27" t="inlineStr">
        <is>
          <t>DEBTOR_LIST</t>
        </is>
      </c>
      <c r="AI386" s="27" t="inlineStr">
        <is>
          <t>2026-06-22</t>
        </is>
      </c>
      <c r="AJ386" s="27" t="inlineStr">
        <is>
          <t>OK_NO_TOTALS</t>
        </is>
      </c>
      <c r="AK386" s="29" t="inlineStr">
        <is>
          <t>5341375-33.2026.8.09.0049</t>
        </is>
      </c>
      <c r="AL386" s="29" t="inlineStr">
        <is>
          <t>TJGO</t>
        </is>
      </c>
      <c r="AM386" s="29" t="inlineStr">
        <is>
          <t>ACTIVE</t>
        </is>
      </c>
      <c r="AN386" s="29" t="n">
        <v>2026</v>
      </c>
      <c r="AO386" s="29" t="inlineStr">
        <is>
          <t>plan/homologation document found</t>
        </is>
      </c>
      <c r="AP386" s="29" t="inlineStr">
        <is>
          <t>MUNDO NOVO</t>
        </is>
      </c>
      <c r="AQ386" s="29" t="inlineStr">
        <is>
          <t>MS</t>
        </is>
      </c>
      <c r="AR386" s="29" t="inlineStr">
        <is>
          <t>Preparação de subprodutos do abate</t>
        </is>
      </c>
      <c r="AS386" s="29" t="inlineStr">
        <is>
          <t>DEMAIS</t>
        </is>
      </c>
      <c r="AT386" s="29" t="inlineStr">
        <is>
          <t>MID-MARKET</t>
        </is>
      </c>
      <c r="AU386" s="29" t="inlineStr">
        <is>
          <t>02525961</t>
        </is>
      </c>
      <c r="AV386" s="29" t="n">
        <v>1</v>
      </c>
      <c r="AW386" s="29" t="inlineStr">
        <is>
          <t>ROWS:p14r36 UNRECONCILED_SOURCE</t>
        </is>
      </c>
    </row>
    <row r="387">
      <c r="A387" s="15" t="inlineStr">
        <is>
          <t>UZ3 INDUSTRIA TEXTIL LTDA</t>
        </is>
      </c>
      <c r="B387" s="16" t="n">
        <v>215699.34</v>
      </c>
      <c r="C387" s="17" t="inlineStr">
        <is>
          <t>R W CONSTRUCOES LTDA</t>
        </is>
      </c>
      <c r="D387" s="18" t="inlineStr">
        <is>
          <t>NEW</t>
        </is>
      </c>
      <c r="E387" s="19" t="inlineStr"/>
      <c r="F387" s="18" t="inlineStr"/>
      <c r="G387" s="19" t="inlineStr"/>
      <c r="H387" s="18" t="inlineStr"/>
      <c r="I387" s="20" t="inlineStr">
        <is>
          <t>DILNEI HEINZEN</t>
        </is>
      </c>
      <c r="J387" s="20" t="inlineStr">
        <is>
          <t>Sócio-Administrador</t>
        </is>
      </c>
      <c r="K387" s="20" t="inlineStr">
        <is>
          <t>(47) 2123-2500</t>
        </is>
      </c>
      <c r="L387" s="20" t="inlineStr">
        <is>
          <t>(47) 2123-2501</t>
        </is>
      </c>
      <c r="M387" s="20" t="inlineStr"/>
      <c r="N387" s="20" t="inlineStr"/>
      <c r="O387" s="20" t="inlineStr"/>
      <c r="P387" s="20" t="inlineStr"/>
      <c r="Q387" s="20" t="inlineStr"/>
      <c r="R387" s="20" t="inlineStr"/>
      <c r="S387" s="20" t="inlineStr"/>
      <c r="T387" s="21" t="n">
        <v>215699.34</v>
      </c>
      <c r="U387" s="22" t="inlineStr">
        <is>
          <t>B</t>
        </is>
      </c>
      <c r="V387" s="23">
        <f>IFERROR(VLOOKUP(U387,Assumptions!$A$7:$D$11,2,FALSE),0)</f>
        <v/>
      </c>
      <c r="W387" s="24">
        <f>MAX(0.5,IFERROR(VLOOKUP(U387,Assumptions!$A$7:$D$11,3,FALSE),3)+IFERROR(VLOOKUP(U387,Assumptions!$A$7:$D$11,4,FALSE),8)/2-IF(AN387="",0,YEAR(TODAY())-AN387))</f>
        <v/>
      </c>
      <c r="X387" s="21">
        <f>T387*V387/(1+Assumptions!$B$3)^W387</f>
        <v/>
      </c>
      <c r="Y387" s="25">
        <f>IF(T387=0,"",ROUND(X387/T387*100,1))</f>
        <v/>
      </c>
      <c r="Z387" s="26">
        <f>X387*Assumptions!$B$4</f>
        <v/>
      </c>
      <c r="AA387" s="25">
        <f>IF(T387=0,"",ROUND(Z387/T387*100,1))</f>
        <v/>
      </c>
      <c r="AB387" s="26">
        <f>X387-Z387</f>
        <v/>
      </c>
      <c r="AC387" s="25">
        <f>IF(T387=0,"",ROUND((X387-Z387)/T387*100,1))</f>
        <v/>
      </c>
      <c r="AD387" s="27" t="inlineStr">
        <is>
          <t>ESTIMATED</t>
        </is>
      </c>
      <c r="AE387" s="28" t="inlineStr">
        <is>
          <t>https://lrflideres.com.br/wp-content/plugins/download-attachments/includes/download.php?id=4023</t>
        </is>
      </c>
      <c r="AF387" s="27" t="inlineStr">
        <is>
          <t>p4 r94; p7 r126; p9 r92</t>
        </is>
      </c>
      <c r="AG387" s="27" t="inlineStr">
        <is>
          <t>p4: R$ 3.985,80; p7: R$ 179.097,50; p9: R$ 32.616,04</t>
        </is>
      </c>
      <c r="AH387" s="27" t="inlineStr">
        <is>
          <t>DEBTOR_LIST</t>
        </is>
      </c>
      <c r="AI387" s="27" t="inlineStr"/>
      <c r="AJ387" s="27" t="inlineStr">
        <is>
          <t>QUARANTINED</t>
        </is>
      </c>
      <c r="AK387" s="29" t="inlineStr">
        <is>
          <t>0002484-82.2022.8.17.2001</t>
        </is>
      </c>
      <c r="AL387" s="29" t="inlineStr">
        <is>
          <t>TJPE</t>
        </is>
      </c>
      <c r="AM387" s="29" t="inlineStr">
        <is>
          <t>ACTIVE</t>
        </is>
      </c>
      <c r="AN387" s="29" t="n">
        <v>2022</v>
      </c>
      <c r="AO387" s="29" t="inlineStr">
        <is>
          <t>live case, no plan document yet</t>
        </is>
      </c>
      <c r="AP387" s="29" t="inlineStr">
        <is>
          <t>INDAIAL</t>
        </is>
      </c>
      <c r="AQ387" s="29" t="inlineStr">
        <is>
          <t>SC</t>
        </is>
      </c>
      <c r="AR387" s="29" t="inlineStr">
        <is>
          <t>Confecção de peças de vestuário, exceto roupas íntimas e as confeccionadas sob medida</t>
        </is>
      </c>
      <c r="AS387" s="29" t="inlineStr">
        <is>
          <t>DEMAIS</t>
        </is>
      </c>
      <c r="AT387" s="29" t="inlineStr">
        <is>
          <t>MID-MARKET</t>
        </is>
      </c>
      <c r="AU387" s="29" t="inlineStr">
        <is>
          <t>07206989</t>
        </is>
      </c>
      <c r="AV387" s="29" t="n">
        <v>3</v>
      </c>
      <c r="AW387" s="29" t="inlineStr">
        <is>
          <t>PARTIAL_DOC_CLASS_III_RECONCILED ROWS:p4r94,p7r126,p9r92</t>
        </is>
      </c>
    </row>
    <row r="388">
      <c r="A388" s="15" t="inlineStr">
        <is>
          <t>TRACBEL SA</t>
        </is>
      </c>
      <c r="B388" s="16" t="n">
        <v>786462.95</v>
      </c>
      <c r="C388" s="17" t="inlineStr">
        <is>
          <t>EGESA ENGENHARIA S/A (Consórcio ETDI)</t>
        </is>
      </c>
      <c r="D388" s="18" t="inlineStr">
        <is>
          <t>NEW</t>
        </is>
      </c>
      <c r="E388" s="19" t="inlineStr"/>
      <c r="F388" s="18" t="inlineStr"/>
      <c r="G388" s="19" t="inlineStr"/>
      <c r="H388" s="18" t="inlineStr"/>
      <c r="I388" s="20" t="inlineStr">
        <is>
          <t>Camila Silva</t>
        </is>
      </c>
      <c r="J388" s="20" t="inlineStr">
        <is>
          <t>Diretora Adm Financeiro</t>
        </is>
      </c>
      <c r="K388" s="20" t="inlineStr">
        <is>
          <t>(31) 2104-1800</t>
        </is>
      </c>
      <c r="L388" s="20" t="inlineStr"/>
      <c r="M388" s="20" t="inlineStr"/>
      <c r="N388" s="20" t="inlineStr">
        <is>
          <t>camila.silva@tracbel.com.br</t>
        </is>
      </c>
      <c r="O388" s="20" t="inlineStr">
        <is>
          <t>rafaela.assuncao@itaetemaquinas.com.br</t>
        </is>
      </c>
      <c r="P388" s="20" t="inlineStr">
        <is>
          <t>Rafaela Assuncao</t>
        </is>
      </c>
      <c r="Q388" s="20" t="inlineStr">
        <is>
          <t>Coordenadora de Contas a Receber</t>
        </is>
      </c>
      <c r="R388" s="20" t="inlineStr"/>
      <c r="S388" s="20" t="inlineStr">
        <is>
          <t>rafaela.assuncao@itaetemaquinas.com.br</t>
        </is>
      </c>
      <c r="T388" s="21" t="n">
        <v>786462.95</v>
      </c>
      <c r="U388" s="30" t="inlineStr">
        <is>
          <t>?</t>
        </is>
      </c>
      <c r="V388" s="23">
        <f>IFERROR(VLOOKUP(U388,Assumptions!$A$7:$D$11,2,FALSE),0)</f>
        <v/>
      </c>
      <c r="W388" s="24">
        <f>MAX(0.5,IFERROR(VLOOKUP(U388,Assumptions!$A$7:$D$11,3,FALSE),3)+IFERROR(VLOOKUP(U388,Assumptions!$A$7:$D$11,4,FALSE),8)/2-IF(AN388="",0,YEAR(TODAY())-AN388))</f>
        <v/>
      </c>
      <c r="X388" s="21">
        <f>T388*V388/(1+Assumptions!$B$3)^W388</f>
        <v/>
      </c>
      <c r="Y388" s="25">
        <f>IF(T388=0,"",ROUND(X388/T388*100,1))</f>
        <v/>
      </c>
      <c r="Z388" s="26">
        <f>X388*Assumptions!$B$4</f>
        <v/>
      </c>
      <c r="AA388" s="25">
        <f>IF(T388=0,"",ROUND(Z388/T388*100,1))</f>
        <v/>
      </c>
      <c r="AB388" s="26">
        <f>X388-Z388</f>
        <v/>
      </c>
      <c r="AC388" s="25">
        <f>IF(T388=0,"",ROUND((X388-Z388)/T388*100,1))</f>
        <v/>
      </c>
      <c r="AD388" s="27" t="inlineStr">
        <is>
          <t>UNKNOWN</t>
        </is>
      </c>
      <c r="AE388" s="28" t="inlineStr">
        <is>
          <t>https://scalzilliaj.com.br/sgc/download.php?file=files/processo_documento/processo_documento09514021082025_1_.pdf&amp;nome=04 - Relação de credores das Recuperandas</t>
        </is>
      </c>
      <c r="AF388" s="27" t="inlineStr">
        <is>
          <t>p74 r10</t>
        </is>
      </c>
      <c r="AG388" s="27" t="inlineStr">
        <is>
          <t>p74: R$ 786.462,95</t>
        </is>
      </c>
      <c r="AH388" s="27" t="inlineStr">
        <is>
          <t>DEBTOR_LIST</t>
        </is>
      </c>
      <c r="AI388" s="27" t="inlineStr"/>
      <c r="AJ388" s="27" t="inlineStr">
        <is>
          <t>OK</t>
        </is>
      </c>
      <c r="AK388" s="29" t="inlineStr">
        <is>
          <t>(not printed)</t>
        </is>
      </c>
      <c r="AL388" s="29" t="inlineStr"/>
      <c r="AM388" s="29" t="inlineStr"/>
      <c r="AN388" s="29" t="inlineStr"/>
      <c r="AO388" s="29" t="inlineStr">
        <is>
          <t>RJ case number not identified on the document</t>
        </is>
      </c>
      <c r="AP388" s="29" t="inlineStr">
        <is>
          <t>CONTAGEM</t>
        </is>
      </c>
      <c r="AQ388" s="29" t="inlineStr">
        <is>
          <t>MG</t>
        </is>
      </c>
      <c r="AR388" s="29" t="inlineStr">
        <is>
          <t>Comércio atacadista de máquinas, equipamentos para terraplenagem, mineração e construção; partes e peças</t>
        </is>
      </c>
      <c r="AS388" s="29" t="inlineStr">
        <is>
          <t>DEMAIS</t>
        </is>
      </c>
      <c r="AT388" s="29" t="inlineStr">
        <is>
          <t>LARGE CORP</t>
        </is>
      </c>
      <c r="AU388" s="29" t="inlineStr">
        <is>
          <t>17312448</t>
        </is>
      </c>
      <c r="AV388" s="29" t="n">
        <v>1</v>
      </c>
      <c r="AW388" s="29" t="inlineStr">
        <is>
          <t>ROWS:p74r10 VALUE_COL:Valor_Atualizado CASE_NUMBER_CORRECTED</t>
        </is>
      </c>
    </row>
    <row r="389">
      <c r="A389" s="15" t="inlineStr">
        <is>
          <t>HUESKER LTDA</t>
        </is>
      </c>
      <c r="B389" s="16" t="n">
        <v>429201.75</v>
      </c>
      <c r="C389" s="17" t="inlineStr">
        <is>
          <t>CONSTRUTORA ANDRADE GUEDES LDTA – Diligence Administração em Recuperação Judicial e Falência</t>
        </is>
      </c>
      <c r="D389" s="18" t="inlineStr">
        <is>
          <t>NEW</t>
        </is>
      </c>
      <c r="E389" s="19" t="inlineStr"/>
      <c r="F389" s="18" t="inlineStr"/>
      <c r="G389" s="19" t="inlineStr"/>
      <c r="H389" s="18" t="inlineStr"/>
      <c r="I389" s="20" t="inlineStr">
        <is>
          <t>Fernando Wickert</t>
        </is>
      </c>
      <c r="J389" s="20" t="inlineStr">
        <is>
          <t>Commercial Director</t>
        </is>
      </c>
      <c r="K389" s="20" t="inlineStr">
        <is>
          <t>(12) 3903-9300</t>
        </is>
      </c>
      <c r="L389" s="20" t="inlineStr">
        <is>
          <t>(12) 2138-8200</t>
        </is>
      </c>
      <c r="M389" s="20" t="inlineStr"/>
      <c r="N389" s="20" t="inlineStr">
        <is>
          <t>fernando.wickert@huesker.com.br</t>
        </is>
      </c>
      <c r="O389" s="20" t="inlineStr"/>
      <c r="P389" s="20" t="inlineStr">
        <is>
          <t>Jose Pandolpho</t>
        </is>
      </c>
      <c r="Q389" s="20" t="inlineStr">
        <is>
          <t>Director</t>
        </is>
      </c>
      <c r="R389" s="20" t="inlineStr"/>
      <c r="S389" s="20" t="inlineStr"/>
      <c r="T389" s="21" t="n">
        <v>429201.75</v>
      </c>
      <c r="U389" s="31" t="inlineStr">
        <is>
          <t>C</t>
        </is>
      </c>
      <c r="V389" s="23">
        <f>IFERROR(VLOOKUP(U389,Assumptions!$A$7:$D$11,2,FALSE),0)</f>
        <v/>
      </c>
      <c r="W389" s="24">
        <f>MAX(0.5,IFERROR(VLOOKUP(U389,Assumptions!$A$7:$D$11,3,FALSE),3)+IFERROR(VLOOKUP(U389,Assumptions!$A$7:$D$11,4,FALSE),8)/2-IF(AN389="",0,YEAR(TODAY())-AN389))</f>
        <v/>
      </c>
      <c r="X389" s="21">
        <f>T389*V389/(1+Assumptions!$B$3)^W389</f>
        <v/>
      </c>
      <c r="Y389" s="25">
        <f>IF(T389=0,"",ROUND(X389/T389*100,1))</f>
        <v/>
      </c>
      <c r="Z389" s="26">
        <f>X389*Assumptions!$B$4</f>
        <v/>
      </c>
      <c r="AA389" s="25">
        <f>IF(T389=0,"",ROUND(Z389/T389*100,1))</f>
        <v/>
      </c>
      <c r="AB389" s="26">
        <f>X389-Z389</f>
        <v/>
      </c>
      <c r="AC389" s="25">
        <f>IF(T389=0,"",ROUND((X389-Z389)/T389*100,1))</f>
        <v/>
      </c>
      <c r="AD389" s="27" t="inlineStr">
        <is>
          <t>ESTIMATED</t>
        </is>
      </c>
      <c r="AE389" s="28" t="inlineStr">
        <is>
          <t>https://diligence.adm.br/wp-content/plugins/download-attachments/includes/download.php?id=4599</t>
        </is>
      </c>
      <c r="AF389" s="27" t="inlineStr">
        <is>
          <t>p10 r38</t>
        </is>
      </c>
      <c r="AG389" s="27" t="inlineStr">
        <is>
          <t>p10: R$ 429.201,75</t>
        </is>
      </c>
      <c r="AH389" s="27" t="inlineStr">
        <is>
          <t>AJ_LIST</t>
        </is>
      </c>
      <c r="AI389" s="27" t="inlineStr">
        <is>
          <t>2024-06-25</t>
        </is>
      </c>
      <c r="AJ389" s="27" t="inlineStr">
        <is>
          <t>OK_NO_TOTALS</t>
        </is>
      </c>
      <c r="AK389" s="29" t="inlineStr">
        <is>
          <t>0000880-57.2020.8.17.2001</t>
        </is>
      </c>
      <c r="AL389" s="29" t="inlineStr">
        <is>
          <t>TJPE</t>
        </is>
      </c>
      <c r="AM389" s="29" t="inlineStr">
        <is>
          <t>ACTIVE</t>
        </is>
      </c>
      <c r="AN389" s="29" t="n">
        <v>2020</v>
      </c>
      <c r="AO389" s="29" t="inlineStr">
        <is>
          <t>6y since filing, no plan document</t>
        </is>
      </c>
      <c r="AP389" s="29" t="inlineStr">
        <is>
          <t>SAO JOSE DOS CAMPOS</t>
        </is>
      </c>
      <c r="AQ389" s="29" t="inlineStr">
        <is>
          <t>SP</t>
        </is>
      </c>
      <c r="AR389" s="29" t="inlineStr">
        <is>
          <t>Comércio atacadista especializado de materiais de construção não especificados anteriormente</t>
        </is>
      </c>
      <c r="AS389" s="29" t="inlineStr">
        <is>
          <t>DEMAIS</t>
        </is>
      </c>
      <c r="AT389" s="29" t="inlineStr">
        <is>
          <t>MID-MARKET</t>
        </is>
      </c>
      <c r="AU389" s="29" t="inlineStr">
        <is>
          <t>02565876</t>
        </is>
      </c>
      <c r="AV389" s="29" t="n">
        <v>1</v>
      </c>
      <c r="AW389" s="29" t="inlineStr">
        <is>
          <t>ALT_VALUE:R$429.201,75 ROWS:p10r38 UNRECONCILED_SOURCE VALUE_COL:2ª_Lista</t>
        </is>
      </c>
    </row>
    <row r="390">
      <c r="A390" s="15" t="inlineStr">
        <is>
          <t>OPTIMUM CONSULTORIA EM GESTAO PUBLICA E EMPRESARIAL LTDA</t>
        </is>
      </c>
      <c r="B390" s="16" t="n">
        <v>267635.55</v>
      </c>
      <c r="C390" s="17" t="inlineStr">
        <is>
          <t>TREZE FUTEBOL CLUBE</t>
        </is>
      </c>
      <c r="D390" s="18" t="inlineStr">
        <is>
          <t>NEW</t>
        </is>
      </c>
      <c r="E390" s="19" t="inlineStr"/>
      <c r="F390" s="18" t="inlineStr"/>
      <c r="G390" s="19" t="inlineStr"/>
      <c r="H390" s="18" t="inlineStr"/>
      <c r="I390" s="20" t="inlineStr">
        <is>
          <t>EOLO DE SOUZA SALES</t>
        </is>
      </c>
      <c r="J390" s="20" t="inlineStr">
        <is>
          <t>Sócio-Administrador</t>
        </is>
      </c>
      <c r="K390" s="20" t="inlineStr">
        <is>
          <t>(83) 9975-0001</t>
        </is>
      </c>
      <c r="L390" s="20" t="inlineStr"/>
      <c r="M390" s="20" t="inlineStr"/>
      <c r="N390" s="20" t="inlineStr"/>
      <c r="O390" s="20" t="inlineStr"/>
      <c r="P390" s="20" t="inlineStr"/>
      <c r="Q390" s="20" t="inlineStr"/>
      <c r="R390" s="20" t="inlineStr"/>
      <c r="S390" s="20" t="inlineStr"/>
      <c r="T390" s="21" t="n">
        <v>267635.55</v>
      </c>
      <c r="U390" s="22" t="inlineStr">
        <is>
          <t>B</t>
        </is>
      </c>
      <c r="V390" s="23">
        <f>IFERROR(VLOOKUP(U390,Assumptions!$A$7:$D$11,2,FALSE),0)</f>
        <v/>
      </c>
      <c r="W390" s="24">
        <f>MAX(0.5,IFERROR(VLOOKUP(U390,Assumptions!$A$7:$D$11,3,FALSE),3)+IFERROR(VLOOKUP(U390,Assumptions!$A$7:$D$11,4,FALSE),8)/2-IF(AN390="",0,YEAR(TODAY())-AN390))</f>
        <v/>
      </c>
      <c r="X390" s="21">
        <f>T390*V390/(1+Assumptions!$B$3)^W390</f>
        <v/>
      </c>
      <c r="Y390" s="25">
        <f>IF(T390=0,"",ROUND(X390/T390*100,1))</f>
        <v/>
      </c>
      <c r="Z390" s="26">
        <f>X390*Assumptions!$B$4</f>
        <v/>
      </c>
      <c r="AA390" s="25">
        <f>IF(T390=0,"",ROUND(Z390/T390*100,1))</f>
        <v/>
      </c>
      <c r="AB390" s="26">
        <f>X390-Z390</f>
        <v/>
      </c>
      <c r="AC390" s="25">
        <f>IF(T390=0,"",ROUND((X390-Z390)/T390*100,1))</f>
        <v/>
      </c>
      <c r="AD390" s="27" t="inlineStr">
        <is>
          <t>ESTIMATED</t>
        </is>
      </c>
      <c r="AE390" s="28" t="inlineStr">
        <is>
          <t>https://lrflideres.com.br/wp-content/plugins/download-attachments/includes/download.php?id=5828</t>
        </is>
      </c>
      <c r="AF390" s="27" t="inlineStr">
        <is>
          <t>p3 r19</t>
        </is>
      </c>
      <c r="AG390" s="27" t="inlineStr">
        <is>
          <t>p3: R$ 267.635,55</t>
        </is>
      </c>
      <c r="AH390" s="27" t="inlineStr">
        <is>
          <t>AJ_LIST</t>
        </is>
      </c>
      <c r="AI390" s="27" t="inlineStr">
        <is>
          <t>2024-04-18</t>
        </is>
      </c>
      <c r="AJ390" s="27" t="inlineStr">
        <is>
          <t>OK</t>
        </is>
      </c>
      <c r="AK390" s="29" t="inlineStr">
        <is>
          <t>0829315-43.2023.8.15.0001</t>
        </is>
      </c>
      <c r="AL390" s="29" t="inlineStr">
        <is>
          <t>TJPB</t>
        </is>
      </c>
      <c r="AM390" s="29" t="inlineStr">
        <is>
          <t>ACTIVE</t>
        </is>
      </c>
      <c r="AN390" s="29" t="n">
        <v>2023</v>
      </c>
      <c r="AO390" s="29" t="inlineStr">
        <is>
          <t>live case, no plan document yet</t>
        </is>
      </c>
      <c r="AP390" s="29" t="inlineStr">
        <is>
          <t>CAMPINA GRANDE</t>
        </is>
      </c>
      <c r="AQ390" s="29" t="inlineStr">
        <is>
          <t>PB</t>
        </is>
      </c>
      <c r="AR390" s="29" t="inlineStr">
        <is>
          <t>Atividades de consultoria em gestão empresarial, exceto consultoria técnica específica</t>
        </is>
      </c>
      <c r="AS390" s="29" t="inlineStr">
        <is>
          <t>MICRO EMPRESA</t>
        </is>
      </c>
      <c r="AT390" s="29" t="inlineStr">
        <is>
          <t>SMALL</t>
        </is>
      </c>
      <c r="AU390" s="29" t="inlineStr">
        <is>
          <t>10925045</t>
        </is>
      </c>
      <c r="AV390" s="29" t="n">
        <v>1</v>
      </c>
      <c r="AW390" s="29" t="inlineStr">
        <is>
          <t>ROWS:p3r19</t>
        </is>
      </c>
    </row>
    <row r="391">
      <c r="A391" s="15" t="inlineStr">
        <is>
          <t>GR SERVICOS E ALIMENTACAO LTDA.</t>
        </is>
      </c>
      <c r="B391" s="16" t="n">
        <v>306115.81</v>
      </c>
      <c r="C391" s="17" t="inlineStr">
        <is>
          <t>HOSPITAL SA</t>
        </is>
      </c>
      <c r="D391" s="18" t="inlineStr">
        <is>
          <t>NEW</t>
        </is>
      </c>
      <c r="E391" s="19" t="inlineStr"/>
      <c r="F391" s="18" t="inlineStr"/>
      <c r="G391" s="19" t="inlineStr"/>
      <c r="H391" s="18" t="inlineStr"/>
      <c r="I391" s="20" t="inlineStr">
        <is>
          <t>ANDERSON NUNES DA SILVA</t>
        </is>
      </c>
      <c r="J391" s="20" t="inlineStr">
        <is>
          <t>Administrador</t>
        </is>
      </c>
      <c r="K391" s="20" t="inlineStr">
        <is>
          <t>(11) 2135-3000</t>
        </is>
      </c>
      <c r="L391" s="20" t="inlineStr"/>
      <c r="M391" s="20" t="inlineStr"/>
      <c r="N391" s="20" t="inlineStr"/>
      <c r="O391" s="20" t="inlineStr"/>
      <c r="P391" s="20" t="inlineStr">
        <is>
          <t>GUILHERME NASCIMENTO ROBORTELLA</t>
        </is>
      </c>
      <c r="Q391" s="20" t="inlineStr">
        <is>
          <t>Administrador</t>
        </is>
      </c>
      <c r="R391" s="20" t="inlineStr">
        <is>
          <t>(11) 2135-3000</t>
        </is>
      </c>
      <c r="S391" s="20" t="inlineStr"/>
      <c r="T391" s="21" t="n">
        <v>306115.81</v>
      </c>
      <c r="U391" s="31" t="inlineStr">
        <is>
          <t>C</t>
        </is>
      </c>
      <c r="V391" s="23">
        <f>IFERROR(VLOOKUP(U391,Assumptions!$A$7:$D$11,2,FALSE),0)</f>
        <v/>
      </c>
      <c r="W391" s="24">
        <f>MAX(0.5,IFERROR(VLOOKUP(U391,Assumptions!$A$7:$D$11,3,FALSE),3)+IFERROR(VLOOKUP(U391,Assumptions!$A$7:$D$11,4,FALSE),8)/2-IF(AN391="",0,YEAR(TODAY())-AN391))</f>
        <v/>
      </c>
      <c r="X391" s="21">
        <f>T391*V391/(1+Assumptions!$B$3)^W391</f>
        <v/>
      </c>
      <c r="Y391" s="25">
        <f>IF(T391=0,"",ROUND(X391/T391*100,1))</f>
        <v/>
      </c>
      <c r="Z391" s="26">
        <f>X391*Assumptions!$B$4</f>
        <v/>
      </c>
      <c r="AA391" s="25">
        <f>IF(T391=0,"",ROUND(Z391/T391*100,1))</f>
        <v/>
      </c>
      <c r="AB391" s="26">
        <f>X391-Z391</f>
        <v/>
      </c>
      <c r="AC391" s="25">
        <f>IF(T391=0,"",ROUND((X391-Z391)/T391*100,1))</f>
        <v/>
      </c>
      <c r="AD391" s="27" t="inlineStr">
        <is>
          <t>UNKNOWN</t>
        </is>
      </c>
      <c r="AE391" s="28" t="inlineStr">
        <is>
          <t>https://ricardobiancardi.com.br/wp-content/uploads/2024/12/Edital-1-relacao-de-credores-pub.-02.12.24-.pdf</t>
        </is>
      </c>
      <c r="AF391" s="27" t="inlineStr">
        <is>
          <t>p4 r16</t>
        </is>
      </c>
      <c r="AG391" s="27" t="inlineStr">
        <is>
          <t>p4: R$ 306.115,81</t>
        </is>
      </c>
      <c r="AH391" s="27" t="inlineStr">
        <is>
          <t>DEBTOR_LIST</t>
        </is>
      </c>
      <c r="AI391" s="27" t="inlineStr">
        <is>
          <t>2024-12-02</t>
        </is>
      </c>
      <c r="AJ391" s="27" t="inlineStr">
        <is>
          <t>OK_NO_TOTALS</t>
        </is>
      </c>
      <c r="AK391" s="29" t="inlineStr">
        <is>
          <t>0041309-42.2014.8.08.0024</t>
        </is>
      </c>
      <c r="AL391" s="29" t="inlineStr">
        <is>
          <t>TJ</t>
        </is>
      </c>
      <c r="AM391" s="29" t="inlineStr"/>
      <c r="AN391" s="29" t="n">
        <v>2014</v>
      </c>
      <c r="AO391" s="29" t="inlineStr">
        <is>
          <t>12y since filing, no plan document</t>
        </is>
      </c>
      <c r="AP391" s="29" t="inlineStr">
        <is>
          <t>SAO PAULO</t>
        </is>
      </c>
      <c r="AQ391" s="29" t="inlineStr">
        <is>
          <t>SP</t>
        </is>
      </c>
      <c r="AR391" s="29" t="inlineStr">
        <is>
          <t>Fornecimento de alimentos preparados preponderantemente para empresas</t>
        </is>
      </c>
      <c r="AS391" s="29" t="inlineStr">
        <is>
          <t>DEMAIS</t>
        </is>
      </c>
      <c r="AT391" s="29" t="inlineStr">
        <is>
          <t>LARGE CORP</t>
        </is>
      </c>
      <c r="AU391" s="29" t="inlineStr">
        <is>
          <t>02905110</t>
        </is>
      </c>
      <c r="AV391" s="29" t="n">
        <v>1</v>
      </c>
      <c r="AW391" s="29" t="inlineStr">
        <is>
          <t>ROWS:p4r16 UNRECONCILED_SOURCE</t>
        </is>
      </c>
    </row>
    <row r="392">
      <c r="A392" s="15" t="inlineStr">
        <is>
          <t>G GOTUZZO E CIA LTDA</t>
        </is>
      </c>
      <c r="B392" s="16" t="n">
        <v>213107.83</v>
      </c>
      <c r="C392" s="17" t="inlineStr">
        <is>
          <t>ASSOCIACAO DE CARIDADE SANTA CASA DE RIO GRANDE</t>
        </is>
      </c>
      <c r="D392" s="18" t="inlineStr">
        <is>
          <t>NEW</t>
        </is>
      </c>
      <c r="E392" s="19" t="inlineStr"/>
      <c r="F392" s="18" t="inlineStr"/>
      <c r="G392" s="19" t="inlineStr"/>
      <c r="H392" s="18" t="inlineStr"/>
      <c r="I392" s="20" t="inlineStr">
        <is>
          <t>GETULIO GOTUZZO</t>
        </is>
      </c>
      <c r="J392" s="20" t="inlineStr">
        <is>
          <t>Sócio-Administrador</t>
        </is>
      </c>
      <c r="K392" s="20" t="inlineStr">
        <is>
          <t>(53) 3284-3000</t>
        </is>
      </c>
      <c r="L392" s="20" t="inlineStr">
        <is>
          <t>(53) 3284-3013</t>
        </is>
      </c>
      <c r="M392" s="20" t="inlineStr"/>
      <c r="N392" s="20" t="inlineStr"/>
      <c r="O392" s="20" t="inlineStr"/>
      <c r="P392" s="20" t="inlineStr">
        <is>
          <t>GIZELA LEITZKE GOTUZZO</t>
        </is>
      </c>
      <c r="Q392" s="20" t="inlineStr">
        <is>
          <t>Sócio-Administrador</t>
        </is>
      </c>
      <c r="R392" s="20" t="inlineStr">
        <is>
          <t>(53) 3284-3013</t>
        </is>
      </c>
      <c r="S392" s="20" t="inlineStr"/>
      <c r="T392" s="21" t="n">
        <v>213107.83</v>
      </c>
      <c r="U392" s="22" t="inlineStr">
        <is>
          <t>B</t>
        </is>
      </c>
      <c r="V392" s="23">
        <f>IFERROR(VLOOKUP(U392,Assumptions!$A$7:$D$11,2,FALSE),0)</f>
        <v/>
      </c>
      <c r="W392" s="24">
        <f>MAX(0.5,IFERROR(VLOOKUP(U392,Assumptions!$A$7:$D$11,3,FALSE),3)+IFERROR(VLOOKUP(U392,Assumptions!$A$7:$D$11,4,FALSE),8)/2-IF(AN392="",0,YEAR(TODAY())-AN392))</f>
        <v/>
      </c>
      <c r="X392" s="21">
        <f>T392*V392/(1+Assumptions!$B$3)^W392</f>
        <v/>
      </c>
      <c r="Y392" s="25">
        <f>IF(T392=0,"",ROUND(X392/T392*100,1))</f>
        <v/>
      </c>
      <c r="Z392" s="26">
        <f>X392*Assumptions!$B$4</f>
        <v/>
      </c>
      <c r="AA392" s="25">
        <f>IF(T392=0,"",ROUND(Z392/T392*100,1))</f>
        <v/>
      </c>
      <c r="AB392" s="26">
        <f>X392-Z392</f>
        <v/>
      </c>
      <c r="AC392" s="25">
        <f>IF(T392=0,"",ROUND((X392-Z392)/T392*100,1))</f>
        <v/>
      </c>
      <c r="AD392" s="27" t="inlineStr">
        <is>
          <t>ESTIMATED</t>
        </is>
      </c>
      <c r="AE392" s="28" t="inlineStr">
        <is>
          <t>https://scalzilliaj.com.br/sgc/download.php?file=files/processo_documento/processo_documento09120721032023_1_.pdf&amp;nome=15 - Edital do art. 7º, §2º e 53 da Lei 11.101/2005 (segunda lista de credores e recebimento do plano))</t>
        </is>
      </c>
      <c r="AF392" s="27" t="inlineStr">
        <is>
          <t>p27 r38</t>
        </is>
      </c>
      <c r="AG392" s="27" t="inlineStr">
        <is>
          <t>p27: R$ 213.107,83</t>
        </is>
      </c>
      <c r="AH392" s="27" t="inlineStr">
        <is>
          <t>AJ_LIST</t>
        </is>
      </c>
      <c r="AI392" s="27" t="inlineStr">
        <is>
          <t>2023-03-21</t>
        </is>
      </c>
      <c r="AJ392" s="27" t="inlineStr">
        <is>
          <t>OK_NO_TOTALS</t>
        </is>
      </c>
      <c r="AK392" s="29" t="inlineStr">
        <is>
          <t>5012306-16.2022.8.21.0023</t>
        </is>
      </c>
      <c r="AL392" s="29" t="inlineStr">
        <is>
          <t>TJRS</t>
        </is>
      </c>
      <c r="AM392" s="29" t="inlineStr">
        <is>
          <t>ACTIVE</t>
        </is>
      </c>
      <c r="AN392" s="29" t="n">
        <v>2022</v>
      </c>
      <c r="AO392" s="29" t="inlineStr">
        <is>
          <t>live case, no plan document yet</t>
        </is>
      </c>
      <c r="AP392" s="29" t="inlineStr">
        <is>
          <t>PELOTAS</t>
        </is>
      </c>
      <c r="AQ392" s="29" t="inlineStr">
        <is>
          <t>RS</t>
        </is>
      </c>
      <c r="AR392" s="29" t="inlineStr">
        <is>
          <t>Comércio atacadista de instrumentos e materiais para uso médico, cirúrgico, hospitalar e de laboratórios</t>
        </is>
      </c>
      <c r="AS392" s="29" t="inlineStr">
        <is>
          <t>DEMAIS</t>
        </is>
      </c>
      <c r="AT392" s="29" t="inlineStr">
        <is>
          <t>MID-MARKET</t>
        </is>
      </c>
      <c r="AU392" s="29" t="inlineStr">
        <is>
          <t>87651345</t>
        </is>
      </c>
      <c r="AV392" s="29" t="n">
        <v>1</v>
      </c>
      <c r="AW392" s="29" t="inlineStr">
        <is>
          <t>ROWS:p27r38 UNRECONCILED_SOURCE</t>
        </is>
      </c>
    </row>
    <row r="393">
      <c r="A393" s="15" t="inlineStr">
        <is>
          <t>GJM INDUSTRIA DE COUROS LTDA</t>
        </is>
      </c>
      <c r="B393" s="16" t="n">
        <v>332923.32</v>
      </c>
      <c r="C393" s="17" t="inlineStr">
        <is>
          <t>DIVINA INDUSTRIA DE COURO LTDA - EM RECUPERACAO JUDICIAL</t>
        </is>
      </c>
      <c r="D393" s="18" t="inlineStr">
        <is>
          <t>NEW</t>
        </is>
      </c>
      <c r="E393" s="19" t="inlineStr"/>
      <c r="F393" s="18" t="inlineStr"/>
      <c r="G393" s="19" t="inlineStr"/>
      <c r="H393" s="18" t="inlineStr"/>
      <c r="I393" s="20" t="inlineStr">
        <is>
          <t>GUSTAVO LUIZ PEREIRA MACHADO</t>
        </is>
      </c>
      <c r="J393" s="20" t="inlineStr">
        <is>
          <t>Sócio-Administrador</t>
        </is>
      </c>
      <c r="K393" s="20" t="inlineStr">
        <is>
          <t>(75) 3221-2769</t>
        </is>
      </c>
      <c r="L393" s="20" t="inlineStr"/>
      <c r="M393" s="20" t="inlineStr"/>
      <c r="N393" s="20" t="inlineStr"/>
      <c r="O393" s="20" t="inlineStr"/>
      <c r="P393" s="20" t="inlineStr"/>
      <c r="Q393" s="20" t="inlineStr"/>
      <c r="R393" s="20" t="inlineStr"/>
      <c r="S393" s="20" t="inlineStr"/>
      <c r="T393" s="21" t="n">
        <v>332923.32</v>
      </c>
      <c r="U393" s="22" t="inlineStr">
        <is>
          <t>B</t>
        </is>
      </c>
      <c r="V393" s="23">
        <f>IFERROR(VLOOKUP(U393,Assumptions!$A$7:$D$11,2,FALSE),0)</f>
        <v/>
      </c>
      <c r="W393" s="24">
        <f>MAX(0.5,IFERROR(VLOOKUP(U393,Assumptions!$A$7:$D$11,3,FALSE),3)+IFERROR(VLOOKUP(U393,Assumptions!$A$7:$D$11,4,FALSE),8)/2-IF(AN393="",0,YEAR(TODAY())-AN393))</f>
        <v/>
      </c>
      <c r="X393" s="21">
        <f>T393*V393/(1+Assumptions!$B$3)^W393</f>
        <v/>
      </c>
      <c r="Y393" s="25">
        <f>IF(T393=0,"",ROUND(X393/T393*100,1))</f>
        <v/>
      </c>
      <c r="Z393" s="26">
        <f>X393*Assumptions!$B$4</f>
        <v/>
      </c>
      <c r="AA393" s="25">
        <f>IF(T393=0,"",ROUND(Z393/T393*100,1))</f>
        <v/>
      </c>
      <c r="AB393" s="26">
        <f>X393-Z393</f>
        <v/>
      </c>
      <c r="AC393" s="25">
        <f>IF(T393=0,"",ROUND((X393-Z393)/T393*100,1))</f>
        <v/>
      </c>
      <c r="AD393" s="27" t="inlineStr">
        <is>
          <t>ESTIMATED</t>
        </is>
      </c>
      <c r="AE393" s="28" t="inlineStr">
        <is>
          <t>https://lrflideres.com.br/wp-content/plugins/download-attachments/includes/download.php?id=6252</t>
        </is>
      </c>
      <c r="AF393" s="27" t="inlineStr">
        <is>
          <t>p2 r47</t>
        </is>
      </c>
      <c r="AG393" s="27" t="inlineStr">
        <is>
          <t>p2: R$ 332.923,32</t>
        </is>
      </c>
      <c r="AH393" s="27" t="inlineStr">
        <is>
          <t>AJ_LIST</t>
        </is>
      </c>
      <c r="AI393" s="27" t="inlineStr">
        <is>
          <t>2024-11-27</t>
        </is>
      </c>
      <c r="AJ393" s="27" t="inlineStr">
        <is>
          <t>QUARANTINED</t>
        </is>
      </c>
      <c r="AK393" s="29" t="inlineStr">
        <is>
          <t>0000721-61.2024.8.17.2620</t>
        </is>
      </c>
      <c r="AL393" s="29" t="inlineStr">
        <is>
          <t>TJPE</t>
        </is>
      </c>
      <c r="AM393" s="29" t="inlineStr">
        <is>
          <t>ACTIVE</t>
        </is>
      </c>
      <c r="AN393" s="29" t="n">
        <v>2024</v>
      </c>
      <c r="AO393" s="29" t="inlineStr">
        <is>
          <t>live case, no plan document yet</t>
        </is>
      </c>
      <c r="AP393" s="29" t="inlineStr">
        <is>
          <t>ALAGOINHAS</t>
        </is>
      </c>
      <c r="AQ393" s="29" t="inlineStr">
        <is>
          <t>BA</t>
        </is>
      </c>
      <c r="AR393" s="29" t="inlineStr">
        <is>
          <t>Curtimento e outras preparações de couro</t>
        </is>
      </c>
      <c r="AS393" s="29" t="inlineStr">
        <is>
          <t>DEMAIS</t>
        </is>
      </c>
      <c r="AT393" s="29" t="inlineStr">
        <is>
          <t>MID-MARKET</t>
        </is>
      </c>
      <c r="AU393" s="29" t="inlineStr">
        <is>
          <t>28809368</t>
        </is>
      </c>
      <c r="AV393" s="29" t="n">
        <v>1</v>
      </c>
      <c r="AW393" s="29" t="inlineStr">
        <is>
          <t>PARTIAL_DOC_CLASS_III_RECONCILED ROWS:p2r47</t>
        </is>
      </c>
    </row>
    <row r="394">
      <c r="A394" s="15" t="inlineStr">
        <is>
          <t>POLIMIX CONCRETO LTDA</t>
        </is>
      </c>
      <c r="B394" s="16" t="n">
        <v>425000</v>
      </c>
      <c r="C394" s="17" t="inlineStr">
        <is>
          <t>CONSTRUTORA ANDRADE GUEDES LDTA – Diligence Administração em Recuperação Judicial e Falência</t>
        </is>
      </c>
      <c r="D394" s="18" t="inlineStr">
        <is>
          <t>NEW</t>
        </is>
      </c>
      <c r="E394" s="19" t="inlineStr"/>
      <c r="F394" s="18" t="inlineStr"/>
      <c r="G394" s="19" t="inlineStr"/>
      <c r="H394" s="18" t="inlineStr"/>
      <c r="I394" s="20" t="inlineStr">
        <is>
          <t>ALCINDO ANTONIO CHRUSCIELSKI</t>
        </is>
      </c>
      <c r="J394" s="20" t="inlineStr">
        <is>
          <t>Administrador</t>
        </is>
      </c>
      <c r="K394" s="20" t="inlineStr">
        <is>
          <t>(11) 4168-0300</t>
        </is>
      </c>
      <c r="L394" s="20" t="inlineStr"/>
      <c r="M394" s="20" t="inlineStr"/>
      <c r="N394" s="20" t="inlineStr"/>
      <c r="O394" s="20" t="inlineStr"/>
      <c r="P394" s="20" t="inlineStr">
        <is>
          <t>ANDERSON JOSE MESSIAS</t>
        </is>
      </c>
      <c r="Q394" s="20" t="inlineStr">
        <is>
          <t>Administrador</t>
        </is>
      </c>
      <c r="R394" s="20" t="inlineStr">
        <is>
          <t>(11) 4168-0300</t>
        </is>
      </c>
      <c r="S394" s="20" t="inlineStr"/>
      <c r="T394" s="21" t="n">
        <v>425000</v>
      </c>
      <c r="U394" s="31" t="inlineStr">
        <is>
          <t>C</t>
        </is>
      </c>
      <c r="V394" s="23">
        <f>IFERROR(VLOOKUP(U394,Assumptions!$A$7:$D$11,2,FALSE),0)</f>
        <v/>
      </c>
      <c r="W394" s="24">
        <f>MAX(0.5,IFERROR(VLOOKUP(U394,Assumptions!$A$7:$D$11,3,FALSE),3)+IFERROR(VLOOKUP(U394,Assumptions!$A$7:$D$11,4,FALSE),8)/2-IF(AN394="",0,YEAR(TODAY())-AN394))</f>
        <v/>
      </c>
      <c r="X394" s="21">
        <f>T394*V394/(1+Assumptions!$B$3)^W394</f>
        <v/>
      </c>
      <c r="Y394" s="25">
        <f>IF(T394=0,"",ROUND(X394/T394*100,1))</f>
        <v/>
      </c>
      <c r="Z394" s="26">
        <f>X394*Assumptions!$B$4</f>
        <v/>
      </c>
      <c r="AA394" s="25">
        <f>IF(T394=0,"",ROUND(Z394/T394*100,1))</f>
        <v/>
      </c>
      <c r="AB394" s="26">
        <f>X394-Z394</f>
        <v/>
      </c>
      <c r="AC394" s="25">
        <f>IF(T394=0,"",ROUND((X394-Z394)/T394*100,1))</f>
        <v/>
      </c>
      <c r="AD394" s="27" t="inlineStr">
        <is>
          <t>ESTIMATED</t>
        </is>
      </c>
      <c r="AE394" s="28" t="inlineStr">
        <is>
          <t>https://diligence.adm.br/wp-content/plugins/download-attachments/includes/download.php?id=4599</t>
        </is>
      </c>
      <c r="AF394" s="27" t="inlineStr">
        <is>
          <t>p10 r65</t>
        </is>
      </c>
      <c r="AG394" s="27" t="inlineStr">
        <is>
          <t>p10: R$ 425.000,00</t>
        </is>
      </c>
      <c r="AH394" s="27" t="inlineStr">
        <is>
          <t>AJ_LIST</t>
        </is>
      </c>
      <c r="AI394" s="27" t="inlineStr">
        <is>
          <t>2024-06-25</t>
        </is>
      </c>
      <c r="AJ394" s="27" t="inlineStr">
        <is>
          <t>OK_NO_TOTALS</t>
        </is>
      </c>
      <c r="AK394" s="29" t="inlineStr">
        <is>
          <t>0000880-57.2020.8.17.2001</t>
        </is>
      </c>
      <c r="AL394" s="29" t="inlineStr">
        <is>
          <t>TJPE</t>
        </is>
      </c>
      <c r="AM394" s="29" t="inlineStr">
        <is>
          <t>ACTIVE</t>
        </is>
      </c>
      <c r="AN394" s="29" t="n">
        <v>2020</v>
      </c>
      <c r="AO394" s="29" t="inlineStr">
        <is>
          <t>6y since filing, no plan document</t>
        </is>
      </c>
      <c r="AP394" s="29" t="inlineStr">
        <is>
          <t>SANTANA DE PARNAIBA</t>
        </is>
      </c>
      <c r="AQ394" s="29" t="inlineStr">
        <is>
          <t>SP</t>
        </is>
      </c>
      <c r="AR394" s="29" t="inlineStr">
        <is>
          <t>Serviços combinados de escritório e apoio administrativo</t>
        </is>
      </c>
      <c r="AS394" s="29" t="inlineStr">
        <is>
          <t>DEMAIS</t>
        </is>
      </c>
      <c r="AT394" s="29" t="inlineStr">
        <is>
          <t>LARGE CORP</t>
        </is>
      </c>
      <c r="AU394" s="29" t="inlineStr">
        <is>
          <t>29067113</t>
        </is>
      </c>
      <c r="AV394" s="29" t="n">
        <v>1</v>
      </c>
      <c r="AW394" s="29" t="inlineStr">
        <is>
          <t>ALT_VALUE:-R$25.000,00 ALT_VALUE:R$450.000,00 ROWS:p10r65 UNRECONCILED_SOURCE VALUE_COL:2ª_Lista</t>
        </is>
      </c>
    </row>
    <row r="395">
      <c r="A395" s="15" t="inlineStr">
        <is>
          <t>VIBRA ENERGIA S.A</t>
        </is>
      </c>
      <c r="B395" s="16" t="n">
        <v>422999.28</v>
      </c>
      <c r="C395" s="17" t="inlineStr">
        <is>
          <t>AUTO POSTO FREITAS &amp; MAIA LTDA</t>
        </is>
      </c>
      <c r="D395" s="18" t="inlineStr">
        <is>
          <t>NEW</t>
        </is>
      </c>
      <c r="E395" s="19" t="inlineStr"/>
      <c r="F395" s="18" t="inlineStr"/>
      <c r="G395" s="19" t="inlineStr"/>
      <c r="H395" s="18" t="inlineStr"/>
      <c r="I395" s="20" t="inlineStr">
        <is>
          <t>ERNESTO PERES POUSADA JUNIOR</t>
        </is>
      </c>
      <c r="J395" s="20" t="inlineStr">
        <is>
          <t>Presidente</t>
        </is>
      </c>
      <c r="K395" s="20" t="inlineStr">
        <is>
          <t>(21) 2354-3151</t>
        </is>
      </c>
      <c r="L395" s="20" t="inlineStr">
        <is>
          <t>(21) 2354-3146</t>
        </is>
      </c>
      <c r="M395" s="20" t="inlineStr"/>
      <c r="N395" s="20" t="inlineStr"/>
      <c r="O395" s="20" t="inlineStr"/>
      <c r="P395" s="20" t="inlineStr">
        <is>
          <t>DANIEL DRUMOND CAMPOS E SILVA</t>
        </is>
      </c>
      <c r="Q395" s="20" t="inlineStr">
        <is>
          <t>Diretor</t>
        </is>
      </c>
      <c r="R395" s="20" t="inlineStr">
        <is>
          <t>(21) 2354-3146</t>
        </is>
      </c>
      <c r="S395" s="20" t="inlineStr"/>
      <c r="T395" s="21" t="n">
        <v>422999.28</v>
      </c>
      <c r="U395" s="31" t="inlineStr">
        <is>
          <t>C</t>
        </is>
      </c>
      <c r="V395" s="23">
        <f>IFERROR(VLOOKUP(U395,Assumptions!$A$7:$D$11,2,FALSE),0)</f>
        <v/>
      </c>
      <c r="W395" s="24">
        <f>MAX(0.5,IFERROR(VLOOKUP(U395,Assumptions!$A$7:$D$11,3,FALSE),3)+IFERROR(VLOOKUP(U395,Assumptions!$A$7:$D$11,4,FALSE),8)/2-IF(AN395="",0,YEAR(TODAY())-AN395))</f>
        <v/>
      </c>
      <c r="X395" s="21">
        <f>T395*V395/(1+Assumptions!$B$3)^W395</f>
        <v/>
      </c>
      <c r="Y395" s="25">
        <f>IF(T395=0,"",ROUND(X395/T395*100,1))</f>
        <v/>
      </c>
      <c r="Z395" s="26">
        <f>X395*Assumptions!$B$4</f>
        <v/>
      </c>
      <c r="AA395" s="25">
        <f>IF(T395=0,"",ROUND(Z395/T395*100,1))</f>
        <v/>
      </c>
      <c r="AB395" s="26">
        <f>X395-Z395</f>
        <v/>
      </c>
      <c r="AC395" s="25">
        <f>IF(T395=0,"",ROUND((X395-Z395)/T395*100,1))</f>
        <v/>
      </c>
      <c r="AD395" s="27" t="inlineStr">
        <is>
          <t>ESTIMATED</t>
        </is>
      </c>
      <c r="AE395" s="28" t="inlineStr">
        <is>
          <t>https://recuperacaojudicial.squarespace.com/s/LISTA-DE-CREDORES-CONSOLIDADA-EM-11072025_6419.pdf</t>
        </is>
      </c>
      <c r="AF395" s="27" t="inlineStr">
        <is>
          <t>p4 r7</t>
        </is>
      </c>
      <c r="AG395" s="27" t="inlineStr">
        <is>
          <t>p4: R$ 422.999,28</t>
        </is>
      </c>
      <c r="AH395" s="27" t="inlineStr">
        <is>
          <t>AJ_LIST</t>
        </is>
      </c>
      <c r="AI395" s="27" t="inlineStr">
        <is>
          <t>2025-07-15</t>
        </is>
      </c>
      <c r="AJ395" s="27" t="inlineStr">
        <is>
          <t>OK</t>
        </is>
      </c>
      <c r="AK395" s="29" t="inlineStr">
        <is>
          <t>0700087-51.2020.8.02.0043</t>
        </is>
      </c>
      <c r="AL395" s="29" t="inlineStr">
        <is>
          <t>TJAL</t>
        </is>
      </c>
      <c r="AM395" s="29" t="inlineStr">
        <is>
          <t>ACTIVE</t>
        </is>
      </c>
      <c r="AN395" s="29" t="n">
        <v>2020</v>
      </c>
      <c r="AO395" s="29" t="inlineStr">
        <is>
          <t>6y since filing, no plan document</t>
        </is>
      </c>
      <c r="AP395" s="29" t="inlineStr">
        <is>
          <t>RIO DE JANEIRO</t>
        </is>
      </c>
      <c r="AQ395" s="29" t="inlineStr">
        <is>
          <t>RJ</t>
        </is>
      </c>
      <c r="AR395" s="29" t="inlineStr">
        <is>
          <t>Comércio atacadista de álcool carburante, biodiesel, gasolina e demais derivados de petróleo, exceto lubrificantes, não realizado por transportador re</t>
        </is>
      </c>
      <c r="AS395" s="29" t="inlineStr">
        <is>
          <t>DEMAIS</t>
        </is>
      </c>
      <c r="AT395" s="29" t="inlineStr">
        <is>
          <t>LARGE CORP</t>
        </is>
      </c>
      <c r="AU395" s="29" t="inlineStr">
        <is>
          <t>34274233</t>
        </is>
      </c>
      <c r="AV395" s="29" t="n">
        <v>1</v>
      </c>
      <c r="AW395" s="29" t="inlineStr">
        <is>
          <t>ROWS:p4r7 VALUE_COL:Valor_Do_Crédito</t>
        </is>
      </c>
    </row>
    <row r="396">
      <c r="A396" s="15" t="inlineStr">
        <is>
          <t>URTIGAO COMERCIO REPRESENTACOES E TRANSPORTES LTDA</t>
        </is>
      </c>
      <c r="B396" s="16" t="n">
        <v>328800</v>
      </c>
      <c r="C396" s="17" t="inlineStr">
        <is>
          <t>AEGRO INFORMATICA LIMITADA</t>
        </is>
      </c>
      <c r="D396" s="18" t="inlineStr">
        <is>
          <t>NEW</t>
        </is>
      </c>
      <c r="E396" s="19" t="inlineStr"/>
      <c r="F396" s="18" t="inlineStr"/>
      <c r="G396" s="19" t="inlineStr"/>
      <c r="H396" s="18" t="inlineStr"/>
      <c r="I396" s="20" t="inlineStr">
        <is>
          <t>ADEMAR ANTONIO FRANCISCONI</t>
        </is>
      </c>
      <c r="J396" s="20" t="inlineStr">
        <is>
          <t>Sócio-Administrador</t>
        </is>
      </c>
      <c r="K396" s="20" t="inlineStr">
        <is>
          <t>(67) 3423-0045</t>
        </is>
      </c>
      <c r="L396" s="20" t="inlineStr"/>
      <c r="M396" s="20" t="inlineStr"/>
      <c r="N396" s="20" t="inlineStr"/>
      <c r="O396" s="20" t="inlineStr"/>
      <c r="P396" s="20" t="inlineStr">
        <is>
          <t>MARCELO ANDRE CANEPPELE GREGORIUS</t>
        </is>
      </c>
      <c r="Q396" s="20" t="inlineStr">
        <is>
          <t>Sócio-Administrador</t>
        </is>
      </c>
      <c r="R396" s="20" t="inlineStr">
        <is>
          <t>(67) 3423-0045</t>
        </is>
      </c>
      <c r="S396" s="20" t="inlineStr"/>
      <c r="T396" s="21" t="n">
        <v>328800</v>
      </c>
      <c r="U396" s="22" t="inlineStr">
        <is>
          <t>B</t>
        </is>
      </c>
      <c r="V396" s="23">
        <f>IFERROR(VLOOKUP(U396,Assumptions!$A$7:$D$11,2,FALSE),0)</f>
        <v/>
      </c>
      <c r="W396" s="24">
        <f>MAX(0.5,IFERROR(VLOOKUP(U396,Assumptions!$A$7:$D$11,3,FALSE),3)+IFERROR(VLOOKUP(U396,Assumptions!$A$7:$D$11,4,FALSE),8)/2-IF(AN396="",0,YEAR(TODAY())-AN396))</f>
        <v/>
      </c>
      <c r="X396" s="21">
        <f>T396*V396/(1+Assumptions!$B$3)^W396</f>
        <v/>
      </c>
      <c r="Y396" s="25">
        <f>IF(T396=0,"",ROUND(X396/T396*100,1))</f>
        <v/>
      </c>
      <c r="Z396" s="26">
        <f>X396*Assumptions!$B$4</f>
        <v/>
      </c>
      <c r="AA396" s="25">
        <f>IF(T396=0,"",ROUND(Z396/T396*100,1))</f>
        <v/>
      </c>
      <c r="AB396" s="26">
        <f>X396-Z396</f>
        <v/>
      </c>
      <c r="AC396" s="25">
        <f>IF(T396=0,"",ROUND((X396-Z396)/T396*100,1))</f>
        <v/>
      </c>
      <c r="AD396" s="27" t="inlineStr">
        <is>
          <t>ESTIMATED</t>
        </is>
      </c>
      <c r="AE396" s="28" t="inlineStr">
        <is>
          <t>https://scalzilliaj.com.br/sgc/download.php?file=files/processo_documento/processo_documento15542620022025_1_.pdf&amp;nome=11 - Relação de credores - art. 7º, §2º, da LREF</t>
        </is>
      </c>
      <c r="AF396" s="27" t="inlineStr">
        <is>
          <t>p1 r14</t>
        </is>
      </c>
      <c r="AG396" s="27" t="inlineStr">
        <is>
          <t>p1: R$ 328.800,00</t>
        </is>
      </c>
      <c r="AH396" s="27" t="inlineStr">
        <is>
          <t>AJ_LIST</t>
        </is>
      </c>
      <c r="AI396" s="27" t="inlineStr">
        <is>
          <t>2025-02-19</t>
        </is>
      </c>
      <c r="AJ396" s="27" t="inlineStr">
        <is>
          <t>OK_NO_TOTALS</t>
        </is>
      </c>
      <c r="AK396" s="29" t="inlineStr">
        <is>
          <t>0028131-73.2024.8.16.0017</t>
        </is>
      </c>
      <c r="AL396" s="29" t="inlineStr">
        <is>
          <t>TJPR</t>
        </is>
      </c>
      <c r="AM396" s="29" t="inlineStr">
        <is>
          <t>ACTIVE</t>
        </is>
      </c>
      <c r="AN396" s="29" t="n">
        <v>2024</v>
      </c>
      <c r="AO396" s="29" t="inlineStr">
        <is>
          <t>live case, no plan document yet</t>
        </is>
      </c>
      <c r="AP396" s="29" t="inlineStr">
        <is>
          <t>CAARAPO</t>
        </is>
      </c>
      <c r="AQ396" s="29" t="inlineStr">
        <is>
          <t>MS</t>
        </is>
      </c>
      <c r="AR396" s="29" t="inlineStr">
        <is>
          <t>Representantes comerciais e agentes do comércio de matérias-primas agrícolas e animais vivos</t>
        </is>
      </c>
      <c r="AS396" s="29" t="inlineStr">
        <is>
          <t>DEMAIS</t>
        </is>
      </c>
      <c r="AT396" s="29" t="inlineStr">
        <is>
          <t>MID-MARKET</t>
        </is>
      </c>
      <c r="AU396" s="29" t="inlineStr">
        <is>
          <t>04647810</t>
        </is>
      </c>
      <c r="AV396" s="29" t="n">
        <v>1</v>
      </c>
      <c r="AW396" s="29" t="inlineStr">
        <is>
          <t>ROWS:p1r14 UNRECONCILED_SOURCE</t>
        </is>
      </c>
    </row>
    <row r="397">
      <c r="A397" s="15" t="inlineStr">
        <is>
          <t>RADICAL STYLE INDUSTRIA E COMERCIO DE CONFECCOES LTDA</t>
        </is>
      </c>
      <c r="B397" s="16" t="n">
        <v>210265.38</v>
      </c>
      <c r="C397" s="17" t="inlineStr">
        <is>
          <t>R W CONSTRUCOES LTDA</t>
        </is>
      </c>
      <c r="D397" s="18" t="inlineStr">
        <is>
          <t>NEW</t>
        </is>
      </c>
      <c r="E397" s="19" t="inlineStr"/>
      <c r="F397" s="18" t="inlineStr"/>
      <c r="G397" s="19" t="inlineStr"/>
      <c r="H397" s="18" t="inlineStr"/>
      <c r="I397" s="20" t="inlineStr">
        <is>
          <t>ARNALDO GIACOMOSSI</t>
        </is>
      </c>
      <c r="J397" s="20" t="inlineStr">
        <is>
          <t>Administrador</t>
        </is>
      </c>
      <c r="K397" s="20" t="inlineStr">
        <is>
          <t>(47) 3355-1000</t>
        </is>
      </c>
      <c r="L397" s="20" t="inlineStr"/>
      <c r="M397" s="20" t="inlineStr"/>
      <c r="N397" s="20" t="inlineStr"/>
      <c r="O397" s="20" t="inlineStr"/>
      <c r="P397" s="20" t="inlineStr"/>
      <c r="Q397" s="20" t="inlineStr"/>
      <c r="R397" s="20" t="inlineStr"/>
      <c r="S397" s="20" t="inlineStr"/>
      <c r="T397" s="21" t="n">
        <v>210265.38</v>
      </c>
      <c r="U397" s="22" t="inlineStr">
        <is>
          <t>B</t>
        </is>
      </c>
      <c r="V397" s="23">
        <f>IFERROR(VLOOKUP(U397,Assumptions!$A$7:$D$11,2,FALSE),0)</f>
        <v/>
      </c>
      <c r="W397" s="24">
        <f>MAX(0.5,IFERROR(VLOOKUP(U397,Assumptions!$A$7:$D$11,3,FALSE),3)+IFERROR(VLOOKUP(U397,Assumptions!$A$7:$D$11,4,FALSE),8)/2-IF(AN397="",0,YEAR(TODAY())-AN397))</f>
        <v/>
      </c>
      <c r="X397" s="21">
        <f>T397*V397/(1+Assumptions!$B$3)^W397</f>
        <v/>
      </c>
      <c r="Y397" s="25">
        <f>IF(T397=0,"",ROUND(X397/T397*100,1))</f>
        <v/>
      </c>
      <c r="Z397" s="26">
        <f>X397*Assumptions!$B$4</f>
        <v/>
      </c>
      <c r="AA397" s="25">
        <f>IF(T397=0,"",ROUND(Z397/T397*100,1))</f>
        <v/>
      </c>
      <c r="AB397" s="26">
        <f>X397-Z397</f>
        <v/>
      </c>
      <c r="AC397" s="25">
        <f>IF(T397=0,"",ROUND((X397-Z397)/T397*100,1))</f>
        <v/>
      </c>
      <c r="AD397" s="27" t="inlineStr">
        <is>
          <t>ESTIMATED</t>
        </is>
      </c>
      <c r="AE397" s="28" t="inlineStr">
        <is>
          <t>https://lrflideres.com.br/wp-content/plugins/download-attachments/includes/download.php?id=4023</t>
        </is>
      </c>
      <c r="AF397" s="27" t="inlineStr">
        <is>
          <t>p4 r89; p7 r116; p9 r87</t>
        </is>
      </c>
      <c r="AG397" s="27" t="inlineStr">
        <is>
          <t>p4: R$ 73.074,78; p7: R$ 107.424,36; p9: R$ 29.766,24</t>
        </is>
      </c>
      <c r="AH397" s="27" t="inlineStr">
        <is>
          <t>DEBTOR_LIST</t>
        </is>
      </c>
      <c r="AI397" s="27" t="inlineStr"/>
      <c r="AJ397" s="27" t="inlineStr">
        <is>
          <t>QUARANTINED</t>
        </is>
      </c>
      <c r="AK397" s="29" t="inlineStr">
        <is>
          <t>0002484-82.2022.8.17.2001</t>
        </is>
      </c>
      <c r="AL397" s="29" t="inlineStr">
        <is>
          <t>TJPE</t>
        </is>
      </c>
      <c r="AM397" s="29" t="inlineStr">
        <is>
          <t>ACTIVE</t>
        </is>
      </c>
      <c r="AN397" s="29" t="n">
        <v>2022</v>
      </c>
      <c r="AO397" s="29" t="inlineStr">
        <is>
          <t>live case, no plan document yet</t>
        </is>
      </c>
      <c r="AP397" s="29" t="inlineStr">
        <is>
          <t>TIJUCAS</t>
        </is>
      </c>
      <c r="AQ397" s="29" t="inlineStr">
        <is>
          <t>SC</t>
        </is>
      </c>
      <c r="AR397" s="29" t="inlineStr">
        <is>
          <t>Confecção de peças de vestuário, exceto roupas íntimas e as confeccionadas sob medida</t>
        </is>
      </c>
      <c r="AS397" s="29" t="inlineStr">
        <is>
          <t>DEMAIS</t>
        </is>
      </c>
      <c r="AT397" s="29" t="inlineStr">
        <is>
          <t>MID-MARKET</t>
        </is>
      </c>
      <c r="AU397" s="29" t="inlineStr">
        <is>
          <t>08584931</t>
        </is>
      </c>
      <c r="AV397" s="29" t="n">
        <v>3</v>
      </c>
      <c r="AW397" s="29" t="inlineStr">
        <is>
          <t>PARTIAL_DOC_CLASS_III_RECONCILED ROWS:p4r89,p7r116,p9r87</t>
        </is>
      </c>
    </row>
    <row r="398">
      <c r="A398" s="15" t="inlineStr">
        <is>
          <t>CEREAL OURO SEMENTES LTDA</t>
        </is>
      </c>
      <c r="B398" s="16" t="n">
        <v>509576.07</v>
      </c>
      <c r="C398" s="17" t="inlineStr"/>
      <c r="D398" s="18" t="inlineStr">
        <is>
          <t>NEW</t>
        </is>
      </c>
      <c r="E398" s="19" t="inlineStr"/>
      <c r="F398" s="18" t="inlineStr"/>
      <c r="G398" s="19" t="inlineStr"/>
      <c r="H398" s="18" t="inlineStr"/>
      <c r="I398" s="20" t="inlineStr">
        <is>
          <t>Gustavo Barbosa</t>
        </is>
      </c>
      <c r="J398" s="20" t="inlineStr">
        <is>
          <t>Gerente Produção Sementes Soja</t>
        </is>
      </c>
      <c r="K398" s="20" t="inlineStr">
        <is>
          <t>(64) 2101-6200</t>
        </is>
      </c>
      <c r="L398" s="20" t="inlineStr">
        <is>
          <t>(64) 3612-2009</t>
        </is>
      </c>
      <c r="M398" s="20" t="inlineStr"/>
      <c r="N398" s="20" t="inlineStr">
        <is>
          <t>gustavo.barbosa@cerealouro.com.br</t>
        </is>
      </c>
      <c r="O398" s="20" t="inlineStr"/>
      <c r="P398" s="20" t="inlineStr"/>
      <c r="Q398" s="20" t="inlineStr"/>
      <c r="R398" s="20" t="inlineStr"/>
      <c r="S398" s="20" t="inlineStr"/>
      <c r="T398" s="21" t="n">
        <v>509576.07</v>
      </c>
      <c r="U398" s="22" t="inlineStr">
        <is>
          <t>B</t>
        </is>
      </c>
      <c r="V398" s="23">
        <f>IFERROR(VLOOKUP(U398,Assumptions!$A$7:$D$11,2,FALSE),0)</f>
        <v/>
      </c>
      <c r="W398" s="24">
        <f>MAX(0.5,IFERROR(VLOOKUP(U398,Assumptions!$A$7:$D$11,3,FALSE),3)+IFERROR(VLOOKUP(U398,Assumptions!$A$7:$D$11,4,FALSE),8)/2-IF(AN398="",0,YEAR(TODAY())-AN398))</f>
        <v/>
      </c>
      <c r="X398" s="21">
        <f>T398*V398/(1+Assumptions!$B$3)^W398</f>
        <v/>
      </c>
      <c r="Y398" s="25">
        <f>IF(T398=0,"",ROUND(X398/T398*100,1))</f>
        <v/>
      </c>
      <c r="Z398" s="26">
        <f>X398*Assumptions!$B$4</f>
        <v/>
      </c>
      <c r="AA398" s="25">
        <f>IF(T398=0,"",ROUND(Z398/T398*100,1))</f>
        <v/>
      </c>
      <c r="AB398" s="26">
        <f>X398-Z398</f>
        <v/>
      </c>
      <c r="AC398" s="25">
        <f>IF(T398=0,"",ROUND((X398-Z398)/T398*100,1))</f>
        <v/>
      </c>
      <c r="AD398" s="27" t="inlineStr">
        <is>
          <t>ESTIMATED</t>
        </is>
      </c>
      <c r="AE398" s="28" t="inlineStr">
        <is>
          <t>https://scalzilliaj.com.br/sgc/download.php?file=files/processo_documento/processo_documento11421222052026_1_.pdf&amp;nome=08. Lista de credores do edital do art. 52, §1º da LREF</t>
        </is>
      </c>
      <c r="AF398" s="27" t="inlineStr">
        <is>
          <t>p4 r6</t>
        </is>
      </c>
      <c r="AG398" s="27" t="inlineStr">
        <is>
          <t>p4: R$ 509.576,07</t>
        </is>
      </c>
      <c r="AH398" s="27" t="inlineStr">
        <is>
          <t>UNKNOWN</t>
        </is>
      </c>
      <c r="AI398" s="27" t="inlineStr"/>
      <c r="AJ398" s="27" t="inlineStr">
        <is>
          <t>OK_NO_TOTALS</t>
        </is>
      </c>
      <c r="AK398" s="29" t="inlineStr">
        <is>
          <t>5011369-81.2026.8.09.0093</t>
        </is>
      </c>
      <c r="AL398" s="29" t="inlineStr">
        <is>
          <t>TJGO</t>
        </is>
      </c>
      <c r="AM398" s="29" t="inlineStr">
        <is>
          <t>ACTIVE</t>
        </is>
      </c>
      <c r="AN398" s="29" t="n">
        <v>2026</v>
      </c>
      <c r="AO398" s="29" t="inlineStr">
        <is>
          <t>live case, no plan document yet</t>
        </is>
      </c>
      <c r="AP398" s="29" t="inlineStr">
        <is>
          <t>RIO VERDE</t>
        </is>
      </c>
      <c r="AQ398" s="29" t="inlineStr">
        <is>
          <t>GO</t>
        </is>
      </c>
      <c r="AR398" s="29" t="inlineStr">
        <is>
          <t>Produção de sementes certificadas, exceto de forrageiras para pasto</t>
        </is>
      </c>
      <c r="AS398" s="29" t="inlineStr">
        <is>
          <t>DEMAIS</t>
        </is>
      </c>
      <c r="AT398" s="29" t="inlineStr">
        <is>
          <t>MID-MARKET</t>
        </is>
      </c>
      <c r="AU398" s="29" t="inlineStr">
        <is>
          <t>04712017</t>
        </is>
      </c>
      <c r="AV398" s="29" t="n">
        <v>1</v>
      </c>
      <c r="AW398" s="29" t="inlineStr">
        <is>
          <t>ROWS:p4r6 UNRECONCILED_SOURCE</t>
        </is>
      </c>
    </row>
    <row r="399">
      <c r="A399" s="15" t="inlineStr">
        <is>
          <t>COMARY INDUSTRIA DE BEBIDAS LTDA</t>
        </is>
      </c>
      <c r="B399" s="16" t="n">
        <v>407241.98</v>
      </c>
      <c r="C399" s="17" t="inlineStr">
        <is>
          <t>ARRUDA &amp; MELO COMERCIO E DISTRIBUICAO DE ALIMENTOS E BEBIDAS LTDA</t>
        </is>
      </c>
      <c r="D399" s="18" t="inlineStr">
        <is>
          <t>NEW</t>
        </is>
      </c>
      <c r="E399" s="19" t="inlineStr"/>
      <c r="F399" s="18" t="inlineStr"/>
      <c r="G399" s="19" t="inlineStr"/>
      <c r="H399" s="18" t="inlineStr"/>
      <c r="I399" s="20" t="inlineStr">
        <is>
          <t>Rildo Mota</t>
        </is>
      </c>
      <c r="J399" s="20" t="inlineStr">
        <is>
          <t>Comary Indústria de Bebidas</t>
        </is>
      </c>
      <c r="K399" s="20" t="inlineStr">
        <is>
          <t>(21) 2152-4014</t>
        </is>
      </c>
      <c r="L399" s="20" t="inlineStr">
        <is>
          <t>(21) 2152-4000</t>
        </is>
      </c>
      <c r="M399" s="20" t="inlineStr"/>
      <c r="N399" s="20" t="inlineStr">
        <is>
          <t>rildo.mota@comary.com.br</t>
        </is>
      </c>
      <c r="O399" s="20" t="inlineStr"/>
      <c r="P399" s="20" t="inlineStr"/>
      <c r="Q399" s="20" t="inlineStr"/>
      <c r="R399" s="20" t="inlineStr"/>
      <c r="S399" s="20" t="inlineStr"/>
      <c r="T399" s="21" t="n">
        <v>407241.98</v>
      </c>
      <c r="U399" s="22" t="inlineStr">
        <is>
          <t>B</t>
        </is>
      </c>
      <c r="V399" s="23">
        <f>IFERROR(VLOOKUP(U399,Assumptions!$A$7:$D$11,2,FALSE),0)</f>
        <v/>
      </c>
      <c r="W399" s="24">
        <f>MAX(0.5,IFERROR(VLOOKUP(U399,Assumptions!$A$7:$D$11,3,FALSE),3)+IFERROR(VLOOKUP(U399,Assumptions!$A$7:$D$11,4,FALSE),8)/2-IF(AN399="",0,YEAR(TODAY())-AN399))</f>
        <v/>
      </c>
      <c r="X399" s="21">
        <f>T399*V399/(1+Assumptions!$B$3)^W399</f>
        <v/>
      </c>
      <c r="Y399" s="25">
        <f>IF(T399=0,"",ROUND(X399/T399*100,1))</f>
        <v/>
      </c>
      <c r="Z399" s="26">
        <f>X399*Assumptions!$B$4</f>
        <v/>
      </c>
      <c r="AA399" s="25">
        <f>IF(T399=0,"",ROUND(Z399/T399*100,1))</f>
        <v/>
      </c>
      <c r="AB399" s="26">
        <f>X399-Z399</f>
        <v/>
      </c>
      <c r="AC399" s="25">
        <f>IF(T399=0,"",ROUND((X399-Z399)/T399*100,1))</f>
        <v/>
      </c>
      <c r="AD399" s="27" t="inlineStr">
        <is>
          <t>ESTIMATED</t>
        </is>
      </c>
      <c r="AE399" s="28" t="inlineStr">
        <is>
          <t>https://diligence.adm.br/wp-content/uploads/2025/06/Edital-1a-Lista-de-Credores.pdf</t>
        </is>
      </c>
      <c r="AF399" s="27" t="inlineStr">
        <is>
          <t>p5 r69</t>
        </is>
      </c>
      <c r="AG399" s="27" t="inlineStr">
        <is>
          <t>p5: R$ 407.241,98</t>
        </is>
      </c>
      <c r="AH399" s="27" t="inlineStr">
        <is>
          <t>DEBTOR_LIST</t>
        </is>
      </c>
      <c r="AI399" s="27" t="inlineStr">
        <is>
          <t>2025-06-10</t>
        </is>
      </c>
      <c r="AJ399" s="27" t="inlineStr">
        <is>
          <t>OK</t>
        </is>
      </c>
      <c r="AK399" s="29" t="inlineStr">
        <is>
          <t>0008526-45.2025.8.17.2001</t>
        </is>
      </c>
      <c r="AL399" s="29" t="inlineStr">
        <is>
          <t>TJPE</t>
        </is>
      </c>
      <c r="AM399" s="29" t="inlineStr">
        <is>
          <t>ACTIVE</t>
        </is>
      </c>
      <c r="AN399" s="29" t="n">
        <v>2025</v>
      </c>
      <c r="AO399" s="29" t="inlineStr">
        <is>
          <t>live case, no plan document yet</t>
        </is>
      </c>
      <c r="AP399" s="29" t="inlineStr">
        <is>
          <t>TERESOPOLIS</t>
        </is>
      </c>
      <c r="AQ399" s="29" t="inlineStr">
        <is>
          <t>RJ</t>
        </is>
      </c>
      <c r="AR399" s="29" t="inlineStr">
        <is>
          <t>Fabricação de vinho</t>
        </is>
      </c>
      <c r="AS399" s="29" t="inlineStr">
        <is>
          <t>DEMAIS</t>
        </is>
      </c>
      <c r="AT399" s="29" t="inlineStr">
        <is>
          <t>LARGE CORP</t>
        </is>
      </c>
      <c r="AU399" s="29" t="inlineStr">
        <is>
          <t>29588019</t>
        </is>
      </c>
      <c r="AV399" s="29" t="n">
        <v>1</v>
      </c>
      <c r="AW399" s="29" t="inlineStr">
        <is>
          <t>ROWS:p5r69</t>
        </is>
      </c>
    </row>
    <row r="400">
      <c r="A400" s="15" t="inlineStr">
        <is>
          <t>AUTO POSTO PRA FRENTE BRASIL LTDA</t>
        </is>
      </c>
      <c r="B400" s="16" t="n">
        <v>260175.73</v>
      </c>
      <c r="C400" s="17" t="inlineStr">
        <is>
          <t>ADVOCACIA WANDERLEI DE PAULA BARRETO</t>
        </is>
      </c>
      <c r="D400" s="18" t="inlineStr">
        <is>
          <t>NEW</t>
        </is>
      </c>
      <c r="E400" s="19" t="inlineStr"/>
      <c r="F400" s="18" t="inlineStr"/>
      <c r="G400" s="19" t="inlineStr"/>
      <c r="H400" s="18" t="inlineStr"/>
      <c r="I400" s="20" t="inlineStr">
        <is>
          <t>ANTONIO DEOCLIDES ZINI</t>
        </is>
      </c>
      <c r="J400" s="20" t="inlineStr">
        <is>
          <t>Administrador</t>
        </is>
      </c>
      <c r="K400" s="20" t="inlineStr">
        <is>
          <t>(45) 3333-2000</t>
        </is>
      </c>
      <c r="L400" s="20" t="inlineStr">
        <is>
          <t>(45) 3228-1515</t>
        </is>
      </c>
      <c r="M400" s="20" t="inlineStr"/>
      <c r="N400" s="20" t="inlineStr"/>
      <c r="O400" s="20" t="inlineStr"/>
      <c r="P400" s="20" t="inlineStr">
        <is>
          <t>JAIDSON CLEI BEVILACQUA ZINI</t>
        </is>
      </c>
      <c r="Q400" s="20" t="inlineStr">
        <is>
          <t>Administrador</t>
        </is>
      </c>
      <c r="R400" s="20" t="inlineStr">
        <is>
          <t>(45) 3228-1515</t>
        </is>
      </c>
      <c r="S400" s="20" t="inlineStr"/>
      <c r="T400" s="21" t="n">
        <v>260175.73</v>
      </c>
      <c r="U400" s="22" t="inlineStr">
        <is>
          <t>B</t>
        </is>
      </c>
      <c r="V400" s="23">
        <f>IFERROR(VLOOKUP(U400,Assumptions!$A$7:$D$11,2,FALSE),0)</f>
        <v/>
      </c>
      <c r="W400" s="24">
        <f>MAX(0.5,IFERROR(VLOOKUP(U400,Assumptions!$A$7:$D$11,3,FALSE),3)+IFERROR(VLOOKUP(U400,Assumptions!$A$7:$D$11,4,FALSE),8)/2-IF(AN400="",0,YEAR(TODAY())-AN400))</f>
        <v/>
      </c>
      <c r="X400" s="21">
        <f>T400*V400/(1+Assumptions!$B$3)^W400</f>
        <v/>
      </c>
      <c r="Y400" s="25">
        <f>IF(T400=0,"",ROUND(X400/T400*100,1))</f>
        <v/>
      </c>
      <c r="Z400" s="26">
        <f>X400*Assumptions!$B$4</f>
        <v/>
      </c>
      <c r="AA400" s="25">
        <f>IF(T400=0,"",ROUND(Z400/T400*100,1))</f>
        <v/>
      </c>
      <c r="AB400" s="26">
        <f>X400-Z400</f>
        <v/>
      </c>
      <c r="AC400" s="25">
        <f>IF(T400=0,"",ROUND((X400-Z400)/T400*100,1))</f>
        <v/>
      </c>
      <c r="AD400" s="27" t="inlineStr">
        <is>
          <t>ESTIMATED</t>
        </is>
      </c>
      <c r="AE400" s="28" t="inlineStr">
        <is>
          <t>https://marquesadmjudicial.com.br/sgc/download.php?file=files/processo_documento/processo_documento17040729052024_1_.pdf&amp;nome=Relação Nominal de Credores AJ-Sintética</t>
        </is>
      </c>
      <c r="AF400" s="27" t="inlineStr">
        <is>
          <t>p9 r12</t>
        </is>
      </c>
      <c r="AG400" s="27" t="inlineStr">
        <is>
          <t>p9: R$ 260.175,73</t>
        </is>
      </c>
      <c r="AH400" s="27" t="inlineStr">
        <is>
          <t>AJ_LIST</t>
        </is>
      </c>
      <c r="AI400" s="27" t="inlineStr">
        <is>
          <t>2024-05-27</t>
        </is>
      </c>
      <c r="AJ400" s="27" t="inlineStr">
        <is>
          <t>QUARANTINED</t>
        </is>
      </c>
      <c r="AK400" s="29" t="inlineStr">
        <is>
          <t>0003971-03.2023.8.16.0119</t>
        </is>
      </c>
      <c r="AL400" s="29" t="inlineStr">
        <is>
          <t>TJPR</t>
        </is>
      </c>
      <c r="AM400" s="29" t="inlineStr">
        <is>
          <t>ACTIVE</t>
        </is>
      </c>
      <c r="AN400" s="29" t="n">
        <v>2023</v>
      </c>
      <c r="AO400" s="29" t="inlineStr">
        <is>
          <t>live case, no plan document yet</t>
        </is>
      </c>
      <c r="AP400" s="29" t="inlineStr">
        <is>
          <t>CASCAVEL</t>
        </is>
      </c>
      <c r="AQ400" s="29" t="inlineStr">
        <is>
          <t>PR</t>
        </is>
      </c>
      <c r="AR400" s="29" t="inlineStr">
        <is>
          <t>Comércio varejista de combustíveis para veículos automotores</t>
        </is>
      </c>
      <c r="AS400" s="29" t="inlineStr">
        <is>
          <t>DEMAIS</t>
        </is>
      </c>
      <c r="AT400" s="29" t="inlineStr">
        <is>
          <t>MID-MARKET</t>
        </is>
      </c>
      <c r="AU400" s="29" t="inlineStr">
        <is>
          <t>04868412</t>
        </is>
      </c>
      <c r="AV400" s="29" t="n">
        <v>1</v>
      </c>
      <c r="AW400" s="29" t="inlineStr">
        <is>
          <t>PARTIAL_DOC_CLASS_III_RECONCILED ROWS:p9r12</t>
        </is>
      </c>
    </row>
    <row r="401">
      <c r="A401" s="15" t="inlineStr">
        <is>
          <t>BUNGE ALIMENTOS S/A</t>
        </is>
      </c>
      <c r="B401" s="16" t="n">
        <v>295774.65</v>
      </c>
      <c r="C401" s="17" t="inlineStr">
        <is>
          <t>empresa</t>
        </is>
      </c>
      <c r="D401" s="18" t="inlineStr">
        <is>
          <t>NEW</t>
        </is>
      </c>
      <c r="E401" s="19" t="inlineStr"/>
      <c r="F401" s="18" t="inlineStr"/>
      <c r="G401" s="19" t="inlineStr"/>
      <c r="H401" s="18" t="inlineStr"/>
      <c r="I401" s="20" t="inlineStr">
        <is>
          <t>Leonardo Nogueira</t>
        </is>
      </c>
      <c r="J401" s="20" t="inlineStr">
        <is>
          <t>Senior Credit Manager - Projects</t>
        </is>
      </c>
      <c r="K401" s="20" t="inlineStr">
        <is>
          <t>(47) 3703-2500</t>
        </is>
      </c>
      <c r="L401" s="20" t="inlineStr">
        <is>
          <t>(47) 3703-2200</t>
        </is>
      </c>
      <c r="M401" s="20" t="inlineStr"/>
      <c r="N401" s="20" t="inlineStr">
        <is>
          <t>leonardo.nogueira@bunge.com</t>
        </is>
      </c>
      <c r="O401" s="20" t="inlineStr">
        <is>
          <t>beatriz.yamamoto@bunge.com</t>
        </is>
      </c>
      <c r="P401" s="20" t="inlineStr">
        <is>
          <t>Beatriz Yamamoto</t>
        </is>
      </c>
      <c r="Q401" s="20" t="inlineStr">
        <is>
          <t>Coordenadora de Crédito na Bunge</t>
        </is>
      </c>
      <c r="R401" s="20" t="inlineStr"/>
      <c r="S401" s="20" t="inlineStr">
        <is>
          <t>beatriz.yamamoto@bunge.com</t>
        </is>
      </c>
      <c r="T401" s="21" t="n">
        <v>295774.65</v>
      </c>
      <c r="U401" s="31" t="inlineStr">
        <is>
          <t>C</t>
        </is>
      </c>
      <c r="V401" s="23">
        <f>IFERROR(VLOOKUP(U401,Assumptions!$A$7:$D$11,2,FALSE),0)</f>
        <v/>
      </c>
      <c r="W401" s="24">
        <f>MAX(0.5,IFERROR(VLOOKUP(U401,Assumptions!$A$7:$D$11,3,FALSE),3)+IFERROR(VLOOKUP(U401,Assumptions!$A$7:$D$11,4,FALSE),8)/2-IF(AN401="",0,YEAR(TODAY())-AN401))</f>
        <v/>
      </c>
      <c r="X401" s="21">
        <f>T401*V401/(1+Assumptions!$B$3)^W401</f>
        <v/>
      </c>
      <c r="Y401" s="25">
        <f>IF(T401=0,"",ROUND(X401/T401*100,1))</f>
        <v/>
      </c>
      <c r="Z401" s="26">
        <f>X401*Assumptions!$B$4</f>
        <v/>
      </c>
      <c r="AA401" s="25">
        <f>IF(T401=0,"",ROUND(Z401/T401*100,1))</f>
        <v/>
      </c>
      <c r="AB401" s="26">
        <f>X401-Z401</f>
        <v/>
      </c>
      <c r="AC401" s="25">
        <f>IF(T401=0,"",ROUND((X401-Z401)/T401*100,1))</f>
        <v/>
      </c>
      <c r="AD401" s="27" t="inlineStr">
        <is>
          <t>UNKNOWN</t>
        </is>
      </c>
      <c r="AE401" s="28" t="inlineStr">
        <is>
          <t>https://realbrasil.com.br/wp-content/uploads/2017/05/Relação-de-Credores_-Mastter-1.pdf</t>
        </is>
      </c>
      <c r="AF401" s="27" t="inlineStr">
        <is>
          <t>p13 r14</t>
        </is>
      </c>
      <c r="AG401" s="27" t="inlineStr">
        <is>
          <t>p13: R$ 295.774,65</t>
        </is>
      </c>
      <c r="AH401" s="27" t="inlineStr">
        <is>
          <t>DEBTOR_LIST</t>
        </is>
      </c>
      <c r="AI401" s="27" t="inlineStr">
        <is>
          <t>2016-02-10</t>
        </is>
      </c>
      <c r="AJ401" s="27" t="inlineStr">
        <is>
          <t>OK_NO_TOTALS</t>
        </is>
      </c>
      <c r="AK401" s="29" t="inlineStr">
        <is>
          <t>0801893-91.2016.8.12.0011</t>
        </is>
      </c>
      <c r="AL401" s="29" t="inlineStr">
        <is>
          <t>TJ</t>
        </is>
      </c>
      <c r="AM401" s="29" t="inlineStr"/>
      <c r="AN401" s="29" t="n">
        <v>2016</v>
      </c>
      <c r="AO401" s="29" t="inlineStr">
        <is>
          <t>10y since filing, no plan document</t>
        </is>
      </c>
      <c r="AP401" s="29" t="inlineStr">
        <is>
          <t>GASPAR</t>
        </is>
      </c>
      <c r="AQ401" s="29" t="inlineStr">
        <is>
          <t>SC</t>
        </is>
      </c>
      <c r="AR401" s="29" t="inlineStr">
        <is>
          <t>Fabricação de óleos vegetais em bruto, exceto óleo de milho</t>
        </is>
      </c>
      <c r="AS401" s="29" t="inlineStr">
        <is>
          <t>DEMAIS</t>
        </is>
      </c>
      <c r="AT401" s="29" t="inlineStr">
        <is>
          <t>LARGE CORP</t>
        </is>
      </c>
      <c r="AU401" s="29" t="inlineStr">
        <is>
          <t>84046101</t>
        </is>
      </c>
      <c r="AV401" s="29" t="n">
        <v>1</v>
      </c>
      <c r="AW401" s="29" t="inlineStr">
        <is>
          <t>ALT_VALUE:*** ALT_VALUE:R$700.000,00 ROWS:p13r14 UNRECONCILED_SOURCE</t>
        </is>
      </c>
    </row>
    <row r="402">
      <c r="A402" s="15" t="inlineStr">
        <is>
          <t>TCL SEMP INDUSTRIA E COMERCIO DE ELETROELETRONICOS S.A</t>
        </is>
      </c>
      <c r="B402" s="16" t="n">
        <v>412477.83</v>
      </c>
      <c r="C402" s="17" t="inlineStr">
        <is>
          <t>aludida empresa</t>
        </is>
      </c>
      <c r="D402" s="18" t="inlineStr">
        <is>
          <t>NEW</t>
        </is>
      </c>
      <c r="E402" s="19" t="inlineStr"/>
      <c r="F402" s="18" t="inlineStr"/>
      <c r="G402" s="19" t="inlineStr"/>
      <c r="H402" s="18" t="inlineStr"/>
      <c r="I402" s="20" t="inlineStr">
        <is>
          <t>Pedro Carvalho</t>
        </is>
      </c>
      <c r="J402" s="20" t="inlineStr">
        <is>
          <t>Chief Financial Officer</t>
        </is>
      </c>
      <c r="K402" s="20" t="inlineStr">
        <is>
          <t>(92) 2127-6333</t>
        </is>
      </c>
      <c r="L402" s="20" t="inlineStr"/>
      <c r="M402" s="20" t="inlineStr"/>
      <c r="N402" s="20" t="inlineStr">
        <is>
          <t>pedro.carvalho@tclsemp.com.br</t>
        </is>
      </c>
      <c r="O402" s="20" t="inlineStr">
        <is>
          <t>claudinei.batista@tclsemp.com.br</t>
        </is>
      </c>
      <c r="P402" s="20" t="inlineStr">
        <is>
          <t>Claudinei Batista</t>
        </is>
      </c>
      <c r="Q402" s="20" t="inlineStr">
        <is>
          <t>Analista de Crédito e Cobrança Sênior</t>
        </is>
      </c>
      <c r="R402" s="20" t="inlineStr"/>
      <c r="S402" s="20" t="inlineStr">
        <is>
          <t>claudinei.batista@tclsemp.com.br</t>
        </is>
      </c>
      <c r="T402" s="21" t="n">
        <v>412477.83</v>
      </c>
      <c r="U402" s="31" t="inlineStr">
        <is>
          <t>C</t>
        </is>
      </c>
      <c r="V402" s="23">
        <f>IFERROR(VLOOKUP(U402,Assumptions!$A$7:$D$11,2,FALSE),0)</f>
        <v/>
      </c>
      <c r="W402" s="24">
        <f>MAX(0.5,IFERROR(VLOOKUP(U402,Assumptions!$A$7:$D$11,3,FALSE),3)+IFERROR(VLOOKUP(U402,Assumptions!$A$7:$D$11,4,FALSE),8)/2-IF(AN402="",0,YEAR(TODAY())-AN402))</f>
        <v/>
      </c>
      <c r="X402" s="21">
        <f>T402*V402/(1+Assumptions!$B$3)^W402</f>
        <v/>
      </c>
      <c r="Y402" s="25">
        <f>IF(T402=0,"",ROUND(X402/T402*100,1))</f>
        <v/>
      </c>
      <c r="Z402" s="26">
        <f>X402*Assumptions!$B$4</f>
        <v/>
      </c>
      <c r="AA402" s="25">
        <f>IF(T402=0,"",ROUND(Z402/T402*100,1))</f>
        <v/>
      </c>
      <c r="AB402" s="26">
        <f>X402-Z402</f>
        <v/>
      </c>
      <c r="AC402" s="25">
        <f>IF(T402=0,"",ROUND((X402-Z402)/T402*100,1))</f>
        <v/>
      </c>
      <c r="AD402" s="27" t="inlineStr">
        <is>
          <t>ESTIMATED</t>
        </is>
      </c>
      <c r="AE402" s="28" t="inlineStr">
        <is>
          <t>https://recuperacaojudicial.squarespace.com/s/RJ-Credimoveis-QGC-01082025.pdf</t>
        </is>
      </c>
      <c r="AF402" s="27" t="inlineStr">
        <is>
          <t>p16 r58</t>
        </is>
      </c>
      <c r="AG402" s="27" t="inlineStr">
        <is>
          <t>p16: R$ 412.477,83</t>
        </is>
      </c>
      <c r="AH402" s="27" t="inlineStr">
        <is>
          <t>QGC</t>
        </is>
      </c>
      <c r="AI402" s="27" t="inlineStr">
        <is>
          <t>2026-01-28</t>
        </is>
      </c>
      <c r="AJ402" s="27" t="inlineStr">
        <is>
          <t>OK</t>
        </is>
      </c>
      <c r="AK402" s="29" t="inlineStr">
        <is>
          <t>0007565-40.2020.8.17.2370</t>
        </is>
      </c>
      <c r="AL402" s="29" t="inlineStr">
        <is>
          <t>TJPE</t>
        </is>
      </c>
      <c r="AM402" s="29" t="inlineStr">
        <is>
          <t>ACTIVE</t>
        </is>
      </c>
      <c r="AN402" s="29" t="n">
        <v>2020</v>
      </c>
      <c r="AO402" s="29" t="inlineStr">
        <is>
          <t>6y since filing, no plan document</t>
        </is>
      </c>
      <c r="AP402" s="29" t="inlineStr">
        <is>
          <t>MANAUS</t>
        </is>
      </c>
      <c r="AQ402" s="29" t="inlineStr">
        <is>
          <t>AM</t>
        </is>
      </c>
      <c r="AR402" s="29" t="inlineStr">
        <is>
          <t>Fabricação de aparelhos de recepção, reprodução, gravação e amplificação de áudio e vídeo</t>
        </is>
      </c>
      <c r="AS402" s="29" t="inlineStr">
        <is>
          <t>DEMAIS</t>
        </is>
      </c>
      <c r="AT402" s="29" t="inlineStr">
        <is>
          <t>LARGE CORP</t>
        </is>
      </c>
      <c r="AU402" s="29" t="inlineStr">
        <is>
          <t>24227491</t>
        </is>
      </c>
      <c r="AV402" s="29" t="n">
        <v>1</v>
      </c>
      <c r="AW402" s="29" t="inlineStr">
        <is>
          <t>ROWS:p16r58</t>
        </is>
      </c>
    </row>
    <row r="403">
      <c r="A403" s="15" t="inlineStr">
        <is>
          <t>AGROBRASILCHEMICAL INDUSTRIA E COMERCIO LTDA EM RECUPERACAO JUDICIAL</t>
        </is>
      </c>
      <c r="B403" s="16" t="n">
        <v>257434.5</v>
      </c>
      <c r="C403" s="17" t="inlineStr">
        <is>
          <t>ADVOCACIA WANDERLEI DE PAULA BARRETO</t>
        </is>
      </c>
      <c r="D403" s="18" t="inlineStr">
        <is>
          <t>NEW</t>
        </is>
      </c>
      <c r="E403" s="19" t="inlineStr"/>
      <c r="F403" s="18" t="inlineStr"/>
      <c r="G403" s="19" t="inlineStr"/>
      <c r="H403" s="18" t="inlineStr"/>
      <c r="I403" s="20" t="inlineStr">
        <is>
          <t>RICARDO CASTELHANO</t>
        </is>
      </c>
      <c r="J403" s="20" t="inlineStr">
        <is>
          <t>Sócio-Administrador</t>
        </is>
      </c>
      <c r="K403" s="20" t="inlineStr">
        <is>
          <t>(44) 9932-7251</t>
        </is>
      </c>
      <c r="L403" s="20" t="inlineStr"/>
      <c r="M403" s="20" t="inlineStr"/>
      <c r="N403" s="20" t="inlineStr"/>
      <c r="O403" s="20" t="inlineStr"/>
      <c r="P403" s="20" t="inlineStr"/>
      <c r="Q403" s="20" t="inlineStr"/>
      <c r="R403" s="20" t="inlineStr"/>
      <c r="S403" s="20" t="inlineStr"/>
      <c r="T403" s="21" t="n">
        <v>257434.5</v>
      </c>
      <c r="U403" s="22" t="inlineStr">
        <is>
          <t>B</t>
        </is>
      </c>
      <c r="V403" s="23">
        <f>IFERROR(VLOOKUP(U403,Assumptions!$A$7:$D$11,2,FALSE),0)</f>
        <v/>
      </c>
      <c r="W403" s="24">
        <f>MAX(0.5,IFERROR(VLOOKUP(U403,Assumptions!$A$7:$D$11,3,FALSE),3)+IFERROR(VLOOKUP(U403,Assumptions!$A$7:$D$11,4,FALSE),8)/2-IF(AN403="",0,YEAR(TODAY())-AN403))</f>
        <v/>
      </c>
      <c r="X403" s="21">
        <f>T403*V403/(1+Assumptions!$B$3)^W403</f>
        <v/>
      </c>
      <c r="Y403" s="25">
        <f>IF(T403=0,"",ROUND(X403/T403*100,1))</f>
        <v/>
      </c>
      <c r="Z403" s="26">
        <f>X403*Assumptions!$B$4</f>
        <v/>
      </c>
      <c r="AA403" s="25">
        <f>IF(T403=0,"",ROUND(Z403/T403*100,1))</f>
        <v/>
      </c>
      <c r="AB403" s="26">
        <f>X403-Z403</f>
        <v/>
      </c>
      <c r="AC403" s="25">
        <f>IF(T403=0,"",ROUND((X403-Z403)/T403*100,1))</f>
        <v/>
      </c>
      <c r="AD403" s="27" t="inlineStr">
        <is>
          <t>ESTIMATED</t>
        </is>
      </c>
      <c r="AE403" s="28" t="inlineStr">
        <is>
          <t>https://marquesadmjudicial.com.br/sgc/download.php?file=files/processo_documento/processo_documento17040729052024_1_.pdf&amp;nome=Relação Nominal de Credores AJ-Sintética</t>
        </is>
      </c>
      <c r="AF403" s="27" t="inlineStr">
        <is>
          <t>p9 r3</t>
        </is>
      </c>
      <c r="AG403" s="27" t="inlineStr">
        <is>
          <t>p9: R$ 257.434,50</t>
        </is>
      </c>
      <c r="AH403" s="27" t="inlineStr">
        <is>
          <t>AJ_LIST</t>
        </is>
      </c>
      <c r="AI403" s="27" t="inlineStr">
        <is>
          <t>2024-05-27</t>
        </is>
      </c>
      <c r="AJ403" s="27" t="inlineStr">
        <is>
          <t>QUARANTINED</t>
        </is>
      </c>
      <c r="AK403" s="29" t="inlineStr">
        <is>
          <t>0003971-03.2023.8.16.0119</t>
        </is>
      </c>
      <c r="AL403" s="29" t="inlineStr">
        <is>
          <t>TJPR</t>
        </is>
      </c>
      <c r="AM403" s="29" t="inlineStr">
        <is>
          <t>ACTIVE</t>
        </is>
      </c>
      <c r="AN403" s="29" t="n">
        <v>2023</v>
      </c>
      <c r="AO403" s="29" t="inlineStr">
        <is>
          <t>live case, no plan document yet</t>
        </is>
      </c>
      <c r="AP403" s="29" t="inlineStr">
        <is>
          <t>MANDAGUARI</t>
        </is>
      </c>
      <c r="AQ403" s="29" t="inlineStr">
        <is>
          <t>PR</t>
        </is>
      </c>
      <c r="AR403" s="29" t="inlineStr">
        <is>
          <t>Fabricação de produtos de limpeza e polimento</t>
        </is>
      </c>
      <c r="AS403" s="29" t="inlineStr">
        <is>
          <t>DEMAIS</t>
        </is>
      </c>
      <c r="AT403" s="29" t="inlineStr">
        <is>
          <t>MID-MARKET</t>
        </is>
      </c>
      <c r="AU403" s="29" t="inlineStr">
        <is>
          <t>18773359</t>
        </is>
      </c>
      <c r="AV403" s="29" t="n">
        <v>1</v>
      </c>
      <c r="AW403" s="29" t="inlineStr">
        <is>
          <t>PARTIAL_DOC_CLASS_III_RECONCILED ROWS:p9r3</t>
        </is>
      </c>
    </row>
    <row r="404">
      <c r="A404" s="15" t="inlineStr">
        <is>
          <t>LOGOMAR COMERCIO, IMPORTACAO E EXPORTACAO LTDA</t>
        </is>
      </c>
      <c r="B404" s="16" t="n">
        <v>256557.88</v>
      </c>
      <c r="C404" s="17" t="inlineStr">
        <is>
          <t>CRISTAL MASTER INDUSTRIA E COMERCIO LTDA</t>
        </is>
      </c>
      <c r="D404" s="18" t="inlineStr">
        <is>
          <t>NEW</t>
        </is>
      </c>
      <c r="E404" s="19" t="inlineStr"/>
      <c r="F404" s="18" t="inlineStr"/>
      <c r="G404" s="19" t="inlineStr"/>
      <c r="H404" s="18" t="inlineStr"/>
      <c r="I404" s="20" t="inlineStr">
        <is>
          <t>JAIME DE ANDRADE</t>
        </is>
      </c>
      <c r="J404" s="20" t="inlineStr">
        <is>
          <t>Sócio-Administrador</t>
        </is>
      </c>
      <c r="K404" s="20" t="inlineStr">
        <is>
          <t>(47) 3349-9700</t>
        </is>
      </c>
      <c r="L404" s="20" t="inlineStr"/>
      <c r="M404" s="20" t="inlineStr"/>
      <c r="N404" s="20" t="inlineStr"/>
      <c r="O404" s="20" t="inlineStr"/>
      <c r="P404" s="20" t="inlineStr"/>
      <c r="Q404" s="20" t="inlineStr"/>
      <c r="R404" s="20" t="inlineStr"/>
      <c r="S404" s="20" t="inlineStr"/>
      <c r="T404" s="21" t="n">
        <v>256557.88</v>
      </c>
      <c r="U404" s="22" t="inlineStr">
        <is>
          <t>B</t>
        </is>
      </c>
      <c r="V404" s="23">
        <f>IFERROR(VLOOKUP(U404,Assumptions!$A$7:$D$11,2,FALSE),0)</f>
        <v/>
      </c>
      <c r="W404" s="24">
        <f>MAX(0.5,IFERROR(VLOOKUP(U404,Assumptions!$A$7:$D$11,3,FALSE),3)+IFERROR(VLOOKUP(U404,Assumptions!$A$7:$D$11,4,FALSE),8)/2-IF(AN404="",0,YEAR(TODAY())-AN404))</f>
        <v/>
      </c>
      <c r="X404" s="21">
        <f>T404*V404/(1+Assumptions!$B$3)^W404</f>
        <v/>
      </c>
      <c r="Y404" s="25">
        <f>IF(T404=0,"",ROUND(X404/T404*100,1))</f>
        <v/>
      </c>
      <c r="Z404" s="26">
        <f>X404*Assumptions!$B$4</f>
        <v/>
      </c>
      <c r="AA404" s="25">
        <f>IF(T404=0,"",ROUND(Z404/T404*100,1))</f>
        <v/>
      </c>
      <c r="AB404" s="26">
        <f>X404-Z404</f>
        <v/>
      </c>
      <c r="AC404" s="25">
        <f>IF(T404=0,"",ROUND((X404-Z404)/T404*100,1))</f>
        <v/>
      </c>
      <c r="AD404" s="27" t="inlineStr">
        <is>
          <t>ESTIMATED</t>
        </is>
      </c>
      <c r="AE404" s="28" t="inlineStr">
        <is>
          <t>https://ajruiz.com.br/sites/default/files/public/arquivos-processos/2026-08/qgc_azeplast_julho_2026.pdf</t>
        </is>
      </c>
      <c r="AF404" s="27" t="inlineStr">
        <is>
          <t>p1 r39</t>
        </is>
      </c>
      <c r="AG404" s="27" t="inlineStr">
        <is>
          <t>p1: R$ 256.557,88</t>
        </is>
      </c>
      <c r="AH404" s="27" t="inlineStr">
        <is>
          <t>QGC</t>
        </is>
      </c>
      <c r="AI404" s="27" t="inlineStr"/>
      <c r="AJ404" s="27" t="inlineStr">
        <is>
          <t>QUARANTINED</t>
        </is>
      </c>
      <c r="AK404" s="29" t="inlineStr">
        <is>
          <t>5008793-34.2023.8.24.0019</t>
        </is>
      </c>
      <c r="AL404" s="29" t="inlineStr">
        <is>
          <t>TJSC</t>
        </is>
      </c>
      <c r="AM404" s="29" t="inlineStr">
        <is>
          <t>ACTIVE</t>
        </is>
      </c>
      <c r="AN404" s="29" t="n">
        <v>2023</v>
      </c>
      <c r="AO404" s="29" t="inlineStr">
        <is>
          <t>live case, no plan document yet</t>
        </is>
      </c>
      <c r="AP404" s="29" t="inlineStr">
        <is>
          <t>ITAJAI</t>
        </is>
      </c>
      <c r="AQ404" s="29" t="inlineStr">
        <is>
          <t>SC</t>
        </is>
      </c>
      <c r="AR404" s="29" t="inlineStr">
        <is>
          <t>Comércio atacadista de resinas e elastômeros</t>
        </is>
      </c>
      <c r="AS404" s="29" t="inlineStr">
        <is>
          <t>DEMAIS</t>
        </is>
      </c>
      <c r="AT404" s="29" t="inlineStr">
        <is>
          <t>MID-MARKET</t>
        </is>
      </c>
      <c r="AU404" s="29" t="inlineStr">
        <is>
          <t>12863297</t>
        </is>
      </c>
      <c r="AV404" s="29" t="n">
        <v>1</v>
      </c>
      <c r="AW404" s="29" t="inlineStr">
        <is>
          <t>PARTIAL_DOC_CLASS_III_RECONCILED ROWS:p1r39</t>
        </is>
      </c>
    </row>
    <row r="405">
      <c r="A405" s="15" t="inlineStr">
        <is>
          <t>DOCELAR MOVEIS LTDA</t>
        </is>
      </c>
      <c r="B405" s="16" t="n">
        <v>406451</v>
      </c>
      <c r="C405" s="17" t="inlineStr">
        <is>
          <t>aludida empresa</t>
        </is>
      </c>
      <c r="D405" s="18" t="inlineStr">
        <is>
          <t>NEW</t>
        </is>
      </c>
      <c r="E405" s="19" t="inlineStr"/>
      <c r="F405" s="18" t="inlineStr"/>
      <c r="G405" s="19" t="inlineStr"/>
      <c r="H405" s="18" t="inlineStr"/>
      <c r="I405" s="20" t="inlineStr">
        <is>
          <t>Ana Flavia</t>
        </is>
      </c>
      <c r="J405" s="20" t="inlineStr">
        <is>
          <t>Gestor Administrativo Financeiro</t>
        </is>
      </c>
      <c r="K405" s="20" t="inlineStr">
        <is>
          <t>(27) 3372-6868</t>
        </is>
      </c>
      <c r="L405" s="20" t="inlineStr"/>
      <c r="M405" s="20" t="inlineStr"/>
      <c r="N405" s="20" t="inlineStr"/>
      <c r="O405" s="20" t="inlineStr">
        <is>
          <t>marcia@docelarmoveis.com.br</t>
        </is>
      </c>
      <c r="P405" s="20" t="inlineStr">
        <is>
          <t>Marcia Matoso</t>
        </is>
      </c>
      <c r="Q405" s="20" t="inlineStr">
        <is>
          <t>Financial Analyst</t>
        </is>
      </c>
      <c r="R405" s="20" t="inlineStr"/>
      <c r="S405" s="20" t="inlineStr">
        <is>
          <t>marcia@docelarmoveis.com.br</t>
        </is>
      </c>
      <c r="T405" s="21" t="n">
        <v>406451</v>
      </c>
      <c r="U405" s="31" t="inlineStr">
        <is>
          <t>C</t>
        </is>
      </c>
      <c r="V405" s="23">
        <f>IFERROR(VLOOKUP(U405,Assumptions!$A$7:$D$11,2,FALSE),0)</f>
        <v/>
      </c>
      <c r="W405" s="24">
        <f>MAX(0.5,IFERROR(VLOOKUP(U405,Assumptions!$A$7:$D$11,3,FALSE),3)+IFERROR(VLOOKUP(U405,Assumptions!$A$7:$D$11,4,FALSE),8)/2-IF(AN405="",0,YEAR(TODAY())-AN405))</f>
        <v/>
      </c>
      <c r="X405" s="21">
        <f>T405*V405/(1+Assumptions!$B$3)^W405</f>
        <v/>
      </c>
      <c r="Y405" s="25">
        <f>IF(T405=0,"",ROUND(X405/T405*100,1))</f>
        <v/>
      </c>
      <c r="Z405" s="26">
        <f>X405*Assumptions!$B$4</f>
        <v/>
      </c>
      <c r="AA405" s="25">
        <f>IF(T405=0,"",ROUND(Z405/T405*100,1))</f>
        <v/>
      </c>
      <c r="AB405" s="26">
        <f>X405-Z405</f>
        <v/>
      </c>
      <c r="AC405" s="25">
        <f>IF(T405=0,"",ROUND((X405-Z405)/T405*100,1))</f>
        <v/>
      </c>
      <c r="AD405" s="27" t="inlineStr">
        <is>
          <t>ESTIMATED</t>
        </is>
      </c>
      <c r="AE405" s="28" t="inlineStr">
        <is>
          <t>https://recuperacaojudicial.squarespace.com/s/RJ-Credimoveis-QGC-01082025.pdf</t>
        </is>
      </c>
      <c r="AF405" s="27" t="inlineStr">
        <is>
          <t>p15 r39</t>
        </is>
      </c>
      <c r="AG405" s="27" t="inlineStr">
        <is>
          <t>p15: R$ 406.451,00</t>
        </is>
      </c>
      <c r="AH405" s="27" t="inlineStr">
        <is>
          <t>QGC</t>
        </is>
      </c>
      <c r="AI405" s="27" t="inlineStr">
        <is>
          <t>2026-01-28</t>
        </is>
      </c>
      <c r="AJ405" s="27" t="inlineStr">
        <is>
          <t>OK</t>
        </is>
      </c>
      <c r="AK405" s="29" t="inlineStr">
        <is>
          <t>0007565-40.2020.8.17.2370</t>
        </is>
      </c>
      <c r="AL405" s="29" t="inlineStr">
        <is>
          <t>TJPE</t>
        </is>
      </c>
      <c r="AM405" s="29" t="inlineStr">
        <is>
          <t>ACTIVE</t>
        </is>
      </c>
      <c r="AN405" s="29" t="n">
        <v>2020</v>
      </c>
      <c r="AO405" s="29" t="inlineStr">
        <is>
          <t>6y since filing, no plan document</t>
        </is>
      </c>
      <c r="AP405" s="29" t="inlineStr">
        <is>
          <t>LINHARES</t>
        </is>
      </c>
      <c r="AQ405" s="29" t="inlineStr">
        <is>
          <t>ES</t>
        </is>
      </c>
      <c r="AR405" s="29" t="inlineStr">
        <is>
          <t>Fabricação de móveis com predominância de madeira</t>
        </is>
      </c>
      <c r="AS405" s="29" t="inlineStr">
        <is>
          <t>DEMAIS</t>
        </is>
      </c>
      <c r="AT405" s="29" t="inlineStr">
        <is>
          <t>MID-MARKET</t>
        </is>
      </c>
      <c r="AU405" s="29" t="inlineStr">
        <is>
          <t>28485746</t>
        </is>
      </c>
      <c r="AV405" s="29" t="n">
        <v>1</v>
      </c>
      <c r="AW405" s="29" t="inlineStr">
        <is>
          <t>ROWS:p15r39</t>
        </is>
      </c>
    </row>
    <row r="406">
      <c r="A406" s="15" t="inlineStr">
        <is>
          <t>MV INFORMATICA NORDESTE LTDA</t>
        </is>
      </c>
      <c r="B406" s="16" t="n">
        <v>290787.94</v>
      </c>
      <c r="C406" s="17" t="inlineStr">
        <is>
          <t>HOSPITAL SA</t>
        </is>
      </c>
      <c r="D406" s="18" t="inlineStr">
        <is>
          <t>NEW</t>
        </is>
      </c>
      <c r="E406" s="19" t="inlineStr"/>
      <c r="F406" s="18" t="inlineStr"/>
      <c r="G406" s="19" t="inlineStr"/>
      <c r="H406" s="18" t="inlineStr"/>
      <c r="I406" s="20" t="inlineStr">
        <is>
          <t>LUIZ ANDRE DE CARVALHO</t>
        </is>
      </c>
      <c r="J406" s="20" t="inlineStr">
        <is>
          <t>Administrador</t>
        </is>
      </c>
      <c r="K406" s="20" t="inlineStr">
        <is>
          <t>(81) 3972-7028</t>
        </is>
      </c>
      <c r="L406" s="20" t="inlineStr"/>
      <c r="M406" s="20" t="inlineStr"/>
      <c r="N406" s="20" t="inlineStr"/>
      <c r="O406" s="20" t="inlineStr"/>
      <c r="P406" s="20" t="inlineStr"/>
      <c r="Q406" s="20" t="inlineStr"/>
      <c r="R406" s="20" t="inlineStr"/>
      <c r="S406" s="20" t="inlineStr"/>
      <c r="T406" s="21" t="n">
        <v>290787.94</v>
      </c>
      <c r="U406" s="31" t="inlineStr">
        <is>
          <t>C</t>
        </is>
      </c>
      <c r="V406" s="23">
        <f>IFERROR(VLOOKUP(U406,Assumptions!$A$7:$D$11,2,FALSE),0)</f>
        <v/>
      </c>
      <c r="W406" s="24">
        <f>MAX(0.5,IFERROR(VLOOKUP(U406,Assumptions!$A$7:$D$11,3,FALSE),3)+IFERROR(VLOOKUP(U406,Assumptions!$A$7:$D$11,4,FALSE),8)/2-IF(AN406="",0,YEAR(TODAY())-AN406))</f>
        <v/>
      </c>
      <c r="X406" s="21">
        <f>T406*V406/(1+Assumptions!$B$3)^W406</f>
        <v/>
      </c>
      <c r="Y406" s="25">
        <f>IF(T406=0,"",ROUND(X406/T406*100,1))</f>
        <v/>
      </c>
      <c r="Z406" s="26">
        <f>X406*Assumptions!$B$4</f>
        <v/>
      </c>
      <c r="AA406" s="25">
        <f>IF(T406=0,"",ROUND(Z406/T406*100,1))</f>
        <v/>
      </c>
      <c r="AB406" s="26">
        <f>X406-Z406</f>
        <v/>
      </c>
      <c r="AC406" s="25">
        <f>IF(T406=0,"",ROUND((X406-Z406)/T406*100,1))</f>
        <v/>
      </c>
      <c r="AD406" s="27" t="inlineStr">
        <is>
          <t>UNKNOWN</t>
        </is>
      </c>
      <c r="AE406" s="28" t="inlineStr">
        <is>
          <t>https://ricardobiancardi.com.br/wp-content/uploads/2024/12/Edital-1-relacao-de-credores-pub.-02.12.24-.pdf</t>
        </is>
      </c>
      <c r="AF406" s="27" t="inlineStr">
        <is>
          <t>p5 r3</t>
        </is>
      </c>
      <c r="AG406" s="27" t="inlineStr">
        <is>
          <t>p5: R$ 290.787,94</t>
        </is>
      </c>
      <c r="AH406" s="27" t="inlineStr">
        <is>
          <t>DEBTOR_LIST</t>
        </is>
      </c>
      <c r="AI406" s="27" t="inlineStr">
        <is>
          <t>2024-12-02</t>
        </is>
      </c>
      <c r="AJ406" s="27" t="inlineStr">
        <is>
          <t>OK_NO_TOTALS</t>
        </is>
      </c>
      <c r="AK406" s="29" t="inlineStr">
        <is>
          <t>0041309-42.2014.8.08.0024</t>
        </is>
      </c>
      <c r="AL406" s="29" t="inlineStr">
        <is>
          <t>TJ</t>
        </is>
      </c>
      <c r="AM406" s="29" t="inlineStr"/>
      <c r="AN406" s="29" t="n">
        <v>2014</v>
      </c>
      <c r="AO406" s="29" t="inlineStr">
        <is>
          <t>12y since filing, no plan document</t>
        </is>
      </c>
      <c r="AP406" s="29" t="inlineStr">
        <is>
          <t>PORTO ALEGRE</t>
        </is>
      </c>
      <c r="AQ406" s="29" t="inlineStr">
        <is>
          <t>RS</t>
        </is>
      </c>
      <c r="AR406" s="29" t="inlineStr">
        <is>
          <t>Desenvolvimento e licenciamento de programas de computador customizáveis</t>
        </is>
      </c>
      <c r="AS406" s="29" t="inlineStr">
        <is>
          <t>DEMAIS</t>
        </is>
      </c>
      <c r="AT406" s="29" t="inlineStr">
        <is>
          <t>MID-MARKET</t>
        </is>
      </c>
      <c r="AU406" s="29" t="inlineStr">
        <is>
          <t>92306257</t>
        </is>
      </c>
      <c r="AV406" s="29" t="n">
        <v>1</v>
      </c>
      <c r="AW406" s="29" t="inlineStr">
        <is>
          <t>ROWS:p5r3 UNRECONCILED_SOURCE</t>
        </is>
      </c>
    </row>
    <row r="407">
      <c r="A407" s="15" t="inlineStr">
        <is>
          <t>BRIDGESTONE DO BRASIL INDUSTRIA E COMERCIO LTDA.</t>
        </is>
      </c>
      <c r="B407" s="16" t="n">
        <v>741870.48</v>
      </c>
      <c r="C407" s="17" t="inlineStr"/>
      <c r="D407" s="18" t="inlineStr">
        <is>
          <t>NEW</t>
        </is>
      </c>
      <c r="E407" s="19" t="inlineStr"/>
      <c r="F407" s="18" t="inlineStr"/>
      <c r="G407" s="19" t="inlineStr"/>
      <c r="H407" s="18" t="inlineStr"/>
      <c r="I407" s="20" t="inlineStr">
        <is>
          <t>CARLOS LEONARDO RODRIGUES BOAVENTURA</t>
        </is>
      </c>
      <c r="J407" s="20" t="inlineStr">
        <is>
          <t>Administrador</t>
        </is>
      </c>
      <c r="K407" s="20" t="inlineStr">
        <is>
          <t>(11) 3636-1012</t>
        </is>
      </c>
      <c r="L407" s="20" t="inlineStr"/>
      <c r="M407" s="20" t="inlineStr"/>
      <c r="N407" s="20" t="inlineStr"/>
      <c r="O407" s="20" t="inlineStr"/>
      <c r="P407" s="20" t="inlineStr">
        <is>
          <t>DANILO DUARTE ZANI</t>
        </is>
      </c>
      <c r="Q407" s="20" t="inlineStr">
        <is>
          <t>Administrador</t>
        </is>
      </c>
      <c r="R407" s="20" t="inlineStr">
        <is>
          <t>(11) 3636-1012</t>
        </is>
      </c>
      <c r="S407" s="20" t="inlineStr"/>
      <c r="T407" s="21" t="n">
        <v>741870.48</v>
      </c>
      <c r="U407" s="30" t="inlineStr">
        <is>
          <t>?</t>
        </is>
      </c>
      <c r="V407" s="23">
        <f>IFERROR(VLOOKUP(U407,Assumptions!$A$7:$D$11,2,FALSE),0)</f>
        <v/>
      </c>
      <c r="W407" s="24">
        <f>MAX(0.5,IFERROR(VLOOKUP(U407,Assumptions!$A$7:$D$11,3,FALSE),3)+IFERROR(VLOOKUP(U407,Assumptions!$A$7:$D$11,4,FALSE),8)/2-IF(AN407="",0,YEAR(TODAY())-AN407))</f>
        <v/>
      </c>
      <c r="X407" s="21">
        <f>T407*V407/(1+Assumptions!$B$3)^W407</f>
        <v/>
      </c>
      <c r="Y407" s="25">
        <f>IF(T407=0,"",ROUND(X407/T407*100,1))</f>
        <v/>
      </c>
      <c r="Z407" s="26">
        <f>X407*Assumptions!$B$4</f>
        <v/>
      </c>
      <c r="AA407" s="25">
        <f>IF(T407=0,"",ROUND(Z407/T407*100,1))</f>
        <v/>
      </c>
      <c r="AB407" s="26">
        <f>X407-Z407</f>
        <v/>
      </c>
      <c r="AC407" s="25">
        <f>IF(T407=0,"",ROUND((X407-Z407)/T407*100,1))</f>
        <v/>
      </c>
      <c r="AD407" s="27" t="inlineStr">
        <is>
          <t>UNKNOWN</t>
        </is>
      </c>
      <c r="AE407" s="28" t="inlineStr">
        <is>
          <t>https://ajruiz.com.br/sites/default/files/public/arquivos-processos/2023-11/4_relacao_de_credores_analitica_art._51_iii_da_lre.pdf</t>
        </is>
      </c>
      <c r="AF407" s="27" t="inlineStr">
        <is>
          <t>p2 r22</t>
        </is>
      </c>
      <c r="AG407" s="27" t="inlineStr">
        <is>
          <t>p2: R$ 741.870,48</t>
        </is>
      </c>
      <c r="AH407" s="27" t="inlineStr">
        <is>
          <t>UNKNOWN</t>
        </is>
      </c>
      <c r="AI407" s="27" t="inlineStr"/>
      <c r="AJ407" s="27" t="inlineStr">
        <is>
          <t>OK</t>
        </is>
      </c>
      <c r="AK407" s="29" t="inlineStr">
        <is>
          <t>(not printed)</t>
        </is>
      </c>
      <c r="AL407" s="29" t="inlineStr"/>
      <c r="AM407" s="29" t="inlineStr"/>
      <c r="AN407" s="29" t="inlineStr"/>
      <c r="AO407" s="29" t="inlineStr">
        <is>
          <t>RJ case number not identified on the document</t>
        </is>
      </c>
      <c r="AP407" s="29" t="inlineStr">
        <is>
          <t>SANTO ANDRE</t>
        </is>
      </c>
      <c r="AQ407" s="29" t="inlineStr">
        <is>
          <t>SP</t>
        </is>
      </c>
      <c r="AR407" s="29" t="inlineStr">
        <is>
          <t>Fabricação de pneumáticos e de câmaras-de-ar</t>
        </is>
      </c>
      <c r="AS407" s="29" t="inlineStr">
        <is>
          <t>DEMAIS</t>
        </is>
      </c>
      <c r="AT407" s="29" t="inlineStr">
        <is>
          <t>LARGE CORP</t>
        </is>
      </c>
      <c r="AU407" s="29" t="inlineStr">
        <is>
          <t>57497539</t>
        </is>
      </c>
      <c r="AV407" s="29" t="n">
        <v>1</v>
      </c>
      <c r="AW407" s="29" t="inlineStr">
        <is>
          <t>ALT_VALUE:FORNECEDORES ROWS:p2r22 VALUE_COL:Valor_Do_Crédito CASE_NUMBER_CORRECTED</t>
        </is>
      </c>
    </row>
    <row r="408">
      <c r="A408" s="15" t="inlineStr">
        <is>
          <t>TEXTIL J SERRANO LTDA</t>
        </is>
      </c>
      <c r="B408" s="16" t="n">
        <v>288472.7</v>
      </c>
      <c r="C408" s="17" t="inlineStr"/>
      <c r="D408" s="18" t="inlineStr">
        <is>
          <t>NEW</t>
        </is>
      </c>
      <c r="E408" s="19" t="inlineStr"/>
      <c r="F408" s="18" t="inlineStr"/>
      <c r="G408" s="19" t="inlineStr"/>
      <c r="H408" s="18" t="inlineStr"/>
      <c r="I408" s="20" t="inlineStr">
        <is>
          <t>MIGUEL NAFFAH PEREZ</t>
        </is>
      </c>
      <c r="J408" s="20" t="inlineStr">
        <is>
          <t>Administrador</t>
        </is>
      </c>
      <c r="K408" s="20" t="inlineStr">
        <is>
          <t>(11) 3811-4300</t>
        </is>
      </c>
      <c r="L408" s="20" t="inlineStr"/>
      <c r="M408" s="20" t="inlineStr"/>
      <c r="N408" s="20" t="inlineStr"/>
      <c r="O408" s="20" t="inlineStr"/>
      <c r="P408" s="20" t="inlineStr"/>
      <c r="Q408" s="20" t="inlineStr"/>
      <c r="R408" s="20" t="inlineStr"/>
      <c r="S408" s="20" t="inlineStr"/>
      <c r="T408" s="21" t="n">
        <v>288472.7</v>
      </c>
      <c r="U408" s="31" t="inlineStr">
        <is>
          <t>C</t>
        </is>
      </c>
      <c r="V408" s="23">
        <f>IFERROR(VLOOKUP(U408,Assumptions!$A$7:$D$11,2,FALSE),0)</f>
        <v/>
      </c>
      <c r="W408" s="24">
        <f>MAX(0.5,IFERROR(VLOOKUP(U408,Assumptions!$A$7:$D$11,3,FALSE),3)+IFERROR(VLOOKUP(U408,Assumptions!$A$7:$D$11,4,FALSE),8)/2-IF(AN408="",0,YEAR(TODAY())-AN408))</f>
        <v/>
      </c>
      <c r="X408" s="21">
        <f>T408*V408/(1+Assumptions!$B$3)^W408</f>
        <v/>
      </c>
      <c r="Y408" s="25">
        <f>IF(T408=0,"",ROUND(X408/T408*100,1))</f>
        <v/>
      </c>
      <c r="Z408" s="26">
        <f>X408*Assumptions!$B$4</f>
        <v/>
      </c>
      <c r="AA408" s="25">
        <f>IF(T408=0,"",ROUND(Z408/T408*100,1))</f>
        <v/>
      </c>
      <c r="AB408" s="26">
        <f>X408-Z408</f>
        <v/>
      </c>
      <c r="AC408" s="25">
        <f>IF(T408=0,"",ROUND((X408-Z408)/T408*100,1))</f>
        <v/>
      </c>
      <c r="AD408" s="27" t="inlineStr">
        <is>
          <t>UNKNOWN</t>
        </is>
      </c>
      <c r="AE408" s="28" t="inlineStr">
        <is>
          <t>https://administradorajudicialgs.com.br/wp-content/uploads/2024/12/relacao-de-credores-da-falida.pdf</t>
        </is>
      </c>
      <c r="AF408" s="27" t="inlineStr">
        <is>
          <t>p18 r63</t>
        </is>
      </c>
      <c r="AG408" s="27" t="inlineStr">
        <is>
          <t>p18: R$ 288.472,70</t>
        </is>
      </c>
      <c r="AH408" s="27" t="inlineStr">
        <is>
          <t>UNKNOWN</t>
        </is>
      </c>
      <c r="AI408" s="27" t="inlineStr">
        <is>
          <t>2025-03-25</t>
        </is>
      </c>
      <c r="AJ408" s="27" t="inlineStr">
        <is>
          <t>OK_NO_TOTALS</t>
        </is>
      </c>
      <c r="AK408" s="29" t="inlineStr">
        <is>
          <t>0005010-50.2013.8.24.0026</t>
        </is>
      </c>
      <c r="AL408" s="29" t="inlineStr">
        <is>
          <t>TJ</t>
        </is>
      </c>
      <c r="AM408" s="29" t="inlineStr"/>
      <c r="AN408" s="29" t="n">
        <v>2013</v>
      </c>
      <c r="AO408" s="29" t="inlineStr">
        <is>
          <t>13y since filing, no plan document</t>
        </is>
      </c>
      <c r="AP408" s="29" t="inlineStr">
        <is>
          <t>SAO PAULO</t>
        </is>
      </c>
      <c r="AQ408" s="29" t="inlineStr">
        <is>
          <t>SP</t>
        </is>
      </c>
      <c r="AR408" s="29" t="inlineStr">
        <is>
          <t>Serviços combinados de escritório e apoio administrativo</t>
        </is>
      </c>
      <c r="AS408" s="29" t="inlineStr">
        <is>
          <t>DEMAIS</t>
        </is>
      </c>
      <c r="AT408" s="29" t="inlineStr">
        <is>
          <t>LARGE CORP</t>
        </is>
      </c>
      <c r="AU408" s="29" t="inlineStr">
        <is>
          <t>49870173</t>
        </is>
      </c>
      <c r="AV408" s="29" t="n">
        <v>1</v>
      </c>
      <c r="AW408" s="29" t="inlineStr">
        <is>
          <t>ROWS:p18r63 UNRECONCILED_SOURCE</t>
        </is>
      </c>
    </row>
    <row r="409">
      <c r="A409" s="15" t="inlineStr">
        <is>
          <t>VITAMEDIC INDUSTRIA FARMACEUTICA LTDA</t>
        </is>
      </c>
      <c r="B409" s="16" t="n">
        <v>250921.84</v>
      </c>
      <c r="C409" s="17" t="inlineStr">
        <is>
          <t>VEV COMERCIO DE MEDICAMENTOS LTDA EM RECUPERACAO JUDICIAL</t>
        </is>
      </c>
      <c r="D409" s="18" t="inlineStr">
        <is>
          <t>NEW</t>
        </is>
      </c>
      <c r="E409" s="19" t="inlineStr"/>
      <c r="F409" s="18" t="inlineStr"/>
      <c r="G409" s="19" t="inlineStr"/>
      <c r="H409" s="18" t="inlineStr"/>
      <c r="I409" s="20" t="inlineStr">
        <is>
          <t>JOSE ALVES FILHO</t>
        </is>
      </c>
      <c r="J409" s="20" t="inlineStr">
        <is>
          <t>Administrador</t>
        </is>
      </c>
      <c r="K409" s="20" t="inlineStr">
        <is>
          <t>(62) 3902-6100</t>
        </is>
      </c>
      <c r="L409" s="20" t="inlineStr">
        <is>
          <t>(62) 3902-6134</t>
        </is>
      </c>
      <c r="M409" s="20" t="inlineStr"/>
      <c r="N409" s="20" t="inlineStr"/>
      <c r="O409" s="20" t="inlineStr"/>
      <c r="P409" s="20" t="inlineStr"/>
      <c r="Q409" s="20" t="inlineStr"/>
      <c r="R409" s="20" t="inlineStr"/>
      <c r="S409" s="20" t="inlineStr"/>
      <c r="T409" s="21" t="n">
        <v>250921.84</v>
      </c>
      <c r="U409" s="22" t="inlineStr">
        <is>
          <t>B</t>
        </is>
      </c>
      <c r="V409" s="23">
        <f>IFERROR(VLOOKUP(U409,Assumptions!$A$7:$D$11,2,FALSE),0)</f>
        <v/>
      </c>
      <c r="W409" s="24">
        <f>MAX(0.5,IFERROR(VLOOKUP(U409,Assumptions!$A$7:$D$11,3,FALSE),3)+IFERROR(VLOOKUP(U409,Assumptions!$A$7:$D$11,4,FALSE),8)/2-IF(AN409="",0,YEAR(TODAY())-AN409))</f>
        <v/>
      </c>
      <c r="X409" s="21">
        <f>T409*V409/(1+Assumptions!$B$3)^W409</f>
        <v/>
      </c>
      <c r="Y409" s="25">
        <f>IF(T409=0,"",ROUND(X409/T409*100,1))</f>
        <v/>
      </c>
      <c r="Z409" s="26">
        <f>X409*Assumptions!$B$4</f>
        <v/>
      </c>
      <c r="AA409" s="25">
        <f>IF(T409=0,"",ROUND(Z409/T409*100,1))</f>
        <v/>
      </c>
      <c r="AB409" s="26">
        <f>X409-Z409</f>
        <v/>
      </c>
      <c r="AC409" s="25">
        <f>IF(T409=0,"",ROUND((X409-Z409)/T409*100,1))</f>
        <v/>
      </c>
      <c r="AD409" s="27" t="inlineStr">
        <is>
          <t>ESTIMATED</t>
        </is>
      </c>
      <c r="AE409" s="28" t="inlineStr">
        <is>
          <t>https://marquesadmjudicial.com.br/sgc/download.php?file=files/processo_documento/processo_documento15293208032024_1_.pdf&amp;nome=Relação Nominal de Credores da AJ-Sintética</t>
        </is>
      </c>
      <c r="AF409" s="27" t="inlineStr">
        <is>
          <t>p32 r9</t>
        </is>
      </c>
      <c r="AG409" s="27" t="inlineStr">
        <is>
          <t>p32: R$ 250.921,84</t>
        </is>
      </c>
      <c r="AH409" s="27" t="inlineStr">
        <is>
          <t>AJ_LIST</t>
        </is>
      </c>
      <c r="AI409" s="27" t="inlineStr">
        <is>
          <t>2023-03-02</t>
        </is>
      </c>
      <c r="AJ409" s="27" t="inlineStr">
        <is>
          <t>QUARANTINED</t>
        </is>
      </c>
      <c r="AK409" s="29" t="inlineStr">
        <is>
          <t>0005010-98.2023.8.16.0001</t>
        </is>
      </c>
      <c r="AL409" s="29" t="inlineStr">
        <is>
          <t>TJPR</t>
        </is>
      </c>
      <c r="AM409" s="29" t="inlineStr">
        <is>
          <t>ACTIVE</t>
        </is>
      </c>
      <c r="AN409" s="29" t="n">
        <v>2023</v>
      </c>
      <c r="AO409" s="29" t="inlineStr">
        <is>
          <t>live case, no plan document yet</t>
        </is>
      </c>
      <c r="AP409" s="29" t="inlineStr">
        <is>
          <t>ANAPOLIS</t>
        </is>
      </c>
      <c r="AQ409" s="29" t="inlineStr">
        <is>
          <t>GO</t>
        </is>
      </c>
      <c r="AR409" s="29" t="inlineStr">
        <is>
          <t>Fabricação de medicamentos alopáticos para uso humano</t>
        </is>
      </c>
      <c r="AS409" s="29" t="inlineStr">
        <is>
          <t>DEMAIS</t>
        </is>
      </c>
      <c r="AT409" s="29" t="inlineStr">
        <is>
          <t>LARGE CORP</t>
        </is>
      </c>
      <c r="AU409" s="29" t="inlineStr">
        <is>
          <t>30222814</t>
        </is>
      </c>
      <c r="AV409" s="29" t="n">
        <v>1</v>
      </c>
      <c r="AW409" s="29" t="inlineStr">
        <is>
          <t>PARTIAL_DOC_CLASS_III_RECONCILED ROWS:p32r9</t>
        </is>
      </c>
    </row>
    <row r="410">
      <c r="A410" s="15" t="inlineStr">
        <is>
          <t>PLASKEM EMBALAGENS LTDA</t>
        </is>
      </c>
      <c r="B410" s="16" t="n">
        <v>286961.94</v>
      </c>
      <c r="C410" s="17" t="inlineStr">
        <is>
          <t>AGROPECUÁRIA SERROTE REDONDO – LRF Líderes em Recuperação Judicial e Falência</t>
        </is>
      </c>
      <c r="D410" s="18" t="inlineStr">
        <is>
          <t>NEW</t>
        </is>
      </c>
      <c r="E410" s="19" t="inlineStr"/>
      <c r="F410" s="18" t="inlineStr"/>
      <c r="G410" s="19" t="inlineStr"/>
      <c r="H410" s="18" t="inlineStr"/>
      <c r="I410" s="20" t="inlineStr">
        <is>
          <t>AUGUSTO FERNANDO NUNES OLIVEIRA</t>
        </is>
      </c>
      <c r="J410" s="20" t="inlineStr">
        <is>
          <t>Sócio-Administrador</t>
        </is>
      </c>
      <c r="K410" s="20" t="inlineStr">
        <is>
          <t>(71) 3186-0354</t>
        </is>
      </c>
      <c r="L410" s="20" t="inlineStr"/>
      <c r="M410" s="20" t="inlineStr"/>
      <c r="N410" s="20" t="inlineStr"/>
      <c r="O410" s="20" t="inlineStr"/>
      <c r="P410" s="20" t="inlineStr"/>
      <c r="Q410" s="20" t="inlineStr"/>
      <c r="R410" s="20" t="inlineStr"/>
      <c r="S410" s="20" t="inlineStr"/>
      <c r="T410" s="21" t="n">
        <v>286961.94</v>
      </c>
      <c r="U410" s="31" t="inlineStr">
        <is>
          <t>C</t>
        </is>
      </c>
      <c r="V410" s="23">
        <f>IFERROR(VLOOKUP(U410,Assumptions!$A$7:$D$11,2,FALSE),0)</f>
        <v/>
      </c>
      <c r="W410" s="24">
        <f>MAX(0.5,IFERROR(VLOOKUP(U410,Assumptions!$A$7:$D$11,3,FALSE),3)+IFERROR(VLOOKUP(U410,Assumptions!$A$7:$D$11,4,FALSE),8)/2-IF(AN410="",0,YEAR(TODAY())-AN410))</f>
        <v/>
      </c>
      <c r="X410" s="21">
        <f>T410*V410/(1+Assumptions!$B$3)^W410</f>
        <v/>
      </c>
      <c r="Y410" s="25">
        <f>IF(T410=0,"",ROUND(X410/T410*100,1))</f>
        <v/>
      </c>
      <c r="Z410" s="26">
        <f>X410*Assumptions!$B$4</f>
        <v/>
      </c>
      <c r="AA410" s="25">
        <f>IF(T410=0,"",ROUND(Z410/T410*100,1))</f>
        <v/>
      </c>
      <c r="AB410" s="26">
        <f>X410-Z410</f>
        <v/>
      </c>
      <c r="AC410" s="25">
        <f>IF(T410=0,"",ROUND((X410-Z410)/T410*100,1))</f>
        <v/>
      </c>
      <c r="AD410" s="27" t="inlineStr">
        <is>
          <t>UNKNOWN</t>
        </is>
      </c>
      <c r="AE410" s="28" t="inlineStr">
        <is>
          <t>https://lrflideres.com.br/wp-content/plugins/download-attachments/includes/download.php?id=5001</t>
        </is>
      </c>
      <c r="AF410" s="27" t="inlineStr">
        <is>
          <t>p3 r15</t>
        </is>
      </c>
      <c r="AG410" s="27" t="inlineStr">
        <is>
          <t>p3: R$ 286.961,94</t>
        </is>
      </c>
      <c r="AH410" s="27" t="inlineStr">
        <is>
          <t>UNKNOWN</t>
        </is>
      </c>
      <c r="AI410" s="27" t="inlineStr"/>
      <c r="AJ410" s="27" t="inlineStr">
        <is>
          <t>OK</t>
        </is>
      </c>
      <c r="AK410" s="29" t="inlineStr">
        <is>
          <t>0000206-69.2013.8.17.1340</t>
        </is>
      </c>
      <c r="AL410" s="29" t="inlineStr">
        <is>
          <t>TJ</t>
        </is>
      </c>
      <c r="AM410" s="29" t="inlineStr"/>
      <c r="AN410" s="29" t="n">
        <v>2013</v>
      </c>
      <c r="AO410" s="29" t="inlineStr">
        <is>
          <t>13y since filing, no plan document</t>
        </is>
      </c>
      <c r="AP410" s="29" t="inlineStr">
        <is>
          <t>LAURO DE FREITAS</t>
        </is>
      </c>
      <c r="AQ410" s="29" t="inlineStr">
        <is>
          <t>BA</t>
        </is>
      </c>
      <c r="AR410" s="29" t="inlineStr">
        <is>
          <t>Fabricação de embalagens de material plástico</t>
        </is>
      </c>
      <c r="AS410" s="29" t="inlineStr">
        <is>
          <t>DEMAIS</t>
        </is>
      </c>
      <c r="AT410" s="29" t="inlineStr">
        <is>
          <t>MID-MARKET</t>
        </is>
      </c>
      <c r="AU410" s="29" t="inlineStr">
        <is>
          <t>05052443</t>
        </is>
      </c>
      <c r="AV410" s="29" t="n">
        <v>1</v>
      </c>
      <c r="AW410" s="29" t="inlineStr">
        <is>
          <t>ALT_VALUE:286.961,94 ROWS:p3r15</t>
        </is>
      </c>
    </row>
    <row r="411">
      <c r="A411" s="15" t="inlineStr">
        <is>
          <t>GREEN PLACE COMERCIO E DISTRIBUICAO LTDA</t>
        </is>
      </c>
      <c r="B411" s="16" t="n">
        <v>488225</v>
      </c>
      <c r="C411" s="17" t="inlineStr"/>
      <c r="D411" s="18" t="inlineStr">
        <is>
          <t>NEW</t>
        </is>
      </c>
      <c r="E411" s="19" t="inlineStr"/>
      <c r="F411" s="18" t="inlineStr"/>
      <c r="G411" s="19" t="inlineStr"/>
      <c r="H411" s="18" t="inlineStr"/>
      <c r="I411" s="20" t="inlineStr">
        <is>
          <t>MARCELO PERES</t>
        </is>
      </c>
      <c r="J411" s="20" t="inlineStr">
        <is>
          <t>Administrador</t>
        </is>
      </c>
      <c r="K411" s="20" t="inlineStr">
        <is>
          <t>(11) 2372-2376</t>
        </is>
      </c>
      <c r="L411" s="20" t="inlineStr"/>
      <c r="M411" s="20" t="inlineStr"/>
      <c r="N411" s="20" t="inlineStr"/>
      <c r="O411" s="20" t="inlineStr"/>
      <c r="P411" s="20" t="inlineStr"/>
      <c r="Q411" s="20" t="inlineStr"/>
      <c r="R411" s="20" t="inlineStr"/>
      <c r="S411" s="20" t="inlineStr"/>
      <c r="T411" s="21" t="n">
        <v>488225</v>
      </c>
      <c r="U411" s="22" t="inlineStr">
        <is>
          <t>B</t>
        </is>
      </c>
      <c r="V411" s="23">
        <f>IFERROR(VLOOKUP(U411,Assumptions!$A$7:$D$11,2,FALSE),0)</f>
        <v/>
      </c>
      <c r="W411" s="24">
        <f>MAX(0.5,IFERROR(VLOOKUP(U411,Assumptions!$A$7:$D$11,3,FALSE),3)+IFERROR(VLOOKUP(U411,Assumptions!$A$7:$D$11,4,FALSE),8)/2-IF(AN411="",0,YEAR(TODAY())-AN411))</f>
        <v/>
      </c>
      <c r="X411" s="21">
        <f>T411*V411/(1+Assumptions!$B$3)^W411</f>
        <v/>
      </c>
      <c r="Y411" s="25">
        <f>IF(T411=0,"",ROUND(X411/T411*100,1))</f>
        <v/>
      </c>
      <c r="Z411" s="26">
        <f>X411*Assumptions!$B$4</f>
        <v/>
      </c>
      <c r="AA411" s="25">
        <f>IF(T411=0,"",ROUND(Z411/T411*100,1))</f>
        <v/>
      </c>
      <c r="AB411" s="26">
        <f>X411-Z411</f>
        <v/>
      </c>
      <c r="AC411" s="25">
        <f>IF(T411=0,"",ROUND((X411-Z411)/T411*100,1))</f>
        <v/>
      </c>
      <c r="AD411" s="27" t="inlineStr">
        <is>
          <t>ESTIMATED</t>
        </is>
      </c>
      <c r="AE411" s="28" t="inlineStr">
        <is>
          <t>https://scalzilliaj.com.br/sgc/download.php?file=files/processo_documento/processo_documento11421222052026_1_.pdf&amp;nome=08. Lista de credores do edital do art. 52, §1º da LREF</t>
        </is>
      </c>
      <c r="AF411" s="27" t="inlineStr">
        <is>
          <t>p4 r7</t>
        </is>
      </c>
      <c r="AG411" s="27" t="inlineStr">
        <is>
          <t>p4: R$ 488.225,00</t>
        </is>
      </c>
      <c r="AH411" s="27" t="inlineStr">
        <is>
          <t>UNKNOWN</t>
        </is>
      </c>
      <c r="AI411" s="27" t="inlineStr"/>
      <c r="AJ411" s="27" t="inlineStr">
        <is>
          <t>OK_NO_TOTALS</t>
        </is>
      </c>
      <c r="AK411" s="29" t="inlineStr">
        <is>
          <t>5011369-81.2026.8.09.0093</t>
        </is>
      </c>
      <c r="AL411" s="29" t="inlineStr">
        <is>
          <t>TJGO</t>
        </is>
      </c>
      <c r="AM411" s="29" t="inlineStr">
        <is>
          <t>ACTIVE</t>
        </is>
      </c>
      <c r="AN411" s="29" t="n">
        <v>2026</v>
      </c>
      <c r="AO411" s="29" t="inlineStr">
        <is>
          <t>live case, no plan document yet</t>
        </is>
      </c>
      <c r="AP411" s="29" t="inlineStr">
        <is>
          <t>SAO PAULO</t>
        </is>
      </c>
      <c r="AQ411" s="29" t="inlineStr">
        <is>
          <t>SP</t>
        </is>
      </c>
      <c r="AR411" s="29" t="inlineStr">
        <is>
          <t>Comércio atacadista de defensivos agrícolas, adubos, fertilizantes e corretivos do solo</t>
        </is>
      </c>
      <c r="AS411" s="29" t="inlineStr">
        <is>
          <t>DEMAIS</t>
        </is>
      </c>
      <c r="AT411" s="29" t="inlineStr">
        <is>
          <t>MID-MARKET</t>
        </is>
      </c>
      <c r="AU411" s="29" t="inlineStr">
        <is>
          <t>26401815</t>
        </is>
      </c>
      <c r="AV411" s="29" t="n">
        <v>1</v>
      </c>
      <c r="AW411" s="29" t="inlineStr">
        <is>
          <t>ROWS:p4r7 UNRECONCILED_SOURCE</t>
        </is>
      </c>
    </row>
    <row r="412">
      <c r="A412" s="15" t="inlineStr">
        <is>
          <t>QUINTAL TEXTIL AMERICANA LTDA</t>
        </is>
      </c>
      <c r="B412" s="16" t="n">
        <v>285719.32</v>
      </c>
      <c r="C412" s="17" t="inlineStr"/>
      <c r="D412" s="18" t="inlineStr">
        <is>
          <t>NEW</t>
        </is>
      </c>
      <c r="E412" s="19" t="inlineStr"/>
      <c r="F412" s="18" t="inlineStr"/>
      <c r="G412" s="19" t="inlineStr"/>
      <c r="H412" s="18" t="inlineStr"/>
      <c r="I412" s="20" t="inlineStr">
        <is>
          <t>BIANCA CAROLINA QUINTAL CHEGATTI</t>
        </is>
      </c>
      <c r="J412" s="20" t="inlineStr">
        <is>
          <t>Sócio-Administrador</t>
        </is>
      </c>
      <c r="K412" s="20" t="inlineStr">
        <is>
          <t>(19) 3012-3083</t>
        </is>
      </c>
      <c r="L412" s="20" t="inlineStr"/>
      <c r="M412" s="20" t="inlineStr"/>
      <c r="N412" s="20" t="inlineStr"/>
      <c r="O412" s="20" t="inlineStr"/>
      <c r="P412" s="20" t="inlineStr">
        <is>
          <t>IVAN FERNANDO QUINTAL</t>
        </is>
      </c>
      <c r="Q412" s="20" t="inlineStr">
        <is>
          <t>Sócio-Administrador</t>
        </is>
      </c>
      <c r="R412" s="20" t="inlineStr">
        <is>
          <t>(19) 3012-3083</t>
        </is>
      </c>
      <c r="S412" s="20" t="inlineStr"/>
      <c r="T412" s="21" t="n">
        <v>285719.32</v>
      </c>
      <c r="U412" s="31" t="inlineStr">
        <is>
          <t>C</t>
        </is>
      </c>
      <c r="V412" s="23">
        <f>IFERROR(VLOOKUP(U412,Assumptions!$A$7:$D$11,2,FALSE),0)</f>
        <v/>
      </c>
      <c r="W412" s="24">
        <f>MAX(0.5,IFERROR(VLOOKUP(U412,Assumptions!$A$7:$D$11,3,FALSE),3)+IFERROR(VLOOKUP(U412,Assumptions!$A$7:$D$11,4,FALSE),8)/2-IF(AN412="",0,YEAR(TODAY())-AN412))</f>
        <v/>
      </c>
      <c r="X412" s="21">
        <f>T412*V412/(1+Assumptions!$B$3)^W412</f>
        <v/>
      </c>
      <c r="Y412" s="25">
        <f>IF(T412=0,"",ROUND(X412/T412*100,1))</f>
        <v/>
      </c>
      <c r="Z412" s="26">
        <f>X412*Assumptions!$B$4</f>
        <v/>
      </c>
      <c r="AA412" s="25">
        <f>IF(T412=0,"",ROUND(Z412/T412*100,1))</f>
        <v/>
      </c>
      <c r="AB412" s="26">
        <f>X412-Z412</f>
        <v/>
      </c>
      <c r="AC412" s="25">
        <f>IF(T412=0,"",ROUND((X412-Z412)/T412*100,1))</f>
        <v/>
      </c>
      <c r="AD412" s="27" t="inlineStr">
        <is>
          <t>UNKNOWN</t>
        </is>
      </c>
      <c r="AE412" s="28" t="inlineStr">
        <is>
          <t>https://administradorajudicialgs.com.br/wp-content/uploads/2024/12/relacao-de-credores-da-falida.pdf</t>
        </is>
      </c>
      <c r="AF412" s="27" t="inlineStr">
        <is>
          <t>p17 r53</t>
        </is>
      </c>
      <c r="AG412" s="27" t="inlineStr">
        <is>
          <t>p17: R$ 285.719,32</t>
        </is>
      </c>
      <c r="AH412" s="27" t="inlineStr">
        <is>
          <t>UNKNOWN</t>
        </is>
      </c>
      <c r="AI412" s="27" t="inlineStr">
        <is>
          <t>2025-03-25</t>
        </is>
      </c>
      <c r="AJ412" s="27" t="inlineStr">
        <is>
          <t>OK_NO_TOTALS</t>
        </is>
      </c>
      <c r="AK412" s="29" t="inlineStr">
        <is>
          <t>0005010-50.2013.8.24.0026</t>
        </is>
      </c>
      <c r="AL412" s="29" t="inlineStr">
        <is>
          <t>TJ</t>
        </is>
      </c>
      <c r="AM412" s="29" t="inlineStr"/>
      <c r="AN412" s="29" t="n">
        <v>2013</v>
      </c>
      <c r="AO412" s="29" t="inlineStr">
        <is>
          <t>13y since filing, no plan document</t>
        </is>
      </c>
      <c r="AP412" s="29" t="inlineStr">
        <is>
          <t>AMERICANA</t>
        </is>
      </c>
      <c r="AQ412" s="29" t="inlineStr">
        <is>
          <t>SP</t>
        </is>
      </c>
      <c r="AR412" s="29" t="inlineStr">
        <is>
          <t>Fabricação de artefatos têxteis para uso doméstico</t>
        </is>
      </c>
      <c r="AS412" s="29" t="inlineStr">
        <is>
          <t>EMPRESA DE PEQUENO PORTE</t>
        </is>
      </c>
      <c r="AT412" s="29" t="inlineStr">
        <is>
          <t>SMALL</t>
        </is>
      </c>
      <c r="AU412" s="29" t="inlineStr">
        <is>
          <t>03413865</t>
        </is>
      </c>
      <c r="AV412" s="29" t="n">
        <v>1</v>
      </c>
      <c r="AW412" s="29" t="inlineStr">
        <is>
          <t>ROWS:p17r53 UNRECONCILED_SOURCE</t>
        </is>
      </c>
    </row>
    <row r="413">
      <c r="A413" s="15" t="inlineStr">
        <is>
          <t>NATIVA PRODUTOS AGRICOLAS LTDA</t>
        </is>
      </c>
      <c r="B413" s="16" t="n">
        <v>310314.83</v>
      </c>
      <c r="C413" s="17" t="inlineStr"/>
      <c r="D413" s="18" t="inlineStr">
        <is>
          <t>NEW</t>
        </is>
      </c>
      <c r="E413" s="19" t="inlineStr"/>
      <c r="F413" s="18" t="inlineStr"/>
      <c r="G413" s="19" t="inlineStr"/>
      <c r="H413" s="18" t="inlineStr"/>
      <c r="I413" s="20" t="inlineStr">
        <is>
          <t>ALTAIR ZANELLA</t>
        </is>
      </c>
      <c r="J413" s="20" t="inlineStr">
        <is>
          <t>Sócio-Administrador</t>
        </is>
      </c>
      <c r="K413" s="20" t="inlineStr">
        <is>
          <t>(46) 3220-2442</t>
        </is>
      </c>
      <c r="L413" s="20" t="inlineStr"/>
      <c r="M413" s="20" t="inlineStr"/>
      <c r="N413" s="20" t="inlineStr"/>
      <c r="O413" s="20" t="inlineStr"/>
      <c r="P413" s="20" t="inlineStr">
        <is>
          <t>JEANPPIERE CIGOLINI</t>
        </is>
      </c>
      <c r="Q413" s="20" t="inlineStr">
        <is>
          <t>Sócio-Administrador</t>
        </is>
      </c>
      <c r="R413" s="20" t="inlineStr">
        <is>
          <t>(46) 3220-2442</t>
        </is>
      </c>
      <c r="S413" s="20" t="inlineStr"/>
      <c r="T413" s="21" t="n">
        <v>310314.83</v>
      </c>
      <c r="U413" s="22" t="inlineStr">
        <is>
          <t>B</t>
        </is>
      </c>
      <c r="V413" s="23">
        <f>IFERROR(VLOOKUP(U413,Assumptions!$A$7:$D$11,2,FALSE),0)</f>
        <v/>
      </c>
      <c r="W413" s="24">
        <f>MAX(0.5,IFERROR(VLOOKUP(U413,Assumptions!$A$7:$D$11,3,FALSE),3)+IFERROR(VLOOKUP(U413,Assumptions!$A$7:$D$11,4,FALSE),8)/2-IF(AN413="",0,YEAR(TODAY())-AN413))</f>
        <v/>
      </c>
      <c r="X413" s="21">
        <f>T413*V413/(1+Assumptions!$B$3)^W413</f>
        <v/>
      </c>
      <c r="Y413" s="25">
        <f>IF(T413=0,"",ROUND(X413/T413*100,1))</f>
        <v/>
      </c>
      <c r="Z413" s="26">
        <f>X413*Assumptions!$B$4</f>
        <v/>
      </c>
      <c r="AA413" s="25">
        <f>IF(T413=0,"",ROUND(Z413/T413*100,1))</f>
        <v/>
      </c>
      <c r="AB413" s="26">
        <f>X413-Z413</f>
        <v/>
      </c>
      <c r="AC413" s="25">
        <f>IF(T413=0,"",ROUND((X413-Z413)/T413*100,1))</f>
        <v/>
      </c>
      <c r="AD413" s="27" t="inlineStr">
        <is>
          <t>ESTIMATED</t>
        </is>
      </c>
      <c r="AE413" s="28" t="inlineStr">
        <is>
          <t>https://rlg-aj.com.br/wp-content/uploads/2024/11/07.-Relação-de-credores.pdf</t>
        </is>
      </c>
      <c r="AF413" s="27" t="inlineStr">
        <is>
          <t>p1 r26</t>
        </is>
      </c>
      <c r="AG413" s="27" t="inlineStr">
        <is>
          <t>p1: R$ 310.314,83</t>
        </is>
      </c>
      <c r="AH413" s="27" t="inlineStr">
        <is>
          <t>UNKNOWN</t>
        </is>
      </c>
      <c r="AI413" s="27" t="inlineStr"/>
      <c r="AJ413" s="27" t="inlineStr">
        <is>
          <t>OK_NO_TOTALS</t>
        </is>
      </c>
      <c r="AK413" s="29" t="inlineStr">
        <is>
          <t>5009149-92.2024.8.24.0019</t>
        </is>
      </c>
      <c r="AL413" s="29" t="inlineStr">
        <is>
          <t>TJSC</t>
        </is>
      </c>
      <c r="AM413" s="29" t="inlineStr">
        <is>
          <t>ACTIVE</t>
        </is>
      </c>
      <c r="AN413" s="29" t="n">
        <v>2024</v>
      </c>
      <c r="AO413" s="29" t="inlineStr">
        <is>
          <t>live case, no plan document yet</t>
        </is>
      </c>
      <c r="AP413" s="29" t="inlineStr">
        <is>
          <t>PATO BRANCO</t>
        </is>
      </c>
      <c r="AQ413" s="29" t="inlineStr">
        <is>
          <t>PR</t>
        </is>
      </c>
      <c r="AR413" s="29" t="inlineStr">
        <is>
          <t>Comércio atacadista de defensivos agrícolas, adubos, fertilizantes e corretivos do solo</t>
        </is>
      </c>
      <c r="AS413" s="29" t="inlineStr">
        <is>
          <t>DEMAIS</t>
        </is>
      </c>
      <c r="AT413" s="29" t="inlineStr">
        <is>
          <t>MID-MARKET</t>
        </is>
      </c>
      <c r="AU413" s="29" t="inlineStr">
        <is>
          <t>01911761</t>
        </is>
      </c>
      <c r="AV413" s="29" t="n">
        <v>1</v>
      </c>
      <c r="AW413" s="29" t="inlineStr">
        <is>
          <t>ROWS:p1r26 UNRECONCILED_SOURCE</t>
        </is>
      </c>
    </row>
    <row r="414">
      <c r="A414" s="15" t="inlineStr">
        <is>
          <t>CEREALISTA SANTO EXPEDITO LTDA</t>
        </is>
      </c>
      <c r="B414" s="16" t="n">
        <v>387589.91</v>
      </c>
      <c r="C414" s="17" t="inlineStr">
        <is>
          <t>BACKES SOLUCOES LTDA</t>
        </is>
      </c>
      <c r="D414" s="18" t="inlineStr">
        <is>
          <t>NEW</t>
        </is>
      </c>
      <c r="E414" s="19" t="inlineStr"/>
      <c r="F414" s="18" t="inlineStr"/>
      <c r="G414" s="19" t="inlineStr"/>
      <c r="H414" s="18" t="inlineStr"/>
      <c r="I414" s="20" t="inlineStr">
        <is>
          <t>EDERSON ANDRE AZZOLINI</t>
        </is>
      </c>
      <c r="J414" s="20" t="inlineStr">
        <is>
          <t>Sócio-Administrador</t>
        </is>
      </c>
      <c r="K414" s="20" t="inlineStr">
        <is>
          <t>(49) 3644-0679</t>
        </is>
      </c>
      <c r="L414" s="20" t="inlineStr"/>
      <c r="M414" s="20" t="inlineStr"/>
      <c r="N414" s="20" t="inlineStr"/>
      <c r="O414" s="20" t="inlineStr"/>
      <c r="P414" s="20" t="inlineStr"/>
      <c r="Q414" s="20" t="inlineStr"/>
      <c r="R414" s="20" t="inlineStr"/>
      <c r="S414" s="20" t="inlineStr"/>
      <c r="T414" s="21" t="n">
        <v>387589.91</v>
      </c>
      <c r="U414" s="22" t="inlineStr">
        <is>
          <t>B</t>
        </is>
      </c>
      <c r="V414" s="23">
        <f>IFERROR(VLOOKUP(U414,Assumptions!$A$7:$D$11,2,FALSE),0)</f>
        <v/>
      </c>
      <c r="W414" s="24">
        <f>MAX(0.5,IFERROR(VLOOKUP(U414,Assumptions!$A$7:$D$11,3,FALSE),3)+IFERROR(VLOOKUP(U414,Assumptions!$A$7:$D$11,4,FALSE),8)/2-IF(AN414="",0,YEAR(TODAY())-AN414))</f>
        <v/>
      </c>
      <c r="X414" s="21">
        <f>T414*V414/(1+Assumptions!$B$3)^W414</f>
        <v/>
      </c>
      <c r="Y414" s="25">
        <f>IF(T414=0,"",ROUND(X414/T414*100,1))</f>
        <v/>
      </c>
      <c r="Z414" s="26">
        <f>X414*Assumptions!$B$4</f>
        <v/>
      </c>
      <c r="AA414" s="25">
        <f>IF(T414=0,"",ROUND(Z414/T414*100,1))</f>
        <v/>
      </c>
      <c r="AB414" s="26">
        <f>X414-Z414</f>
        <v/>
      </c>
      <c r="AC414" s="25">
        <f>IF(T414=0,"",ROUND((X414-Z414)/T414*100,1))</f>
        <v/>
      </c>
      <c r="AD414" s="27" t="inlineStr">
        <is>
          <t>ESTIMATED</t>
        </is>
      </c>
      <c r="AE414" s="28" t="inlineStr">
        <is>
          <t>https://marquesadmjudicial.com.br/sgc/download.php?file=files/processo_documento/processo_documento18581929042026_1_.pdf&amp;nome=3º Edital - Relação de Credores e PRJ</t>
        </is>
      </c>
      <c r="AF414" s="27" t="inlineStr">
        <is>
          <t>p1 r43</t>
        </is>
      </c>
      <c r="AG414" s="27" t="inlineStr">
        <is>
          <t>p1: R$ 387.589,91</t>
        </is>
      </c>
      <c r="AH414" s="27" t="inlineStr">
        <is>
          <t>AJ_LIST</t>
        </is>
      </c>
      <c r="AI414" s="27" t="inlineStr">
        <is>
          <t>2025-09-12</t>
        </is>
      </c>
      <c r="AJ414" s="27" t="inlineStr">
        <is>
          <t>OK_NO_TOTALS</t>
        </is>
      </c>
      <c r="AK414" s="29" t="inlineStr">
        <is>
          <t>0043030-30.2025.8.16.0021</t>
        </is>
      </c>
      <c r="AL414" s="29" t="inlineStr">
        <is>
          <t>TJPR</t>
        </is>
      </c>
      <c r="AM414" s="29" t="inlineStr">
        <is>
          <t>ACTIVE</t>
        </is>
      </c>
      <c r="AN414" s="29" t="n">
        <v>2025</v>
      </c>
      <c r="AO414" s="29" t="inlineStr">
        <is>
          <t>live case, no plan document yet</t>
        </is>
      </c>
      <c r="AP414" s="29" t="inlineStr">
        <is>
          <t>BARRACAO</t>
        </is>
      </c>
      <c r="AQ414" s="29" t="inlineStr">
        <is>
          <t>PR</t>
        </is>
      </c>
      <c r="AR414" s="29" t="inlineStr">
        <is>
          <t>Comércio atacadista de matérias-primas agrícolas não especificadas anteriormente</t>
        </is>
      </c>
      <c r="AS414" s="29" t="inlineStr">
        <is>
          <t>DEMAIS</t>
        </is>
      </c>
      <c r="AT414" s="29" t="inlineStr">
        <is>
          <t>MID-MARKET</t>
        </is>
      </c>
      <c r="AU414" s="29" t="inlineStr">
        <is>
          <t>04335788</t>
        </is>
      </c>
      <c r="AV414" s="29" t="n">
        <v>1</v>
      </c>
      <c r="AW414" s="29" t="inlineStr">
        <is>
          <t>ROWS:p1r43 UNRECONCILED_SOURCE</t>
        </is>
      </c>
    </row>
    <row r="415">
      <c r="A415" s="15" t="inlineStr">
        <is>
          <t>TERTO TRANSPORTES LTDA</t>
        </is>
      </c>
      <c r="B415" s="16" t="n">
        <v>247935.21</v>
      </c>
      <c r="C415" s="17" t="inlineStr">
        <is>
          <t>ADVOCACIA WANDERLEI DE PAULA BARRETO</t>
        </is>
      </c>
      <c r="D415" s="18" t="inlineStr">
        <is>
          <t>NEW</t>
        </is>
      </c>
      <c r="E415" s="19" t="inlineStr"/>
      <c r="F415" s="18" t="inlineStr"/>
      <c r="G415" s="19" t="inlineStr"/>
      <c r="H415" s="18" t="inlineStr"/>
      <c r="I415" s="20" t="inlineStr">
        <is>
          <t>FERNANDO HENRIQUE CAMARGO</t>
        </is>
      </c>
      <c r="J415" s="20" t="inlineStr">
        <is>
          <t>Sócio-Administrador</t>
        </is>
      </c>
      <c r="K415" s="20" t="inlineStr">
        <is>
          <t>(43) 9187-7904</t>
        </is>
      </c>
      <c r="L415" s="20" t="inlineStr"/>
      <c r="M415" s="20" t="inlineStr"/>
      <c r="N415" s="20" t="inlineStr"/>
      <c r="O415" s="20" t="inlineStr"/>
      <c r="P415" s="20" t="inlineStr"/>
      <c r="Q415" s="20" t="inlineStr"/>
      <c r="R415" s="20" t="inlineStr"/>
      <c r="S415" s="20" t="inlineStr"/>
      <c r="T415" s="21" t="n">
        <v>247935.21</v>
      </c>
      <c r="U415" s="22" t="inlineStr">
        <is>
          <t>B</t>
        </is>
      </c>
      <c r="V415" s="23">
        <f>IFERROR(VLOOKUP(U415,Assumptions!$A$7:$D$11,2,FALSE),0)</f>
        <v/>
      </c>
      <c r="W415" s="24">
        <f>MAX(0.5,IFERROR(VLOOKUP(U415,Assumptions!$A$7:$D$11,3,FALSE),3)+IFERROR(VLOOKUP(U415,Assumptions!$A$7:$D$11,4,FALSE),8)/2-IF(AN415="",0,YEAR(TODAY())-AN415))</f>
        <v/>
      </c>
      <c r="X415" s="21">
        <f>T415*V415/(1+Assumptions!$B$3)^W415</f>
        <v/>
      </c>
      <c r="Y415" s="25">
        <f>IF(T415=0,"",ROUND(X415/T415*100,1))</f>
        <v/>
      </c>
      <c r="Z415" s="26">
        <f>X415*Assumptions!$B$4</f>
        <v/>
      </c>
      <c r="AA415" s="25">
        <f>IF(T415=0,"",ROUND(Z415/T415*100,1))</f>
        <v/>
      </c>
      <c r="AB415" s="26">
        <f>X415-Z415</f>
        <v/>
      </c>
      <c r="AC415" s="25">
        <f>IF(T415=0,"",ROUND((X415-Z415)/T415*100,1))</f>
        <v/>
      </c>
      <c r="AD415" s="27" t="inlineStr">
        <is>
          <t>ESTIMATED</t>
        </is>
      </c>
      <c r="AE415" s="28" t="inlineStr">
        <is>
          <t>https://marquesadmjudicial.com.br/sgc/download.php?file=files/processo_documento/processo_documento17040729052024_1_.pdf&amp;nome=Relação Nominal de Credores AJ-Sintética</t>
        </is>
      </c>
      <c r="AF415" s="27" t="inlineStr">
        <is>
          <t>p13 r8</t>
        </is>
      </c>
      <c r="AG415" s="27" t="inlineStr">
        <is>
          <t>p13: R$ 247.935,21</t>
        </is>
      </c>
      <c r="AH415" s="27" t="inlineStr">
        <is>
          <t>AJ_LIST</t>
        </is>
      </c>
      <c r="AI415" s="27" t="inlineStr">
        <is>
          <t>2024-05-27</t>
        </is>
      </c>
      <c r="AJ415" s="27" t="inlineStr">
        <is>
          <t>QUARANTINED</t>
        </is>
      </c>
      <c r="AK415" s="29" t="inlineStr">
        <is>
          <t>0003971-03.2023.8.16.0119</t>
        </is>
      </c>
      <c r="AL415" s="29" t="inlineStr">
        <is>
          <t>TJPR</t>
        </is>
      </c>
      <c r="AM415" s="29" t="inlineStr">
        <is>
          <t>ACTIVE</t>
        </is>
      </c>
      <c r="AN415" s="29" t="n">
        <v>2023</v>
      </c>
      <c r="AO415" s="29" t="inlineStr">
        <is>
          <t>live case, no plan document yet</t>
        </is>
      </c>
      <c r="AP415" s="29" t="inlineStr">
        <is>
          <t>APUCARANA</t>
        </is>
      </c>
      <c r="AQ415" s="29" t="inlineStr">
        <is>
          <t>PR</t>
        </is>
      </c>
      <c r="AR415" s="29" t="inlineStr">
        <is>
          <t>Transporte rodoviário de carga, exceto produtos perigosos e mudanças, intermunicipal, interestadual e internacional</t>
        </is>
      </c>
      <c r="AS415" s="29" t="inlineStr">
        <is>
          <t>DEMAIS</t>
        </is>
      </c>
      <c r="AT415" s="29" t="inlineStr">
        <is>
          <t>MID-MARKET</t>
        </is>
      </c>
      <c r="AU415" s="29" t="inlineStr">
        <is>
          <t>43026198</t>
        </is>
      </c>
      <c r="AV415" s="29" t="n">
        <v>1</v>
      </c>
      <c r="AW415" s="29" t="inlineStr">
        <is>
          <t>PARTIAL_DOC_CLASS_III_RECONCILED ROWS:p13r8</t>
        </is>
      </c>
    </row>
    <row r="416">
      <c r="A416" s="15" t="inlineStr">
        <is>
          <t>STARSPRINGS DO BRASIL LTDA.</t>
        </is>
      </c>
      <c r="B416" s="16" t="n">
        <v>279092.97</v>
      </c>
      <c r="C416" s="17" t="inlineStr"/>
      <c r="D416" s="18" t="inlineStr">
        <is>
          <t>NEW</t>
        </is>
      </c>
      <c r="E416" s="19" t="inlineStr"/>
      <c r="F416" s="18" t="inlineStr"/>
      <c r="G416" s="19" t="inlineStr"/>
      <c r="H416" s="18" t="inlineStr"/>
      <c r="I416" s="20" t="inlineStr">
        <is>
          <t>BERNARDINO DE SENA AIRES AMARAL</t>
        </is>
      </c>
      <c r="J416" s="20" t="inlineStr">
        <is>
          <t>Administrador</t>
        </is>
      </c>
      <c r="K416" s="20" t="inlineStr">
        <is>
          <t>(41) 3204-7000</t>
        </is>
      </c>
      <c r="L416" s="20" t="inlineStr"/>
      <c r="M416" s="20" t="inlineStr"/>
      <c r="N416" s="20" t="inlineStr"/>
      <c r="O416" s="20" t="inlineStr"/>
      <c r="P416" s="20" t="inlineStr"/>
      <c r="Q416" s="20" t="inlineStr"/>
      <c r="R416" s="20" t="inlineStr"/>
      <c r="S416" s="20" t="inlineStr"/>
      <c r="T416" s="21" t="n">
        <v>279092.97</v>
      </c>
      <c r="U416" s="31" t="inlineStr">
        <is>
          <t>C</t>
        </is>
      </c>
      <c r="V416" s="23">
        <f>IFERROR(VLOOKUP(U416,Assumptions!$A$7:$D$11,2,FALSE),0)</f>
        <v/>
      </c>
      <c r="W416" s="24">
        <f>MAX(0.5,IFERROR(VLOOKUP(U416,Assumptions!$A$7:$D$11,3,FALSE),3)+IFERROR(VLOOKUP(U416,Assumptions!$A$7:$D$11,4,FALSE),8)/2-IF(AN416="",0,YEAR(TODAY())-AN416))</f>
        <v/>
      </c>
      <c r="X416" s="21">
        <f>T416*V416/(1+Assumptions!$B$3)^W416</f>
        <v/>
      </c>
      <c r="Y416" s="25">
        <f>IF(T416=0,"",ROUND(X416/T416*100,1))</f>
        <v/>
      </c>
      <c r="Z416" s="26">
        <f>X416*Assumptions!$B$4</f>
        <v/>
      </c>
      <c r="AA416" s="25">
        <f>IF(T416=0,"",ROUND(Z416/T416*100,1))</f>
        <v/>
      </c>
      <c r="AB416" s="26">
        <f>X416-Z416</f>
        <v/>
      </c>
      <c r="AC416" s="25">
        <f>IF(T416=0,"",ROUND((X416-Z416)/T416*100,1))</f>
        <v/>
      </c>
      <c r="AD416" s="27" t="inlineStr">
        <is>
          <t>UNKNOWN</t>
        </is>
      </c>
      <c r="AE416" s="28" t="inlineStr">
        <is>
          <t>https://administradorajudicialgs.com.br/wp-content/uploads/2024/12/relacao-de-credores-da-falida.pdf</t>
        </is>
      </c>
      <c r="AF416" s="27" t="inlineStr">
        <is>
          <t>p18 r45</t>
        </is>
      </c>
      <c r="AG416" s="27" t="inlineStr">
        <is>
          <t>p18: R$ 279.092,97</t>
        </is>
      </c>
      <c r="AH416" s="27" t="inlineStr">
        <is>
          <t>UNKNOWN</t>
        </is>
      </c>
      <c r="AI416" s="27" t="inlineStr">
        <is>
          <t>2025-03-25</t>
        </is>
      </c>
      <c r="AJ416" s="27" t="inlineStr">
        <is>
          <t>OK_NO_TOTALS</t>
        </is>
      </c>
      <c r="AK416" s="29" t="inlineStr">
        <is>
          <t>0005010-50.2013.8.24.0026</t>
        </is>
      </c>
      <c r="AL416" s="29" t="inlineStr">
        <is>
          <t>TJ</t>
        </is>
      </c>
      <c r="AM416" s="29" t="inlineStr"/>
      <c r="AN416" s="29" t="n">
        <v>2013</v>
      </c>
      <c r="AO416" s="29" t="inlineStr">
        <is>
          <t>13y since filing, no plan document</t>
        </is>
      </c>
      <c r="AP416" s="29" t="inlineStr">
        <is>
          <t>ARAUCARIA</t>
        </is>
      </c>
      <c r="AQ416" s="29" t="inlineStr">
        <is>
          <t>PR</t>
        </is>
      </c>
      <c r="AR416" s="29" t="inlineStr">
        <is>
          <t>Fabricação de produtos de trefilados de metal padronizados</t>
        </is>
      </c>
      <c r="AS416" s="29" t="inlineStr">
        <is>
          <t>DEMAIS</t>
        </is>
      </c>
      <c r="AT416" s="29" t="inlineStr">
        <is>
          <t>MID-MARKET</t>
        </is>
      </c>
      <c r="AU416" s="29" t="inlineStr">
        <is>
          <t>04230984</t>
        </is>
      </c>
      <c r="AV416" s="29" t="n">
        <v>1</v>
      </c>
      <c r="AW416" s="29" t="inlineStr">
        <is>
          <t>ROWS:p18r45 UNRECONCILED_SOURCE</t>
        </is>
      </c>
    </row>
    <row r="417">
      <c r="A417" s="15" t="inlineStr">
        <is>
          <t>TECNOPLAST S.A - INDUSTRIA E COMERCIO DE PLASTICOS</t>
        </is>
      </c>
      <c r="B417" s="16" t="n">
        <v>243641.39</v>
      </c>
      <c r="C417" s="17" t="inlineStr"/>
      <c r="D417" s="18" t="inlineStr">
        <is>
          <t>NEW</t>
        </is>
      </c>
      <c r="E417" s="19" t="inlineStr"/>
      <c r="F417" s="18" t="inlineStr"/>
      <c r="G417" s="19" t="inlineStr"/>
      <c r="H417" s="18" t="inlineStr"/>
      <c r="I417" s="20" t="inlineStr">
        <is>
          <t>JACKSON LENZI PIRES</t>
        </is>
      </c>
      <c r="J417" s="20" t="inlineStr">
        <is>
          <t>Diretor</t>
        </is>
      </c>
      <c r="K417" s="20" t="inlineStr">
        <is>
          <t>(41) 3332-8383</t>
        </is>
      </c>
      <c r="L417" s="20" t="inlineStr">
        <is>
          <t>(41) 3075-8000</t>
        </is>
      </c>
      <c r="M417" s="20" t="inlineStr"/>
      <c r="N417" s="20" t="inlineStr"/>
      <c r="O417" s="20" t="inlineStr"/>
      <c r="P417" s="20" t="inlineStr"/>
      <c r="Q417" s="20" t="inlineStr"/>
      <c r="R417" s="20" t="inlineStr"/>
      <c r="S417" s="20" t="inlineStr"/>
      <c r="T417" s="21" t="n">
        <v>243641.39</v>
      </c>
      <c r="U417" s="22" t="inlineStr">
        <is>
          <t>B</t>
        </is>
      </c>
      <c r="V417" s="23">
        <f>IFERROR(VLOOKUP(U417,Assumptions!$A$7:$D$11,2,FALSE),0)</f>
        <v/>
      </c>
      <c r="W417" s="24">
        <f>MAX(0.5,IFERROR(VLOOKUP(U417,Assumptions!$A$7:$D$11,3,FALSE),3)+IFERROR(VLOOKUP(U417,Assumptions!$A$7:$D$11,4,FALSE),8)/2-IF(AN417="",0,YEAR(TODAY())-AN417))</f>
        <v/>
      </c>
      <c r="X417" s="21">
        <f>T417*V417/(1+Assumptions!$B$3)^W417</f>
        <v/>
      </c>
      <c r="Y417" s="25">
        <f>IF(T417=0,"",ROUND(X417/T417*100,1))</f>
        <v/>
      </c>
      <c r="Z417" s="26">
        <f>X417*Assumptions!$B$4</f>
        <v/>
      </c>
      <c r="AA417" s="25">
        <f>IF(T417=0,"",ROUND(Z417/T417*100,1))</f>
        <v/>
      </c>
      <c r="AB417" s="26">
        <f>X417-Z417</f>
        <v/>
      </c>
      <c r="AC417" s="25">
        <f>IF(T417=0,"",ROUND((X417-Z417)/T417*100,1))</f>
        <v/>
      </c>
      <c r="AD417" s="27" t="inlineStr">
        <is>
          <t>ESTIMATED</t>
        </is>
      </c>
      <c r="AE417" s="28" t="inlineStr">
        <is>
          <t>https://cataliseaj.com.br/sgc/download.php?file=files/processo_documento/processo_documento15092204102024_1_.pdf&amp;nome=02. RELAÇÃO DE CREDORES</t>
        </is>
      </c>
      <c r="AF417" s="27" t="inlineStr">
        <is>
          <t>p3 r26</t>
        </is>
      </c>
      <c r="AG417" s="27" t="inlineStr">
        <is>
          <t>p3: R$ 243.641,39</t>
        </is>
      </c>
      <c r="AH417" s="27" t="inlineStr">
        <is>
          <t>DEBTOR_LIST</t>
        </is>
      </c>
      <c r="AI417" s="27" t="inlineStr"/>
      <c r="AJ417" s="27" t="inlineStr">
        <is>
          <t>OK_NO_TOTALS</t>
        </is>
      </c>
      <c r="AK417" s="29" t="inlineStr">
        <is>
          <t>5011460-87.2023.8.24.0020</t>
        </is>
      </c>
      <c r="AL417" s="29" t="inlineStr">
        <is>
          <t>TJSC</t>
        </is>
      </c>
      <c r="AM417" s="29" t="inlineStr">
        <is>
          <t>ACTIVE</t>
        </is>
      </c>
      <c r="AN417" s="29" t="n">
        <v>2023</v>
      </c>
      <c r="AO417" s="29" t="inlineStr">
        <is>
          <t>live case, no plan document yet</t>
        </is>
      </c>
      <c r="AP417" s="29" t="inlineStr">
        <is>
          <t>CURITIBA</t>
        </is>
      </c>
      <c r="AQ417" s="29" t="inlineStr">
        <is>
          <t>PR</t>
        </is>
      </c>
      <c r="AR417" s="29" t="inlineStr">
        <is>
          <t>Fiação de fibras artificiais e sintéticas</t>
        </is>
      </c>
      <c r="AS417" s="29" t="inlineStr">
        <is>
          <t>DEMAIS</t>
        </is>
      </c>
      <c r="AT417" s="29" t="inlineStr">
        <is>
          <t>MID-MARKET</t>
        </is>
      </c>
      <c r="AU417" s="29" t="inlineStr">
        <is>
          <t>12995199</t>
        </is>
      </c>
      <c r="AV417" s="29" t="n">
        <v>1</v>
      </c>
      <c r="AW417" s="29" t="inlineStr">
        <is>
          <t>ROWS:p3r26 UNRECONCILED_SOURCE</t>
        </is>
      </c>
    </row>
    <row r="418">
      <c r="A418" s="15" t="inlineStr">
        <is>
          <t>GAZIN ATACADO CENTRO-OESTE LTDA</t>
        </is>
      </c>
      <c r="B418" s="16" t="n">
        <v>242126.42</v>
      </c>
      <c r="C418" s="17" t="inlineStr">
        <is>
          <t>VEV COMERCIO DE MEDICAMENTOS LTDA EM RECUPERACAO JUDICIAL</t>
        </is>
      </c>
      <c r="D418" s="18" t="inlineStr">
        <is>
          <t>NEW</t>
        </is>
      </c>
      <c r="E418" s="19" t="inlineStr"/>
      <c r="F418" s="18" t="inlineStr"/>
      <c r="G418" s="19" t="inlineStr"/>
      <c r="H418" s="18" t="inlineStr"/>
      <c r="I418" s="20" t="inlineStr">
        <is>
          <t>ANTONIO ROBERTO GAZIN</t>
        </is>
      </c>
      <c r="J418" s="20" t="inlineStr">
        <is>
          <t>Administrador</t>
        </is>
      </c>
      <c r="K418" s="20" t="inlineStr">
        <is>
          <t>(44) 3663-8000</t>
        </is>
      </c>
      <c r="L418" s="20" t="inlineStr"/>
      <c r="M418" s="20" t="inlineStr"/>
      <c r="N418" s="20" t="inlineStr"/>
      <c r="O418" s="20" t="inlineStr"/>
      <c r="P418" s="20" t="inlineStr">
        <is>
          <t>GILMAR ALVES DE OLIVEIRA</t>
        </is>
      </c>
      <c r="Q418" s="20" t="inlineStr">
        <is>
          <t>Administrador</t>
        </is>
      </c>
      <c r="R418" s="20" t="inlineStr">
        <is>
          <t>(44) 3663-8000</t>
        </is>
      </c>
      <c r="S418" s="20" t="inlineStr"/>
      <c r="T418" s="21" t="n">
        <v>242126.42</v>
      </c>
      <c r="U418" s="22" t="inlineStr">
        <is>
          <t>B</t>
        </is>
      </c>
      <c r="V418" s="23">
        <f>IFERROR(VLOOKUP(U418,Assumptions!$A$7:$D$11,2,FALSE),0)</f>
        <v/>
      </c>
      <c r="W418" s="24">
        <f>MAX(0.5,IFERROR(VLOOKUP(U418,Assumptions!$A$7:$D$11,3,FALSE),3)+IFERROR(VLOOKUP(U418,Assumptions!$A$7:$D$11,4,FALSE),8)/2-IF(AN418="",0,YEAR(TODAY())-AN418))</f>
        <v/>
      </c>
      <c r="X418" s="21">
        <f>T418*V418/(1+Assumptions!$B$3)^W418</f>
        <v/>
      </c>
      <c r="Y418" s="25">
        <f>IF(T418=0,"",ROUND(X418/T418*100,1))</f>
        <v/>
      </c>
      <c r="Z418" s="26">
        <f>X418*Assumptions!$B$4</f>
        <v/>
      </c>
      <c r="AA418" s="25">
        <f>IF(T418=0,"",ROUND(Z418/T418*100,1))</f>
        <v/>
      </c>
      <c r="AB418" s="26">
        <f>X418-Z418</f>
        <v/>
      </c>
      <c r="AC418" s="25">
        <f>IF(T418=0,"",ROUND((X418-Z418)/T418*100,1))</f>
        <v/>
      </c>
      <c r="AD418" s="27" t="inlineStr">
        <is>
          <t>ESTIMATED</t>
        </is>
      </c>
      <c r="AE418" s="28" t="inlineStr">
        <is>
          <t>https://marquesadmjudicial.com.br/sgc/download.php?file=files/processo_documento/processo_documento15293208032024_1_.pdf&amp;nome=Relação Nominal de Credores da AJ-Sintética</t>
        </is>
      </c>
      <c r="AF418" s="27" t="inlineStr">
        <is>
          <t>p26 r2</t>
        </is>
      </c>
      <c r="AG418" s="27" t="inlineStr">
        <is>
          <t>p26: R$ 242.126,42</t>
        </is>
      </c>
      <c r="AH418" s="27" t="inlineStr">
        <is>
          <t>AJ_LIST</t>
        </is>
      </c>
      <c r="AI418" s="27" t="inlineStr">
        <is>
          <t>2023-03-02</t>
        </is>
      </c>
      <c r="AJ418" s="27" t="inlineStr">
        <is>
          <t>QUARANTINED</t>
        </is>
      </c>
      <c r="AK418" s="29" t="inlineStr">
        <is>
          <t>0005010-98.2023.8.16.0001</t>
        </is>
      </c>
      <c r="AL418" s="29" t="inlineStr">
        <is>
          <t>TJPR</t>
        </is>
      </c>
      <c r="AM418" s="29" t="inlineStr">
        <is>
          <t>ACTIVE</t>
        </is>
      </c>
      <c r="AN418" s="29" t="n">
        <v>2023</v>
      </c>
      <c r="AO418" s="29" t="inlineStr">
        <is>
          <t>live case, no plan document yet</t>
        </is>
      </c>
      <c r="AP418" s="29" t="inlineStr">
        <is>
          <t>IPAMERI</t>
        </is>
      </c>
      <c r="AQ418" s="29" t="inlineStr">
        <is>
          <t>GO</t>
        </is>
      </c>
      <c r="AR418" s="29" t="inlineStr">
        <is>
          <t>Comércio atacadista de equipamentos elétricos de uso pessoal e doméstico</t>
        </is>
      </c>
      <c r="AS418" s="29" t="inlineStr">
        <is>
          <t>DEMAIS</t>
        </is>
      </c>
      <c r="AT418" s="29" t="inlineStr">
        <is>
          <t>LARGE CORP</t>
        </is>
      </c>
      <c r="AU418" s="29" t="inlineStr">
        <is>
          <t>22962737</t>
        </is>
      </c>
      <c r="AV418" s="29" t="n">
        <v>1</v>
      </c>
      <c r="AW418" s="29" t="inlineStr">
        <is>
          <t>PARTIAL_DOC_CLASS_III_RECONCILED ROWS:p26r2</t>
        </is>
      </c>
    </row>
    <row r="419">
      <c r="A419" s="15" t="inlineStr">
        <is>
          <t>MDG INDUSTRIA E COMERCIO DE PLASTICOS LTDA</t>
        </is>
      </c>
      <c r="B419" s="16" t="n">
        <v>241458.9</v>
      </c>
      <c r="C419" s="17" t="inlineStr">
        <is>
          <t>CRISTAL MASTER INDUSTRIA E COMERCIO LTDA</t>
        </is>
      </c>
      <c r="D419" s="18" t="inlineStr">
        <is>
          <t>NEW</t>
        </is>
      </c>
      <c r="E419" s="19" t="inlineStr"/>
      <c r="F419" s="18" t="inlineStr"/>
      <c r="G419" s="19" t="inlineStr"/>
      <c r="H419" s="18" t="inlineStr"/>
      <c r="I419" s="20" t="inlineStr">
        <is>
          <t>GLEB BERGER ZOMER</t>
        </is>
      </c>
      <c r="J419" s="20" t="inlineStr">
        <is>
          <t>Administrador</t>
        </is>
      </c>
      <c r="K419" s="20" t="inlineStr">
        <is>
          <t>(92) 3199-8840</t>
        </is>
      </c>
      <c r="L419" s="20" t="inlineStr"/>
      <c r="M419" s="20" t="inlineStr"/>
      <c r="N419" s="20" t="inlineStr"/>
      <c r="O419" s="20" t="inlineStr"/>
      <c r="P419" s="20" t="inlineStr">
        <is>
          <t>MICHEL BERGER ZOMER</t>
        </is>
      </c>
      <c r="Q419" s="20" t="inlineStr">
        <is>
          <t>Administrador</t>
        </is>
      </c>
      <c r="R419" s="20" t="inlineStr">
        <is>
          <t>(92) 3199-8840</t>
        </is>
      </c>
      <c r="S419" s="20" t="inlineStr"/>
      <c r="T419" s="21" t="n">
        <v>241458.9</v>
      </c>
      <c r="U419" s="22" t="inlineStr">
        <is>
          <t>B</t>
        </is>
      </c>
      <c r="V419" s="23">
        <f>IFERROR(VLOOKUP(U419,Assumptions!$A$7:$D$11,2,FALSE),0)</f>
        <v/>
      </c>
      <c r="W419" s="24">
        <f>MAX(0.5,IFERROR(VLOOKUP(U419,Assumptions!$A$7:$D$11,3,FALSE),3)+IFERROR(VLOOKUP(U419,Assumptions!$A$7:$D$11,4,FALSE),8)/2-IF(AN419="",0,YEAR(TODAY())-AN419))</f>
        <v/>
      </c>
      <c r="X419" s="21">
        <f>T419*V419/(1+Assumptions!$B$3)^W419</f>
        <v/>
      </c>
      <c r="Y419" s="25">
        <f>IF(T419=0,"",ROUND(X419/T419*100,1))</f>
        <v/>
      </c>
      <c r="Z419" s="26">
        <f>X419*Assumptions!$B$4</f>
        <v/>
      </c>
      <c r="AA419" s="25">
        <f>IF(T419=0,"",ROUND(Z419/T419*100,1))</f>
        <v/>
      </c>
      <c r="AB419" s="26">
        <f>X419-Z419</f>
        <v/>
      </c>
      <c r="AC419" s="25">
        <f>IF(T419=0,"",ROUND((X419-Z419)/T419*100,1))</f>
        <v/>
      </c>
      <c r="AD419" s="27" t="inlineStr">
        <is>
          <t>ESTIMATED</t>
        </is>
      </c>
      <c r="AE419" s="28" t="inlineStr">
        <is>
          <t>https://ajruiz.com.br/sites/default/files/public/arquivos-processos/2026-08/qgc_azeplast_julho_2026.pdf</t>
        </is>
      </c>
      <c r="AF419" s="27" t="inlineStr">
        <is>
          <t>p1 r41</t>
        </is>
      </c>
      <c r="AG419" s="27" t="inlineStr">
        <is>
          <t>p1: R$ 241.458,90</t>
        </is>
      </c>
      <c r="AH419" s="27" t="inlineStr">
        <is>
          <t>QGC</t>
        </is>
      </c>
      <c r="AI419" s="27" t="inlineStr"/>
      <c r="AJ419" s="27" t="inlineStr">
        <is>
          <t>QUARANTINED</t>
        </is>
      </c>
      <c r="AK419" s="29" t="inlineStr">
        <is>
          <t>5008793-34.2023.8.24.0019</t>
        </is>
      </c>
      <c r="AL419" s="29" t="inlineStr">
        <is>
          <t>TJSC</t>
        </is>
      </c>
      <c r="AM419" s="29" t="inlineStr">
        <is>
          <t>ACTIVE</t>
        </is>
      </c>
      <c r="AN419" s="29" t="n">
        <v>2023</v>
      </c>
      <c r="AO419" s="29" t="inlineStr">
        <is>
          <t>live case, no plan document yet</t>
        </is>
      </c>
      <c r="AP419" s="29" t="inlineStr">
        <is>
          <t>MANAUS</t>
        </is>
      </c>
      <c r="AQ419" s="29" t="inlineStr">
        <is>
          <t>AM</t>
        </is>
      </c>
      <c r="AR419" s="29" t="inlineStr">
        <is>
          <t>Fabricação de embalagens de material plástico</t>
        </is>
      </c>
      <c r="AS419" s="29" t="inlineStr">
        <is>
          <t>DEMAIS</t>
        </is>
      </c>
      <c r="AT419" s="29" t="inlineStr">
        <is>
          <t>MID-MARKET</t>
        </is>
      </c>
      <c r="AU419" s="29" t="inlineStr">
        <is>
          <t>35474405</t>
        </is>
      </c>
      <c r="AV419" s="29" t="n">
        <v>1</v>
      </c>
      <c r="AW419" s="29" t="inlineStr">
        <is>
          <t>PARTIAL_DOC_CLASS_III_RECONCILED ROWS:p1r41</t>
        </is>
      </c>
    </row>
    <row r="420">
      <c r="A420" s="15" t="inlineStr">
        <is>
          <t>PRODUSI METALURGICA LTDA</t>
        </is>
      </c>
      <c r="B420" s="16" t="n">
        <v>376976.74</v>
      </c>
      <c r="C420" s="17" t="inlineStr"/>
      <c r="D420" s="18" t="inlineStr">
        <is>
          <t>NEW</t>
        </is>
      </c>
      <c r="E420" s="19" t="inlineStr"/>
      <c r="F420" s="18" t="inlineStr"/>
      <c r="G420" s="19" t="inlineStr"/>
      <c r="H420" s="18" t="inlineStr"/>
      <c r="I420" s="20" t="inlineStr">
        <is>
          <t>JULIO CESAR GONCALVES FERNANDES</t>
        </is>
      </c>
      <c r="J420" s="20" t="inlineStr">
        <is>
          <t>Sócio-Administrador</t>
        </is>
      </c>
      <c r="K420" s="20" t="inlineStr">
        <is>
          <t>(43) 3373-8800</t>
        </is>
      </c>
      <c r="L420" s="20" t="inlineStr"/>
      <c r="M420" s="20" t="inlineStr"/>
      <c r="N420" s="20" t="inlineStr"/>
      <c r="O420" s="20" t="inlineStr"/>
      <c r="P420" s="20" t="inlineStr"/>
      <c r="Q420" s="20" t="inlineStr"/>
      <c r="R420" s="20" t="inlineStr"/>
      <c r="S420" s="20" t="inlineStr"/>
      <c r="T420" s="21" t="n">
        <v>376976.74</v>
      </c>
      <c r="U420" s="22" t="inlineStr">
        <is>
          <t>B</t>
        </is>
      </c>
      <c r="V420" s="23">
        <f>IFERROR(VLOOKUP(U420,Assumptions!$A$7:$D$11,2,FALSE),0)</f>
        <v/>
      </c>
      <c r="W420" s="24">
        <f>MAX(0.5,IFERROR(VLOOKUP(U420,Assumptions!$A$7:$D$11,3,FALSE),3)+IFERROR(VLOOKUP(U420,Assumptions!$A$7:$D$11,4,FALSE),8)/2-IF(AN420="",0,YEAR(TODAY())-AN420))</f>
        <v/>
      </c>
      <c r="X420" s="21">
        <f>T420*V420/(1+Assumptions!$B$3)^W420</f>
        <v/>
      </c>
      <c r="Y420" s="25">
        <f>IF(T420=0,"",ROUND(X420/T420*100,1))</f>
        <v/>
      </c>
      <c r="Z420" s="26">
        <f>X420*Assumptions!$B$4</f>
        <v/>
      </c>
      <c r="AA420" s="25">
        <f>IF(T420=0,"",ROUND(Z420/T420*100,1))</f>
        <v/>
      </c>
      <c r="AB420" s="26">
        <f>X420-Z420</f>
        <v/>
      </c>
      <c r="AC420" s="25">
        <f>IF(T420=0,"",ROUND((X420-Z420)/T420*100,1))</f>
        <v/>
      </c>
      <c r="AD420" s="27" t="inlineStr">
        <is>
          <t>UNKNOWN</t>
        </is>
      </c>
      <c r="AE420" s="28" t="inlineStr">
        <is>
          <t>https://credibilita.com.br/wp-content/uploads/2025/09/Relacao-Credores-29.04.2026.pdf</t>
        </is>
      </c>
      <c r="AF420" s="27" t="inlineStr">
        <is>
          <t>p2 r10</t>
        </is>
      </c>
      <c r="AG420" s="27" t="inlineStr">
        <is>
          <t>p2: R$ 376.976,74</t>
        </is>
      </c>
      <c r="AH420" s="27" t="inlineStr">
        <is>
          <t>UNKNOWN</t>
        </is>
      </c>
      <c r="AI420" s="27" t="inlineStr"/>
      <c r="AJ420" s="27" t="inlineStr">
        <is>
          <t>OK_NO_TOTALS</t>
        </is>
      </c>
      <c r="AK420" s="29" t="inlineStr">
        <is>
          <t>5057720-48.2025.8.24.0023</t>
        </is>
      </c>
      <c r="AL420" s="29" t="inlineStr">
        <is>
          <t>TJ</t>
        </is>
      </c>
      <c r="AM420" s="29" t="inlineStr"/>
      <c r="AN420" s="29" t="n">
        <v>2025</v>
      </c>
      <c r="AO420" s="29" t="inlineStr">
        <is>
          <t>live case, no plan document yet</t>
        </is>
      </c>
      <c r="AP420" s="29" t="inlineStr">
        <is>
          <t>LONDRINA</t>
        </is>
      </c>
      <c r="AQ420" s="29" t="inlineStr">
        <is>
          <t>PR</t>
        </is>
      </c>
      <c r="AR420" s="29" t="inlineStr">
        <is>
          <t>Fabricação de outros produtos de metal não especificados anteriormente</t>
        </is>
      </c>
      <c r="AS420" s="29" t="inlineStr">
        <is>
          <t>DEMAIS</t>
        </is>
      </c>
      <c r="AT420" s="29" t="inlineStr">
        <is>
          <t>MID-MARKET</t>
        </is>
      </c>
      <c r="AU420" s="29" t="inlineStr">
        <is>
          <t>02135888</t>
        </is>
      </c>
      <c r="AV420" s="29" t="n">
        <v>1</v>
      </c>
      <c r="AW420" s="29" t="inlineStr">
        <is>
          <t>ROWS:p2r10 UNRECONCILED_SOURCE VALUE_COL:Valor_Após_Analise</t>
        </is>
      </c>
    </row>
    <row r="421">
      <c r="A421" s="15" t="inlineStr">
        <is>
          <t>CG LOCACAO DE GUINDASTES LTDA.</t>
        </is>
      </c>
      <c r="B421" s="16" t="n">
        <v>706167.48</v>
      </c>
      <c r="C421" s="17" t="inlineStr">
        <is>
          <t>EGESA ENGENHARIA S/A (Consórcio ETDI)</t>
        </is>
      </c>
      <c r="D421" s="18" t="inlineStr">
        <is>
          <t>NEW</t>
        </is>
      </c>
      <c r="E421" s="19" t="inlineStr"/>
      <c r="F421" s="18" t="inlineStr"/>
      <c r="G421" s="19" t="inlineStr"/>
      <c r="H421" s="18" t="inlineStr"/>
      <c r="I421" s="20" t="inlineStr">
        <is>
          <t>ANDREA LOUCATELLI CARRAMENHA</t>
        </is>
      </c>
      <c r="J421" s="20" t="inlineStr">
        <is>
          <t>Sócio-Administrador</t>
        </is>
      </c>
      <c r="K421" s="20" t="inlineStr">
        <is>
          <t>(11) 6916-3000</t>
        </is>
      </c>
      <c r="L421" s="20" t="inlineStr"/>
      <c r="M421" s="20" t="inlineStr"/>
      <c r="N421" s="20" t="inlineStr"/>
      <c r="O421" s="20" t="inlineStr"/>
      <c r="P421" s="20" t="inlineStr">
        <is>
          <t>LUIS APARECIDO LOUCATELLI</t>
        </is>
      </c>
      <c r="Q421" s="20" t="inlineStr">
        <is>
          <t>Sócio-Administrador</t>
        </is>
      </c>
      <c r="R421" s="20" t="inlineStr">
        <is>
          <t>(11) 6916-3000</t>
        </is>
      </c>
      <c r="S421" s="20" t="inlineStr"/>
      <c r="T421" s="21" t="n">
        <v>706167.48</v>
      </c>
      <c r="U421" s="30" t="inlineStr">
        <is>
          <t>?</t>
        </is>
      </c>
      <c r="V421" s="23">
        <f>IFERROR(VLOOKUP(U421,Assumptions!$A$7:$D$11,2,FALSE),0)</f>
        <v/>
      </c>
      <c r="W421" s="24">
        <f>MAX(0.5,IFERROR(VLOOKUP(U421,Assumptions!$A$7:$D$11,3,FALSE),3)+IFERROR(VLOOKUP(U421,Assumptions!$A$7:$D$11,4,FALSE),8)/2-IF(AN421="",0,YEAR(TODAY())-AN421))</f>
        <v/>
      </c>
      <c r="X421" s="21">
        <f>T421*V421/(1+Assumptions!$B$3)^W421</f>
        <v/>
      </c>
      <c r="Y421" s="25">
        <f>IF(T421=0,"",ROUND(X421/T421*100,1))</f>
        <v/>
      </c>
      <c r="Z421" s="26">
        <f>X421*Assumptions!$B$4</f>
        <v/>
      </c>
      <c r="AA421" s="25">
        <f>IF(T421=0,"",ROUND(Z421/T421*100,1))</f>
        <v/>
      </c>
      <c r="AB421" s="26">
        <f>X421-Z421</f>
        <v/>
      </c>
      <c r="AC421" s="25">
        <f>IF(T421=0,"",ROUND((X421-Z421)/T421*100,1))</f>
        <v/>
      </c>
      <c r="AD421" s="27" t="inlineStr">
        <is>
          <t>UNKNOWN</t>
        </is>
      </c>
      <c r="AE421" s="28" t="inlineStr">
        <is>
          <t>https://scalzilliaj.com.br/sgc/download.php?file=files/processo_documento/processo_documento09514021082025_1_.pdf&amp;nome=04 - Relação de credores das Recuperandas</t>
        </is>
      </c>
      <c r="AF421" s="27" t="inlineStr">
        <is>
          <t>p64 r6</t>
        </is>
      </c>
      <c r="AG421" s="27" t="inlineStr">
        <is>
          <t>p64: R$ 706.167,48</t>
        </is>
      </c>
      <c r="AH421" s="27" t="inlineStr">
        <is>
          <t>DEBTOR_LIST</t>
        </is>
      </c>
      <c r="AI421" s="27" t="inlineStr"/>
      <c r="AJ421" s="27" t="inlineStr">
        <is>
          <t>OK</t>
        </is>
      </c>
      <c r="AK421" s="29" t="inlineStr">
        <is>
          <t>(not printed)</t>
        </is>
      </c>
      <c r="AL421" s="29" t="inlineStr"/>
      <c r="AM421" s="29" t="inlineStr"/>
      <c r="AN421" s="29" t="inlineStr"/>
      <c r="AO421" s="29" t="inlineStr">
        <is>
          <t>RJ case number not identified on the document</t>
        </is>
      </c>
      <c r="AP421" s="29" t="inlineStr">
        <is>
          <t>SAO PAULO</t>
        </is>
      </c>
      <c r="AQ421" s="29" t="inlineStr">
        <is>
          <t>SP</t>
        </is>
      </c>
      <c r="AR421" s="29" t="inlineStr">
        <is>
          <t>Aluguel de máquinas e equipamentos para construção sem operador, exceto andaimes</t>
        </is>
      </c>
      <c r="AS421" s="29" t="inlineStr">
        <is>
          <t>DEMAIS</t>
        </is>
      </c>
      <c r="AT421" s="29" t="inlineStr">
        <is>
          <t>MID-MARKET</t>
        </is>
      </c>
      <c r="AU421" s="29" t="inlineStr">
        <is>
          <t>08226396</t>
        </is>
      </c>
      <c r="AV421" s="29" t="n">
        <v>1</v>
      </c>
      <c r="AW421" s="29" t="inlineStr">
        <is>
          <t>ROWS:p64r6 VALUE_COL:Valor_Atualizado CASE_NUMBER_CORRECTED</t>
        </is>
      </c>
    </row>
    <row r="422">
      <c r="A422" s="15" t="inlineStr">
        <is>
          <t>SIRI COMERCIO E SERVICOS LTDA.</t>
        </is>
      </c>
      <c r="B422" s="16" t="n">
        <v>383787.51</v>
      </c>
      <c r="C422" s="17" t="inlineStr">
        <is>
          <t>aludida empresa</t>
        </is>
      </c>
      <c r="D422" s="18" t="inlineStr">
        <is>
          <t>NEW</t>
        </is>
      </c>
      <c r="E422" s="19" t="inlineStr"/>
      <c r="F422" s="18" t="inlineStr"/>
      <c r="G422" s="19" t="inlineStr"/>
      <c r="H422" s="18" t="inlineStr"/>
      <c r="I422" s="20" t="inlineStr">
        <is>
          <t>RICARDO DOS SANTOS BORBA CAVALCANTE</t>
        </is>
      </c>
      <c r="J422" s="20" t="inlineStr">
        <is>
          <t>Sócio-Administrador</t>
        </is>
      </c>
      <c r="K422" s="20" t="inlineStr">
        <is>
          <t>(11) 3053-1611</t>
        </is>
      </c>
      <c r="L422" s="20" t="inlineStr"/>
      <c r="M422" s="20" t="inlineStr"/>
      <c r="N422" s="20" t="inlineStr"/>
      <c r="O422" s="20" t="inlineStr"/>
      <c r="P422" s="20" t="inlineStr"/>
      <c r="Q422" s="20" t="inlineStr"/>
      <c r="R422" s="20" t="inlineStr"/>
      <c r="S422" s="20" t="inlineStr"/>
      <c r="T422" s="21" t="n">
        <v>383787.51</v>
      </c>
      <c r="U422" s="31" t="inlineStr">
        <is>
          <t>C</t>
        </is>
      </c>
      <c r="V422" s="23">
        <f>IFERROR(VLOOKUP(U422,Assumptions!$A$7:$D$11,2,FALSE),0)</f>
        <v/>
      </c>
      <c r="W422" s="24">
        <f>MAX(0.5,IFERROR(VLOOKUP(U422,Assumptions!$A$7:$D$11,3,FALSE),3)+IFERROR(VLOOKUP(U422,Assumptions!$A$7:$D$11,4,FALSE),8)/2-IF(AN422="",0,YEAR(TODAY())-AN422))</f>
        <v/>
      </c>
      <c r="X422" s="21">
        <f>T422*V422/(1+Assumptions!$B$3)^W422</f>
        <v/>
      </c>
      <c r="Y422" s="25">
        <f>IF(T422=0,"",ROUND(X422/T422*100,1))</f>
        <v/>
      </c>
      <c r="Z422" s="26">
        <f>X422*Assumptions!$B$4</f>
        <v/>
      </c>
      <c r="AA422" s="25">
        <f>IF(T422=0,"",ROUND(Z422/T422*100,1))</f>
        <v/>
      </c>
      <c r="AB422" s="26">
        <f>X422-Z422</f>
        <v/>
      </c>
      <c r="AC422" s="25">
        <f>IF(T422=0,"",ROUND((X422-Z422)/T422*100,1))</f>
        <v/>
      </c>
      <c r="AD422" s="27" t="inlineStr">
        <is>
          <t>ESTIMATED</t>
        </is>
      </c>
      <c r="AE422" s="28" t="inlineStr">
        <is>
          <t>https://recuperacaojudicial.squarespace.com/s/RJ-Credimoveis-QGC-01082025.pdf</t>
        </is>
      </c>
      <c r="AF422" s="27" t="inlineStr">
        <is>
          <t>p16 r60</t>
        </is>
      </c>
      <c r="AG422" s="27" t="inlineStr">
        <is>
          <t>p16: R$ 383.787,51</t>
        </is>
      </c>
      <c r="AH422" s="27" t="inlineStr">
        <is>
          <t>QGC</t>
        </is>
      </c>
      <c r="AI422" s="27" t="inlineStr">
        <is>
          <t>2026-01-28</t>
        </is>
      </c>
      <c r="AJ422" s="27" t="inlineStr">
        <is>
          <t>OK</t>
        </is>
      </c>
      <c r="AK422" s="29" t="inlineStr">
        <is>
          <t>0007565-40.2020.8.17.2370</t>
        </is>
      </c>
      <c r="AL422" s="29" t="inlineStr">
        <is>
          <t>TJPE</t>
        </is>
      </c>
      <c r="AM422" s="29" t="inlineStr">
        <is>
          <t>ACTIVE</t>
        </is>
      </c>
      <c r="AN422" s="29" t="n">
        <v>2020</v>
      </c>
      <c r="AO422" s="29" t="inlineStr">
        <is>
          <t>6y since filing, no plan document</t>
        </is>
      </c>
      <c r="AP422" s="29" t="inlineStr">
        <is>
          <t>SAO PAULO</t>
        </is>
      </c>
      <c r="AQ422" s="29" t="inlineStr">
        <is>
          <t>SP</t>
        </is>
      </c>
      <c r="AR422" s="29" t="inlineStr">
        <is>
          <t>Comércio atacadista de componentes eletrônicos e equipamentos de telefonia e comunicação</t>
        </is>
      </c>
      <c r="AS422" s="29" t="inlineStr">
        <is>
          <t>DEMAIS</t>
        </is>
      </c>
      <c r="AT422" s="29" t="inlineStr">
        <is>
          <t>LARGE CORP</t>
        </is>
      </c>
      <c r="AU422" s="29" t="inlineStr">
        <is>
          <t>04904042</t>
        </is>
      </c>
      <c r="AV422" s="29" t="n">
        <v>1</v>
      </c>
      <c r="AW422" s="29" t="inlineStr">
        <is>
          <t>ROWS:p16r60</t>
        </is>
      </c>
    </row>
    <row r="423">
      <c r="A423" s="15" t="inlineStr">
        <is>
          <t>CESDE INDUSTRIA E COMERCIO DE ELETRODOMESTICOS LTDA</t>
        </is>
      </c>
      <c r="B423" s="16" t="n">
        <v>376130.35</v>
      </c>
      <c r="C423" s="17" t="inlineStr">
        <is>
          <t>aludida empresa</t>
        </is>
      </c>
      <c r="D423" s="18" t="inlineStr">
        <is>
          <t>NEW</t>
        </is>
      </c>
      <c r="E423" s="19" t="inlineStr"/>
      <c r="F423" s="18" t="inlineStr"/>
      <c r="G423" s="19" t="inlineStr"/>
      <c r="H423" s="18" t="inlineStr"/>
      <c r="I423" s="20" t="inlineStr">
        <is>
          <t>ALBERTO BETRIAN BLASCO</t>
        </is>
      </c>
      <c r="J423" s="20" t="inlineStr">
        <is>
          <t>Sócio-Administrador</t>
        </is>
      </c>
      <c r="K423" s="20" t="inlineStr">
        <is>
          <t>(85) 4011-3800</t>
        </is>
      </c>
      <c r="L423" s="20" t="inlineStr">
        <is>
          <t>(85) 4011-3824</t>
        </is>
      </c>
      <c r="M423" s="20" t="inlineStr"/>
      <c r="N423" s="20" t="inlineStr"/>
      <c r="O423" s="20" t="inlineStr"/>
      <c r="P423" s="20" t="inlineStr"/>
      <c r="Q423" s="20" t="inlineStr"/>
      <c r="R423" s="20" t="inlineStr"/>
      <c r="S423" s="20" t="inlineStr"/>
      <c r="T423" s="21" t="n">
        <v>376130.35</v>
      </c>
      <c r="U423" s="31" t="inlineStr">
        <is>
          <t>C</t>
        </is>
      </c>
      <c r="V423" s="23">
        <f>IFERROR(VLOOKUP(U423,Assumptions!$A$7:$D$11,2,FALSE),0)</f>
        <v/>
      </c>
      <c r="W423" s="24">
        <f>MAX(0.5,IFERROR(VLOOKUP(U423,Assumptions!$A$7:$D$11,3,FALSE),3)+IFERROR(VLOOKUP(U423,Assumptions!$A$7:$D$11,4,FALSE),8)/2-IF(AN423="",0,YEAR(TODAY())-AN423))</f>
        <v/>
      </c>
      <c r="X423" s="21">
        <f>T423*V423/(1+Assumptions!$B$3)^W423</f>
        <v/>
      </c>
      <c r="Y423" s="25">
        <f>IF(T423=0,"",ROUND(X423/T423*100,1))</f>
        <v/>
      </c>
      <c r="Z423" s="26">
        <f>X423*Assumptions!$B$4</f>
        <v/>
      </c>
      <c r="AA423" s="25">
        <f>IF(T423=0,"",ROUND(Z423/T423*100,1))</f>
        <v/>
      </c>
      <c r="AB423" s="26">
        <f>X423-Z423</f>
        <v/>
      </c>
      <c r="AC423" s="25">
        <f>IF(T423=0,"",ROUND((X423-Z423)/T423*100,1))</f>
        <v/>
      </c>
      <c r="AD423" s="27" t="inlineStr">
        <is>
          <t>ESTIMATED</t>
        </is>
      </c>
      <c r="AE423" s="28" t="inlineStr">
        <is>
          <t>https://recuperacaojudicial.squarespace.com/s/RJ-Credimoveis-QGC-01082025.pdf</t>
        </is>
      </c>
      <c r="AF423" s="27" t="inlineStr">
        <is>
          <t>p15 r29</t>
        </is>
      </c>
      <c r="AG423" s="27" t="inlineStr">
        <is>
          <t>p15: R$ 376.130,35</t>
        </is>
      </c>
      <c r="AH423" s="27" t="inlineStr">
        <is>
          <t>QGC</t>
        </is>
      </c>
      <c r="AI423" s="27" t="inlineStr">
        <is>
          <t>2026-01-28</t>
        </is>
      </c>
      <c r="AJ423" s="27" t="inlineStr">
        <is>
          <t>OK</t>
        </is>
      </c>
      <c r="AK423" s="29" t="inlineStr">
        <is>
          <t>0007565-40.2020.8.17.2370</t>
        </is>
      </c>
      <c r="AL423" s="29" t="inlineStr">
        <is>
          <t>TJPE</t>
        </is>
      </c>
      <c r="AM423" s="29" t="inlineStr">
        <is>
          <t>ACTIVE</t>
        </is>
      </c>
      <c r="AN423" s="29" t="n">
        <v>2020</v>
      </c>
      <c r="AO423" s="29" t="inlineStr">
        <is>
          <t>6y since filing, no plan document</t>
        </is>
      </c>
      <c r="AP423" s="29" t="inlineStr">
        <is>
          <t>MARANGUAPE</t>
        </is>
      </c>
      <c r="AQ423" s="29" t="inlineStr">
        <is>
          <t>CE</t>
        </is>
      </c>
      <c r="AR423" s="29" t="inlineStr">
        <is>
          <t>Fabricação de outros aparelhos eletrodomésticos não especificados anteriormente, peças e acessórios</t>
        </is>
      </c>
      <c r="AS423" s="29" t="inlineStr">
        <is>
          <t>DEMAIS</t>
        </is>
      </c>
      <c r="AT423" s="29" t="inlineStr">
        <is>
          <t>MID-MARKET</t>
        </is>
      </c>
      <c r="AU423" s="29" t="inlineStr">
        <is>
          <t>00153282</t>
        </is>
      </c>
      <c r="AV423" s="29" t="n">
        <v>1</v>
      </c>
      <c r="AW423" s="29" t="inlineStr">
        <is>
          <t>ROWS:p15r29</t>
        </is>
      </c>
    </row>
    <row r="424">
      <c r="A424" s="15" t="inlineStr">
        <is>
          <t>DOHLER S.A.</t>
        </is>
      </c>
      <c r="B424" s="16" t="n">
        <v>268521.81</v>
      </c>
      <c r="C424" s="17" t="inlineStr"/>
      <c r="D424" s="18" t="inlineStr">
        <is>
          <t>NEW</t>
        </is>
      </c>
      <c r="E424" s="19" t="inlineStr"/>
      <c r="F424" s="18" t="inlineStr"/>
      <c r="G424" s="19" t="inlineStr"/>
      <c r="H424" s="18" t="inlineStr"/>
      <c r="I424" s="20" t="inlineStr">
        <is>
          <t>JOSE MARIO GOMES RIBEIRO</t>
        </is>
      </c>
      <c r="J424" s="20" t="inlineStr">
        <is>
          <t>Presidente</t>
        </is>
      </c>
      <c r="K424" s="20" t="inlineStr">
        <is>
          <t>(47) 3441-1666</t>
        </is>
      </c>
      <c r="L424" s="20" t="inlineStr">
        <is>
          <t>(47) 3441-1777</t>
        </is>
      </c>
      <c r="M424" s="20" t="inlineStr"/>
      <c r="N424" s="20" t="inlineStr"/>
      <c r="O424" s="20" t="inlineStr"/>
      <c r="P424" s="20" t="inlineStr">
        <is>
          <t>CESAR PEREIRA DOHLER</t>
        </is>
      </c>
      <c r="Q424" s="20" t="inlineStr">
        <is>
          <t>Diretor</t>
        </is>
      </c>
      <c r="R424" s="20" t="inlineStr">
        <is>
          <t>(47) 3441-1777</t>
        </is>
      </c>
      <c r="S424" s="20" t="inlineStr"/>
      <c r="T424" s="21" t="n">
        <v>268521.81</v>
      </c>
      <c r="U424" s="31" t="inlineStr">
        <is>
          <t>C</t>
        </is>
      </c>
      <c r="V424" s="23">
        <f>IFERROR(VLOOKUP(U424,Assumptions!$A$7:$D$11,2,FALSE),0)</f>
        <v/>
      </c>
      <c r="W424" s="24">
        <f>MAX(0.5,IFERROR(VLOOKUP(U424,Assumptions!$A$7:$D$11,3,FALSE),3)+IFERROR(VLOOKUP(U424,Assumptions!$A$7:$D$11,4,FALSE),8)/2-IF(AN424="",0,YEAR(TODAY())-AN424))</f>
        <v/>
      </c>
      <c r="X424" s="21">
        <f>T424*V424/(1+Assumptions!$B$3)^W424</f>
        <v/>
      </c>
      <c r="Y424" s="25">
        <f>IF(T424=0,"",ROUND(X424/T424*100,1))</f>
        <v/>
      </c>
      <c r="Z424" s="26">
        <f>X424*Assumptions!$B$4</f>
        <v/>
      </c>
      <c r="AA424" s="25">
        <f>IF(T424=0,"",ROUND(Z424/T424*100,1))</f>
        <v/>
      </c>
      <c r="AB424" s="26">
        <f>X424-Z424</f>
        <v/>
      </c>
      <c r="AC424" s="25">
        <f>IF(T424=0,"",ROUND((X424-Z424)/T424*100,1))</f>
        <v/>
      </c>
      <c r="AD424" s="27" t="inlineStr">
        <is>
          <t>UNKNOWN</t>
        </is>
      </c>
      <c r="AE424" s="28" t="inlineStr">
        <is>
          <t>https://administradorajudicialgs.com.br/wp-content/uploads/2024/12/relacao-de-credores-da-falida.pdf</t>
        </is>
      </c>
      <c r="AF424" s="27" t="inlineStr">
        <is>
          <t>p14 r8</t>
        </is>
      </c>
      <c r="AG424" s="27" t="inlineStr">
        <is>
          <t>p14: R$ 268.521,81</t>
        </is>
      </c>
      <c r="AH424" s="27" t="inlineStr">
        <is>
          <t>UNKNOWN</t>
        </is>
      </c>
      <c r="AI424" s="27" t="inlineStr">
        <is>
          <t>2025-03-25</t>
        </is>
      </c>
      <c r="AJ424" s="27" t="inlineStr">
        <is>
          <t>OK_NO_TOTALS</t>
        </is>
      </c>
      <c r="AK424" s="29" t="inlineStr">
        <is>
          <t>0005010-50.2013.8.24.0026</t>
        </is>
      </c>
      <c r="AL424" s="29" t="inlineStr">
        <is>
          <t>TJ</t>
        </is>
      </c>
      <c r="AM424" s="29" t="inlineStr"/>
      <c r="AN424" s="29" t="n">
        <v>2013</v>
      </c>
      <c r="AO424" s="29" t="inlineStr">
        <is>
          <t>13y since filing, no plan document</t>
        </is>
      </c>
      <c r="AP424" s="29" t="inlineStr">
        <is>
          <t>JOINVILLE</t>
        </is>
      </c>
      <c r="AQ424" s="29" t="inlineStr">
        <is>
          <t>SC</t>
        </is>
      </c>
      <c r="AR424" s="29" t="inlineStr">
        <is>
          <t>Tecelagem de fios de algodão</t>
        </is>
      </c>
      <c r="AS424" s="29" t="inlineStr">
        <is>
          <t>DEMAIS</t>
        </is>
      </c>
      <c r="AT424" s="29" t="inlineStr">
        <is>
          <t>LARGE CORP</t>
        </is>
      </c>
      <c r="AU424" s="29" t="inlineStr">
        <is>
          <t>84683408</t>
        </is>
      </c>
      <c r="AV424" s="29" t="n">
        <v>1</v>
      </c>
      <c r="AW424" s="29" t="inlineStr">
        <is>
          <t>ROWS:p14r8 UNRECONCILED_SOURCE</t>
        </is>
      </c>
    </row>
    <row r="425">
      <c r="A425" s="15" t="inlineStr">
        <is>
          <t>TREVO ALIMENTOS LTDA</t>
        </is>
      </c>
      <c r="B425" s="16" t="n">
        <v>341398.88</v>
      </c>
      <c r="C425" s="17" t="inlineStr">
        <is>
          <t>COMERCIO RACOES BEM BOM LTDA</t>
        </is>
      </c>
      <c r="D425" s="18" t="inlineStr">
        <is>
          <t>NEW</t>
        </is>
      </c>
      <c r="E425" s="19" t="inlineStr"/>
      <c r="F425" s="18" t="inlineStr"/>
      <c r="G425" s="19" t="inlineStr"/>
      <c r="H425" s="18" t="inlineStr"/>
      <c r="I425" s="20" t="inlineStr">
        <is>
          <t>PAULO BENTO DE ARAUJO</t>
        </is>
      </c>
      <c r="J425" s="20" t="inlineStr">
        <is>
          <t>Sócio-Administrador</t>
        </is>
      </c>
      <c r="K425" s="20" t="inlineStr">
        <is>
          <t>(62) 3295-5359</t>
        </is>
      </c>
      <c r="L425" s="20" t="inlineStr"/>
      <c r="M425" s="20" t="inlineStr"/>
      <c r="N425" s="20" t="inlineStr"/>
      <c r="O425" s="20" t="inlineStr"/>
      <c r="P425" s="20" t="inlineStr"/>
      <c r="Q425" s="20" t="inlineStr"/>
      <c r="R425" s="20" t="inlineStr"/>
      <c r="S425" s="20" t="inlineStr"/>
      <c r="T425" s="21" t="n">
        <v>341398.88</v>
      </c>
      <c r="U425" s="32" t="inlineStr">
        <is>
          <t>A</t>
        </is>
      </c>
      <c r="V425" s="23">
        <f>IFERROR(VLOOKUP(U425,Assumptions!$A$7:$D$11,2,FALSE),0)</f>
        <v/>
      </c>
      <c r="W425" s="24">
        <f>MAX(0.5,IFERROR(VLOOKUP(U425,Assumptions!$A$7:$D$11,3,FALSE),3)+IFERROR(VLOOKUP(U425,Assumptions!$A$7:$D$11,4,FALSE),8)/2-IF(AN425="",0,YEAR(TODAY())-AN425))</f>
        <v/>
      </c>
      <c r="X425" s="21">
        <f>T425*V425/(1+Assumptions!$B$3)^W425</f>
        <v/>
      </c>
      <c r="Y425" s="25">
        <f>IF(T425=0,"",ROUND(X425/T425*100,1))</f>
        <v/>
      </c>
      <c r="Z425" s="26">
        <f>X425*Assumptions!$B$4</f>
        <v/>
      </c>
      <c r="AA425" s="25">
        <f>IF(T425=0,"",ROUND(Z425/T425*100,1))</f>
        <v/>
      </c>
      <c r="AB425" s="26">
        <f>X425-Z425</f>
        <v/>
      </c>
      <c r="AC425" s="25">
        <f>IF(T425=0,"",ROUND((X425-Z425)/T425*100,1))</f>
        <v/>
      </c>
      <c r="AD425" s="27" t="inlineStr">
        <is>
          <t>CONFIRMED</t>
        </is>
      </c>
      <c r="AE425" s="28" t="inlineStr">
        <is>
          <t>https://stenius.com.br/wp-content/uploads/2026/06/EDITAL-GRUPO-3E.pdf</t>
        </is>
      </c>
      <c r="AF425" s="27" t="inlineStr">
        <is>
          <t>p18 r48</t>
        </is>
      </c>
      <c r="AG425" s="27" t="inlineStr">
        <is>
          <t>p18: R$ 341.398,88</t>
        </is>
      </c>
      <c r="AH425" s="27" t="inlineStr">
        <is>
          <t>DEBTOR_LIST</t>
        </is>
      </c>
      <c r="AI425" s="27" t="inlineStr">
        <is>
          <t>2026-06-22</t>
        </is>
      </c>
      <c r="AJ425" s="27" t="inlineStr">
        <is>
          <t>OK_NO_TOTALS</t>
        </is>
      </c>
      <c r="AK425" s="29" t="inlineStr">
        <is>
          <t>5341375-33.2026.8.09.0049</t>
        </is>
      </c>
      <c r="AL425" s="29" t="inlineStr">
        <is>
          <t>TJGO</t>
        </is>
      </c>
      <c r="AM425" s="29" t="inlineStr">
        <is>
          <t>ACTIVE</t>
        </is>
      </c>
      <c r="AN425" s="29" t="n">
        <v>2026</v>
      </c>
      <c r="AO425" s="29" t="inlineStr">
        <is>
          <t>plan/homologation document found</t>
        </is>
      </c>
      <c r="AP425" s="29" t="inlineStr">
        <is>
          <t>ITAUCU</t>
        </is>
      </c>
      <c r="AQ425" s="29" t="inlineStr">
        <is>
          <t>GO</t>
        </is>
      </c>
      <c r="AR425" s="29" t="inlineStr">
        <is>
          <t>Frigorífico - abate de bovinos</t>
        </is>
      </c>
      <c r="AS425" s="29" t="inlineStr">
        <is>
          <t>EMPRESA DE PEQUENO PORTE</t>
        </is>
      </c>
      <c r="AT425" s="29" t="inlineStr">
        <is>
          <t>SMALL</t>
        </is>
      </c>
      <c r="AU425" s="29" t="inlineStr">
        <is>
          <t>32902452</t>
        </is>
      </c>
      <c r="AV425" s="29" t="n">
        <v>1</v>
      </c>
      <c r="AW425" s="29" t="inlineStr">
        <is>
          <t>ROWS:p18r48 UNRECONCILED_SOURCE</t>
        </is>
      </c>
    </row>
    <row r="426">
      <c r="A426" s="15" t="inlineStr">
        <is>
          <t>DISTRITO DE IRRIGACAO DO PERIMETRO SENADOR NILO COELHO</t>
        </is>
      </c>
      <c r="B426" s="16" t="n">
        <v>264882.79</v>
      </c>
      <c r="C426" s="17" t="inlineStr">
        <is>
          <t>E FALENCIA</t>
        </is>
      </c>
      <c r="D426" s="18" t="inlineStr">
        <is>
          <t>NEW</t>
        </is>
      </c>
      <c r="E426" s="19" t="inlineStr"/>
      <c r="F426" s="18" t="inlineStr"/>
      <c r="G426" s="19" t="inlineStr"/>
      <c r="H426" s="18" t="inlineStr"/>
      <c r="I426" s="20" t="inlineStr">
        <is>
          <t>PAULO HENRIQUE PESSOA DE SALES</t>
        </is>
      </c>
      <c r="J426" s="20" t="inlineStr">
        <is>
          <t>Administrador</t>
        </is>
      </c>
      <c r="K426" s="20" t="inlineStr">
        <is>
          <t>(87) 3986-3565</t>
        </is>
      </c>
      <c r="L426" s="20" t="inlineStr"/>
      <c r="M426" s="20" t="inlineStr"/>
      <c r="N426" s="20" t="inlineStr"/>
      <c r="O426" s="20" t="inlineStr"/>
      <c r="P426" s="20" t="inlineStr">
        <is>
          <t>HIROTO YUKIHARA</t>
        </is>
      </c>
      <c r="Q426" s="20" t="inlineStr">
        <is>
          <t>Presidente</t>
        </is>
      </c>
      <c r="R426" s="20" t="inlineStr">
        <is>
          <t>(87) 3986-3565</t>
        </is>
      </c>
      <c r="S426" s="20" t="inlineStr"/>
      <c r="T426" s="21" t="n">
        <v>264882.79</v>
      </c>
      <c r="U426" s="31" t="inlineStr">
        <is>
          <t>C</t>
        </is>
      </c>
      <c r="V426" s="23">
        <f>IFERROR(VLOOKUP(U426,Assumptions!$A$7:$D$11,2,FALSE),0)</f>
        <v/>
      </c>
      <c r="W426" s="24">
        <f>MAX(0.5,IFERROR(VLOOKUP(U426,Assumptions!$A$7:$D$11,3,FALSE),3)+IFERROR(VLOOKUP(U426,Assumptions!$A$7:$D$11,4,FALSE),8)/2-IF(AN426="",0,YEAR(TODAY())-AN426))</f>
        <v/>
      </c>
      <c r="X426" s="21">
        <f>T426*V426/(1+Assumptions!$B$3)^W426</f>
        <v/>
      </c>
      <c r="Y426" s="25">
        <f>IF(T426=0,"",ROUND(X426/T426*100,1))</f>
        <v/>
      </c>
      <c r="Z426" s="26">
        <f>X426*Assumptions!$B$4</f>
        <v/>
      </c>
      <c r="AA426" s="25">
        <f>IF(T426=0,"",ROUND(Z426/T426*100,1))</f>
        <v/>
      </c>
      <c r="AB426" s="26">
        <f>X426-Z426</f>
        <v/>
      </c>
      <c r="AC426" s="25">
        <f>IF(T426=0,"",ROUND((X426-Z426)/T426*100,1))</f>
        <v/>
      </c>
      <c r="AD426" s="27" t="inlineStr">
        <is>
          <t>UNKNOWN</t>
        </is>
      </c>
      <c r="AE426" s="28" t="inlineStr">
        <is>
          <t>https://diligence.adm.br/wp-content/plugins/download-attachments/includes/download.php?id=4579</t>
        </is>
      </c>
      <c r="AF426" s="27" t="inlineStr">
        <is>
          <t>p8 r5</t>
        </is>
      </c>
      <c r="AG426" s="27" t="inlineStr">
        <is>
          <t>p8: R$ 264.882,79</t>
        </is>
      </c>
      <c r="AH426" s="27" t="inlineStr">
        <is>
          <t>AJ_LIST</t>
        </is>
      </c>
      <c r="AI426" s="27" t="inlineStr">
        <is>
          <t>2024-06-11</t>
        </is>
      </c>
      <c r="AJ426" s="27" t="inlineStr">
        <is>
          <t>OK_NO_TOTALS</t>
        </is>
      </c>
      <c r="AK426" s="29" t="inlineStr">
        <is>
          <t>0032731-52.2010.8.17.0001</t>
        </is>
      </c>
      <c r="AL426" s="29" t="inlineStr">
        <is>
          <t>TJ</t>
        </is>
      </c>
      <c r="AM426" s="29" t="inlineStr"/>
      <c r="AN426" s="29" t="n">
        <v>2010</v>
      </c>
      <c r="AO426" s="29" t="inlineStr">
        <is>
          <t>16y since filing, no plan document</t>
        </is>
      </c>
      <c r="AP426" s="29" t="inlineStr">
        <is>
          <t>PETROLINA</t>
        </is>
      </c>
      <c r="AQ426" s="29" t="inlineStr">
        <is>
          <t>PE</t>
        </is>
      </c>
      <c r="AR426" s="29" t="inlineStr">
        <is>
          <t>Atividades de associações de defesa de direitos sociais</t>
        </is>
      </c>
      <c r="AS426" s="29" t="inlineStr">
        <is>
          <t>DEMAIS</t>
        </is>
      </c>
      <c r="AT426" s="29" t="inlineStr">
        <is>
          <t>MID-MARKET</t>
        </is>
      </c>
      <c r="AU426" s="29" t="inlineStr">
        <is>
          <t>12656690</t>
        </is>
      </c>
      <c r="AV426" s="29" t="n">
        <v>1</v>
      </c>
      <c r="AW426" s="29" t="inlineStr">
        <is>
          <t>ROWS:p8r5 UNRECONCILED_SOURCE VALUE_COL:Crédito_1ª_Lista</t>
        </is>
      </c>
    </row>
    <row r="427">
      <c r="A427" s="15" t="inlineStr">
        <is>
          <t>METALURGICA FEY LTDA</t>
        </is>
      </c>
      <c r="B427" s="16" t="n">
        <v>360769.13</v>
      </c>
      <c r="C427" s="17" t="inlineStr"/>
      <c r="D427" s="18" t="inlineStr">
        <is>
          <t>NEW</t>
        </is>
      </c>
      <c r="E427" s="19" t="inlineStr"/>
      <c r="F427" s="18" t="inlineStr"/>
      <c r="G427" s="19" t="inlineStr"/>
      <c r="H427" s="18" t="inlineStr"/>
      <c r="I427" s="20" t="inlineStr">
        <is>
          <t>ADOLFO FEY</t>
        </is>
      </c>
      <c r="J427" s="20" t="inlineStr">
        <is>
          <t>Sócio-Administrador</t>
        </is>
      </c>
      <c r="K427" s="20" t="inlineStr">
        <is>
          <t>(47) 3301-7000</t>
        </is>
      </c>
      <c r="L427" s="20" t="inlineStr"/>
      <c r="M427" s="20" t="inlineStr"/>
      <c r="N427" s="20" t="inlineStr"/>
      <c r="O427" s="20" t="inlineStr"/>
      <c r="P427" s="20" t="inlineStr">
        <is>
          <t>BERTOLDO FEY</t>
        </is>
      </c>
      <c r="Q427" s="20" t="inlineStr">
        <is>
          <t>Sócio-Administrador</t>
        </is>
      </c>
      <c r="R427" s="20" t="inlineStr">
        <is>
          <t>(47) 3301-7000</t>
        </is>
      </c>
      <c r="S427" s="20" t="inlineStr"/>
      <c r="T427" s="21" t="n">
        <v>360769.13</v>
      </c>
      <c r="U427" s="22" t="inlineStr">
        <is>
          <t>B</t>
        </is>
      </c>
      <c r="V427" s="23">
        <f>IFERROR(VLOOKUP(U427,Assumptions!$A$7:$D$11,2,FALSE),0)</f>
        <v/>
      </c>
      <c r="W427" s="24">
        <f>MAX(0.5,IFERROR(VLOOKUP(U427,Assumptions!$A$7:$D$11,3,FALSE),3)+IFERROR(VLOOKUP(U427,Assumptions!$A$7:$D$11,4,FALSE),8)/2-IF(AN427="",0,YEAR(TODAY())-AN427))</f>
        <v/>
      </c>
      <c r="X427" s="21">
        <f>T427*V427/(1+Assumptions!$B$3)^W427</f>
        <v/>
      </c>
      <c r="Y427" s="25">
        <f>IF(T427=0,"",ROUND(X427/T427*100,1))</f>
        <v/>
      </c>
      <c r="Z427" s="26">
        <f>X427*Assumptions!$B$4</f>
        <v/>
      </c>
      <c r="AA427" s="25">
        <f>IF(T427=0,"",ROUND(Z427/T427*100,1))</f>
        <v/>
      </c>
      <c r="AB427" s="26">
        <f>X427-Z427</f>
        <v/>
      </c>
      <c r="AC427" s="25">
        <f>IF(T427=0,"",ROUND((X427-Z427)/T427*100,1))</f>
        <v/>
      </c>
      <c r="AD427" s="27" t="inlineStr">
        <is>
          <t>UNKNOWN</t>
        </is>
      </c>
      <c r="AE427" s="28" t="inlineStr">
        <is>
          <t>https://credibilita.com.br/wp-content/uploads/2025/09/Relacao-Credores-29.04.2026.pdf</t>
        </is>
      </c>
      <c r="AF427" s="27" t="inlineStr">
        <is>
          <t>p2 r5</t>
        </is>
      </c>
      <c r="AG427" s="27" t="inlineStr">
        <is>
          <t>p2: R$ 360.769,13</t>
        </is>
      </c>
      <c r="AH427" s="27" t="inlineStr">
        <is>
          <t>UNKNOWN</t>
        </is>
      </c>
      <c r="AI427" s="27" t="inlineStr"/>
      <c r="AJ427" s="27" t="inlineStr">
        <is>
          <t>OK_NO_TOTALS</t>
        </is>
      </c>
      <c r="AK427" s="29" t="inlineStr">
        <is>
          <t>5057720-48.2025.8.24.0023</t>
        </is>
      </c>
      <c r="AL427" s="29" t="inlineStr">
        <is>
          <t>TJ</t>
        </is>
      </c>
      <c r="AM427" s="29" t="inlineStr"/>
      <c r="AN427" s="29" t="n">
        <v>2025</v>
      </c>
      <c r="AO427" s="29" t="inlineStr">
        <is>
          <t>live case, no plan document yet</t>
        </is>
      </c>
      <c r="AP427" s="29" t="inlineStr">
        <is>
          <t>INDAIAL</t>
        </is>
      </c>
      <c r="AQ427" s="29" t="inlineStr">
        <is>
          <t>SC</t>
        </is>
      </c>
      <c r="AR427" s="29" t="inlineStr">
        <is>
          <t>Fabricação de outras peças e acessórios para veículos automotores não especificadas anteriormente</t>
        </is>
      </c>
      <c r="AS427" s="29" t="inlineStr">
        <is>
          <t>DEMAIS</t>
        </is>
      </c>
      <c r="AT427" s="29" t="inlineStr">
        <is>
          <t>LARGE CORP</t>
        </is>
      </c>
      <c r="AU427" s="29" t="inlineStr">
        <is>
          <t>84229624</t>
        </is>
      </c>
      <c r="AV427" s="29" t="n">
        <v>1</v>
      </c>
      <c r="AW427" s="29" t="inlineStr">
        <is>
          <t>ROWS:p2r5 UNRECONCILED_SOURCE VALUE_COL:Valor_Após_Analise</t>
        </is>
      </c>
    </row>
    <row r="428">
      <c r="A428" s="15" t="inlineStr">
        <is>
          <t>MACCAFERRI DO BRASIL LTDA</t>
        </is>
      </c>
      <c r="B428" s="16" t="n">
        <v>676208.62</v>
      </c>
      <c r="C428" s="17" t="inlineStr">
        <is>
          <t>EGESA ENGENHARIA S/A (Consórcio ETDI)</t>
        </is>
      </c>
      <c r="D428" s="18" t="inlineStr">
        <is>
          <t>NEW</t>
        </is>
      </c>
      <c r="E428" s="19" t="inlineStr"/>
      <c r="F428" s="18" t="inlineStr"/>
      <c r="G428" s="19" t="inlineStr"/>
      <c r="H428" s="18" t="inlineStr"/>
      <c r="I428" s="20" t="inlineStr">
        <is>
          <t>ALEXANDRE MARCOS TEXEIRA</t>
        </is>
      </c>
      <c r="J428" s="20" t="inlineStr">
        <is>
          <t>Administrador</t>
        </is>
      </c>
      <c r="K428" s="20" t="inlineStr">
        <is>
          <t>(11) 4525-5000</t>
        </is>
      </c>
      <c r="L428" s="20" t="inlineStr">
        <is>
          <t>(11) 4525-5056</t>
        </is>
      </c>
      <c r="M428" s="20" t="inlineStr"/>
      <c r="N428" s="20" t="inlineStr"/>
      <c r="O428" s="20" t="inlineStr"/>
      <c r="P428" s="20" t="inlineStr">
        <is>
          <t>LEILA SOARES REGO BENEDUZZI</t>
        </is>
      </c>
      <c r="Q428" s="20" t="inlineStr">
        <is>
          <t>Administrador</t>
        </is>
      </c>
      <c r="R428" s="20" t="inlineStr">
        <is>
          <t>(11) 4525-5056</t>
        </is>
      </c>
      <c r="S428" s="20" t="inlineStr"/>
      <c r="T428" s="21" t="n">
        <v>676208.62</v>
      </c>
      <c r="U428" s="30" t="inlineStr">
        <is>
          <t>?</t>
        </is>
      </c>
      <c r="V428" s="23">
        <f>IFERROR(VLOOKUP(U428,Assumptions!$A$7:$D$11,2,FALSE),0)</f>
        <v/>
      </c>
      <c r="W428" s="24">
        <f>MAX(0.5,IFERROR(VLOOKUP(U428,Assumptions!$A$7:$D$11,3,FALSE),3)+IFERROR(VLOOKUP(U428,Assumptions!$A$7:$D$11,4,FALSE),8)/2-IF(AN428="",0,YEAR(TODAY())-AN428))</f>
        <v/>
      </c>
      <c r="X428" s="21">
        <f>T428*V428/(1+Assumptions!$B$3)^W428</f>
        <v/>
      </c>
      <c r="Y428" s="25">
        <f>IF(T428=0,"",ROUND(X428/T428*100,1))</f>
        <v/>
      </c>
      <c r="Z428" s="26">
        <f>X428*Assumptions!$B$4</f>
        <v/>
      </c>
      <c r="AA428" s="25">
        <f>IF(T428=0,"",ROUND(Z428/T428*100,1))</f>
        <v/>
      </c>
      <c r="AB428" s="26">
        <f>X428-Z428</f>
        <v/>
      </c>
      <c r="AC428" s="25">
        <f>IF(T428=0,"",ROUND((X428-Z428)/T428*100,1))</f>
        <v/>
      </c>
      <c r="AD428" s="27" t="inlineStr">
        <is>
          <t>UNKNOWN</t>
        </is>
      </c>
      <c r="AE428" s="28" t="inlineStr">
        <is>
          <t>https://scalzilliaj.com.br/sgc/download.php?file=files/processo_documento/processo_documento09514021082025_1_.pdf&amp;nome=04 - Relação de credores das Recuperandas</t>
        </is>
      </c>
      <c r="AF428" s="27" t="inlineStr">
        <is>
          <t>p69 r10</t>
        </is>
      </c>
      <c r="AG428" s="27" t="inlineStr">
        <is>
          <t>p69: R$ 676.208,62</t>
        </is>
      </c>
      <c r="AH428" s="27" t="inlineStr">
        <is>
          <t>DEBTOR_LIST</t>
        </is>
      </c>
      <c r="AI428" s="27" t="inlineStr"/>
      <c r="AJ428" s="27" t="inlineStr">
        <is>
          <t>OK</t>
        </is>
      </c>
      <c r="AK428" s="29" t="inlineStr">
        <is>
          <t>(not printed)</t>
        </is>
      </c>
      <c r="AL428" s="29" t="inlineStr"/>
      <c r="AM428" s="29" t="inlineStr"/>
      <c r="AN428" s="29" t="inlineStr"/>
      <c r="AO428" s="29" t="inlineStr">
        <is>
          <t>RJ case number not identified on the document</t>
        </is>
      </c>
      <c r="AP428" s="29" t="inlineStr">
        <is>
          <t>JUNDIAI</t>
        </is>
      </c>
      <c r="AQ428" s="29" t="inlineStr">
        <is>
          <t>SP</t>
        </is>
      </c>
      <c r="AR428" s="29" t="inlineStr">
        <is>
          <t>Fabricação de outros produtos de metal não especificados anteriormente</t>
        </is>
      </c>
      <c r="AS428" s="29" t="inlineStr">
        <is>
          <t>DEMAIS</t>
        </is>
      </c>
      <c r="AT428" s="29" t="inlineStr">
        <is>
          <t>LARGE CORP</t>
        </is>
      </c>
      <c r="AU428" s="29" t="inlineStr">
        <is>
          <t>43876960</t>
        </is>
      </c>
      <c r="AV428" s="29" t="n">
        <v>1</v>
      </c>
      <c r="AW428" s="29" t="inlineStr">
        <is>
          <t>ROWS:p69r10 VALUE_COL:Valor_Atualizado CASE_NUMBER_CORRECTED</t>
        </is>
      </c>
    </row>
    <row r="429">
      <c r="A429" s="15" t="inlineStr">
        <is>
          <t>PRIORI SEMENTES E DEFENSIVOS AGRICOLAS LTDA</t>
        </is>
      </c>
      <c r="B429" s="16" t="n">
        <v>449000</v>
      </c>
      <c r="C429" s="17" t="inlineStr"/>
      <c r="D429" s="18" t="inlineStr">
        <is>
          <t>NEW</t>
        </is>
      </c>
      <c r="E429" s="19" t="inlineStr"/>
      <c r="F429" s="18" t="inlineStr"/>
      <c r="G429" s="19" t="inlineStr"/>
      <c r="H429" s="18" t="inlineStr"/>
      <c r="I429" s="20" t="inlineStr">
        <is>
          <t>Paulo Priori</t>
        </is>
      </c>
      <c r="J429" s="20" t="inlineStr">
        <is>
          <t>Diretor Administrativo</t>
        </is>
      </c>
      <c r="K429" s="20" t="inlineStr">
        <is>
          <t>(64) 3636-2641</t>
        </is>
      </c>
      <c r="L429" s="20" t="inlineStr">
        <is>
          <t>(64) 3636-2638</t>
        </is>
      </c>
      <c r="M429" s="20" t="inlineStr"/>
      <c r="N429" s="20" t="inlineStr">
        <is>
          <t>paulo@priorisementes.com.br</t>
        </is>
      </c>
      <c r="O429" s="20" t="inlineStr">
        <is>
          <t>thiago.costa@priorisementes.com.br</t>
        </is>
      </c>
      <c r="P429" s="20" t="inlineStr">
        <is>
          <t>Thiago Costa</t>
        </is>
      </c>
      <c r="Q429" s="20" t="inlineStr">
        <is>
          <t>Commercial Manager</t>
        </is>
      </c>
      <c r="R429" s="20" t="inlineStr"/>
      <c r="S429" s="20" t="inlineStr">
        <is>
          <t>thiago.costa@priorisementes.com.br</t>
        </is>
      </c>
      <c r="T429" s="21" t="n">
        <v>449000</v>
      </c>
      <c r="U429" s="22" t="inlineStr">
        <is>
          <t>B</t>
        </is>
      </c>
      <c r="V429" s="23">
        <f>IFERROR(VLOOKUP(U429,Assumptions!$A$7:$D$11,2,FALSE),0)</f>
        <v/>
      </c>
      <c r="W429" s="24">
        <f>MAX(0.5,IFERROR(VLOOKUP(U429,Assumptions!$A$7:$D$11,3,FALSE),3)+IFERROR(VLOOKUP(U429,Assumptions!$A$7:$D$11,4,FALSE),8)/2-IF(AN429="",0,YEAR(TODAY())-AN429))</f>
        <v/>
      </c>
      <c r="X429" s="21">
        <f>T429*V429/(1+Assumptions!$B$3)^W429</f>
        <v/>
      </c>
      <c r="Y429" s="25">
        <f>IF(T429=0,"",ROUND(X429/T429*100,1))</f>
        <v/>
      </c>
      <c r="Z429" s="26">
        <f>X429*Assumptions!$B$4</f>
        <v/>
      </c>
      <c r="AA429" s="25">
        <f>IF(T429=0,"",ROUND(Z429/T429*100,1))</f>
        <v/>
      </c>
      <c r="AB429" s="26">
        <f>X429-Z429</f>
        <v/>
      </c>
      <c r="AC429" s="25">
        <f>IF(T429=0,"",ROUND((X429-Z429)/T429*100,1))</f>
        <v/>
      </c>
      <c r="AD429" s="27" t="inlineStr">
        <is>
          <t>ESTIMATED</t>
        </is>
      </c>
      <c r="AE429" s="28" t="inlineStr">
        <is>
          <t>https://scalzilliaj.com.br/sgc/download.php?file=files/processo_documento/processo_documento11421222052026_1_.pdf&amp;nome=08. Lista de credores do edital do art. 52, §1º da LREF</t>
        </is>
      </c>
      <c r="AF429" s="27" t="inlineStr">
        <is>
          <t>p2 r3</t>
        </is>
      </c>
      <c r="AG429" s="27" t="inlineStr">
        <is>
          <t>p2: R$ 449.000,00</t>
        </is>
      </c>
      <c r="AH429" s="27" t="inlineStr">
        <is>
          <t>UNKNOWN</t>
        </is>
      </c>
      <c r="AI429" s="27" t="inlineStr"/>
      <c r="AJ429" s="27" t="inlineStr">
        <is>
          <t>OK_NO_TOTALS</t>
        </is>
      </c>
      <c r="AK429" s="29" t="inlineStr">
        <is>
          <t>5011369-81.2026.8.09.0093</t>
        </is>
      </c>
      <c r="AL429" s="29" t="inlineStr">
        <is>
          <t>TJGO</t>
        </is>
      </c>
      <c r="AM429" s="29" t="inlineStr">
        <is>
          <t>ACTIVE</t>
        </is>
      </c>
      <c r="AN429" s="29" t="n">
        <v>2026</v>
      </c>
      <c r="AO429" s="29" t="inlineStr">
        <is>
          <t>live case, no plan document yet</t>
        </is>
      </c>
      <c r="AP429" s="29" t="inlineStr">
        <is>
          <t>JATAI</t>
        </is>
      </c>
      <c r="AQ429" s="29" t="inlineStr">
        <is>
          <t>GO</t>
        </is>
      </c>
      <c r="AR429" s="29" t="inlineStr">
        <is>
          <t>Armazéns gerais - emissão de warrant</t>
        </is>
      </c>
      <c r="AS429" s="29" t="inlineStr">
        <is>
          <t>DEMAIS</t>
        </is>
      </c>
      <c r="AT429" s="29" t="inlineStr">
        <is>
          <t>MID-MARKET</t>
        </is>
      </c>
      <c r="AU429" s="29" t="inlineStr">
        <is>
          <t>12067326</t>
        </is>
      </c>
      <c r="AV429" s="29" t="n">
        <v>1</v>
      </c>
      <c r="AW429" s="29" t="inlineStr">
        <is>
          <t>ROWS:p2r3 UNRECONCILED_SOURCE</t>
        </is>
      </c>
    </row>
    <row r="430">
      <c r="A430" s="15" t="inlineStr">
        <is>
          <t>MOMENTIVE PERFORMANCE MATERIALS INDUSTRIA DE SILICONES LTDA</t>
        </is>
      </c>
      <c r="B430" s="16" t="n">
        <v>262038.21</v>
      </c>
      <c r="C430" s="17" t="inlineStr"/>
      <c r="D430" s="18" t="inlineStr">
        <is>
          <t>NEW</t>
        </is>
      </c>
      <c r="E430" s="19" t="inlineStr"/>
      <c r="F430" s="18" t="inlineStr"/>
      <c r="G430" s="19" t="inlineStr"/>
      <c r="H430" s="18" t="inlineStr"/>
      <c r="I430" s="20" t="inlineStr">
        <is>
          <t>FERNANDO RODA</t>
        </is>
      </c>
      <c r="J430" s="20" t="inlineStr">
        <is>
          <t>Administrador</t>
        </is>
      </c>
      <c r="K430" s="20" t="inlineStr">
        <is>
          <t>(11) 5128-4222</t>
        </is>
      </c>
      <c r="L430" s="20" t="inlineStr"/>
      <c r="M430" s="20" t="inlineStr"/>
      <c r="N430" s="20" t="inlineStr"/>
      <c r="O430" s="20" t="inlineStr"/>
      <c r="P430" s="20" t="inlineStr">
        <is>
          <t>LEANDRO TRISTAO DE SOUZA</t>
        </is>
      </c>
      <c r="Q430" s="20" t="inlineStr">
        <is>
          <t>Administrador</t>
        </is>
      </c>
      <c r="R430" s="20" t="inlineStr">
        <is>
          <t>(11) 5128-4222</t>
        </is>
      </c>
      <c r="S430" s="20" t="inlineStr"/>
      <c r="T430" s="21" t="n">
        <v>262038.21</v>
      </c>
      <c r="U430" s="31" t="inlineStr">
        <is>
          <t>C</t>
        </is>
      </c>
      <c r="V430" s="23">
        <f>IFERROR(VLOOKUP(U430,Assumptions!$A$7:$D$11,2,FALSE),0)</f>
        <v/>
      </c>
      <c r="W430" s="24">
        <f>MAX(0.5,IFERROR(VLOOKUP(U430,Assumptions!$A$7:$D$11,3,FALSE),3)+IFERROR(VLOOKUP(U430,Assumptions!$A$7:$D$11,4,FALSE),8)/2-IF(AN430="",0,YEAR(TODAY())-AN430))</f>
        <v/>
      </c>
      <c r="X430" s="21">
        <f>T430*V430/(1+Assumptions!$B$3)^W430</f>
        <v/>
      </c>
      <c r="Y430" s="25">
        <f>IF(T430=0,"",ROUND(X430/T430*100,1))</f>
        <v/>
      </c>
      <c r="Z430" s="26">
        <f>X430*Assumptions!$B$4</f>
        <v/>
      </c>
      <c r="AA430" s="25">
        <f>IF(T430=0,"",ROUND(Z430/T430*100,1))</f>
        <v/>
      </c>
      <c r="AB430" s="26">
        <f>X430-Z430</f>
        <v/>
      </c>
      <c r="AC430" s="25">
        <f>IF(T430=0,"",ROUND((X430-Z430)/T430*100,1))</f>
        <v/>
      </c>
      <c r="AD430" s="27" t="inlineStr">
        <is>
          <t>UNKNOWN</t>
        </is>
      </c>
      <c r="AE430" s="28" t="inlineStr">
        <is>
          <t>https://administradorajudicialgs.com.br/wp-content/uploads/2024/12/relacao-de-credores-da-falida.pdf</t>
        </is>
      </c>
      <c r="AF430" s="27" t="inlineStr">
        <is>
          <t>p17 r2</t>
        </is>
      </c>
      <c r="AG430" s="27" t="inlineStr">
        <is>
          <t>p17: R$ 262.038,21</t>
        </is>
      </c>
      <c r="AH430" s="27" t="inlineStr">
        <is>
          <t>UNKNOWN</t>
        </is>
      </c>
      <c r="AI430" s="27" t="inlineStr">
        <is>
          <t>2025-03-25</t>
        </is>
      </c>
      <c r="AJ430" s="27" t="inlineStr">
        <is>
          <t>OK_NO_TOTALS</t>
        </is>
      </c>
      <c r="AK430" s="29" t="inlineStr">
        <is>
          <t>0005010-50.2013.8.24.0026</t>
        </is>
      </c>
      <c r="AL430" s="29" t="inlineStr">
        <is>
          <t>TJ</t>
        </is>
      </c>
      <c r="AM430" s="29" t="inlineStr"/>
      <c r="AN430" s="29" t="n">
        <v>2013</v>
      </c>
      <c r="AO430" s="29" t="inlineStr">
        <is>
          <t>13y since filing, no plan document</t>
        </is>
      </c>
      <c r="AP430" s="29" t="inlineStr">
        <is>
          <t>ITATIBA</t>
        </is>
      </c>
      <c r="AQ430" s="29" t="inlineStr">
        <is>
          <t>SP</t>
        </is>
      </c>
      <c r="AR430" s="29" t="inlineStr">
        <is>
          <t>Fabricação de aditivos de uso industrial</t>
        </is>
      </c>
      <c r="AS430" s="29" t="inlineStr">
        <is>
          <t>DEMAIS</t>
        </is>
      </c>
      <c r="AT430" s="29" t="inlineStr">
        <is>
          <t>MID-MARKET</t>
        </is>
      </c>
      <c r="AU430" s="29" t="inlineStr">
        <is>
          <t>05701847</t>
        </is>
      </c>
      <c r="AV430" s="29" t="n">
        <v>1</v>
      </c>
      <c r="AW430" s="29" t="inlineStr">
        <is>
          <t>ROWS:p17r2 UNRECONCILED_SOURCE</t>
        </is>
      </c>
    </row>
    <row r="431">
      <c r="A431" s="15" t="inlineStr">
        <is>
          <t>UNICHARM DO BRASIL INDUSTRIA E COMERCIO DE PRODUTOS DE HIGIENE LTDA.,</t>
        </is>
      </c>
      <c r="B431" s="16" t="n">
        <v>228249.92</v>
      </c>
      <c r="C431" s="17" t="inlineStr">
        <is>
          <t>VEV COMERCIO DE MEDICAMENTOS LTDA EM RECUPERACAO JUDICIAL</t>
        </is>
      </c>
      <c r="D431" s="18" t="inlineStr">
        <is>
          <t>NEW</t>
        </is>
      </c>
      <c r="E431" s="19" t="inlineStr"/>
      <c r="F431" s="18" t="inlineStr"/>
      <c r="G431" s="19" t="inlineStr"/>
      <c r="H431" s="18" t="inlineStr"/>
      <c r="I431" s="20" t="inlineStr">
        <is>
          <t>MADOKA NISHIYAMA</t>
        </is>
      </c>
      <c r="J431" s="20" t="inlineStr">
        <is>
          <t>Administrador</t>
        </is>
      </c>
      <c r="K431" s="20" t="inlineStr">
        <is>
          <t>(19) 3370-3249</t>
        </is>
      </c>
      <c r="L431" s="20" t="inlineStr">
        <is>
          <t>(19) 3370-3254</t>
        </is>
      </c>
      <c r="M431" s="20" t="inlineStr"/>
      <c r="N431" s="20" t="inlineStr"/>
      <c r="O431" s="20" t="inlineStr"/>
      <c r="P431" s="20" t="inlineStr">
        <is>
          <t>OSAMU MIYAKE</t>
        </is>
      </c>
      <c r="Q431" s="20" t="inlineStr">
        <is>
          <t>Administrador</t>
        </is>
      </c>
      <c r="R431" s="20" t="inlineStr">
        <is>
          <t>(19) 3370-3254</t>
        </is>
      </c>
      <c r="S431" s="20" t="inlineStr"/>
      <c r="T431" s="21" t="n">
        <v>228249.92</v>
      </c>
      <c r="U431" s="22" t="inlineStr">
        <is>
          <t>B</t>
        </is>
      </c>
      <c r="V431" s="23">
        <f>IFERROR(VLOOKUP(U431,Assumptions!$A$7:$D$11,2,FALSE),0)</f>
        <v/>
      </c>
      <c r="W431" s="24">
        <f>MAX(0.5,IFERROR(VLOOKUP(U431,Assumptions!$A$7:$D$11,3,FALSE),3)+IFERROR(VLOOKUP(U431,Assumptions!$A$7:$D$11,4,FALSE),8)/2-IF(AN431="",0,YEAR(TODAY())-AN431))</f>
        <v/>
      </c>
      <c r="X431" s="21">
        <f>T431*V431/(1+Assumptions!$B$3)^W431</f>
        <v/>
      </c>
      <c r="Y431" s="25">
        <f>IF(T431=0,"",ROUND(X431/T431*100,1))</f>
        <v/>
      </c>
      <c r="Z431" s="26">
        <f>X431*Assumptions!$B$4</f>
        <v/>
      </c>
      <c r="AA431" s="25">
        <f>IF(T431=0,"",ROUND(Z431/T431*100,1))</f>
        <v/>
      </c>
      <c r="AB431" s="26">
        <f>X431-Z431</f>
        <v/>
      </c>
      <c r="AC431" s="25">
        <f>IF(T431=0,"",ROUND((X431-Z431)/T431*100,1))</f>
        <v/>
      </c>
      <c r="AD431" s="27" t="inlineStr">
        <is>
          <t>ESTIMATED</t>
        </is>
      </c>
      <c r="AE431" s="28" t="inlineStr">
        <is>
          <t>https://marquesadmjudicial.com.br/sgc/download.php?file=files/processo_documento/processo_documento15293208032024_1_.pdf&amp;nome=Relação Nominal de Credores da AJ-Sintética</t>
        </is>
      </c>
      <c r="AF431" s="27" t="inlineStr">
        <is>
          <t>p32 r4</t>
        </is>
      </c>
      <c r="AG431" s="27" t="inlineStr">
        <is>
          <t>p32: R$ 228.249,92</t>
        </is>
      </c>
      <c r="AH431" s="27" t="inlineStr">
        <is>
          <t>AJ_LIST</t>
        </is>
      </c>
      <c r="AI431" s="27" t="inlineStr">
        <is>
          <t>2023-03-02</t>
        </is>
      </c>
      <c r="AJ431" s="27" t="inlineStr">
        <is>
          <t>QUARANTINED</t>
        </is>
      </c>
      <c r="AK431" s="29" t="inlineStr">
        <is>
          <t>0005010-98.2023.8.16.0001</t>
        </is>
      </c>
      <c r="AL431" s="29" t="inlineStr">
        <is>
          <t>TJPR</t>
        </is>
      </c>
      <c r="AM431" s="29" t="inlineStr">
        <is>
          <t>ACTIVE</t>
        </is>
      </c>
      <c r="AN431" s="29" t="n">
        <v>2023</v>
      </c>
      <c r="AO431" s="29" t="inlineStr">
        <is>
          <t>live case, no plan document yet</t>
        </is>
      </c>
      <c r="AP431" s="29" t="inlineStr">
        <is>
          <t>JAGUARIUNA</t>
        </is>
      </c>
      <c r="AQ431" s="29" t="inlineStr">
        <is>
          <t>SP</t>
        </is>
      </c>
      <c r="AR431" s="29" t="inlineStr">
        <is>
          <t>Fabricação de fraldas descartáveis</t>
        </is>
      </c>
      <c r="AS431" s="29" t="inlineStr">
        <is>
          <t>DEMAIS</t>
        </is>
      </c>
      <c r="AT431" s="29" t="inlineStr">
        <is>
          <t>LARGE CORP</t>
        </is>
      </c>
      <c r="AU431" s="29" t="inlineStr">
        <is>
          <t>13884068</t>
        </is>
      </c>
      <c r="AV431" s="29" t="n">
        <v>1</v>
      </c>
      <c r="AW431" s="29" t="inlineStr">
        <is>
          <t>PARTIAL_DOC_CLASS_III_RECONCILED ROWS:p32r4</t>
        </is>
      </c>
    </row>
    <row r="432">
      <c r="A432" s="15" t="inlineStr">
        <is>
          <t>VALGROUP AM INDUSTRIA DE MASTERBATCH LTDA.</t>
        </is>
      </c>
      <c r="B432" s="16" t="n">
        <v>226655</v>
      </c>
      <c r="C432" s="17" t="inlineStr">
        <is>
          <t>civilmente LTDA</t>
        </is>
      </c>
      <c r="D432" s="18" t="inlineStr">
        <is>
          <t>NEW</t>
        </is>
      </c>
      <c r="E432" s="19" t="inlineStr"/>
      <c r="F432" s="18" t="inlineStr"/>
      <c r="G432" s="19" t="inlineStr"/>
      <c r="H432" s="18" t="inlineStr"/>
      <c r="I432" s="20" t="inlineStr">
        <is>
          <t>EDERSON NASCIMENTO DA SILVA</t>
        </is>
      </c>
      <c r="J432" s="20" t="inlineStr">
        <is>
          <t>Administrador</t>
        </is>
      </c>
      <c r="K432" s="20" t="inlineStr">
        <is>
          <t>(12) 2124-4400</t>
        </is>
      </c>
      <c r="L432" s="20" t="inlineStr"/>
      <c r="M432" s="20" t="inlineStr"/>
      <c r="N432" s="20" t="inlineStr"/>
      <c r="O432" s="20" t="inlineStr"/>
      <c r="P432" s="20" t="inlineStr"/>
      <c r="Q432" s="20" t="inlineStr"/>
      <c r="R432" s="20" t="inlineStr"/>
      <c r="S432" s="20" t="inlineStr"/>
      <c r="T432" s="21" t="n">
        <v>226655</v>
      </c>
      <c r="U432" s="22" t="inlineStr">
        <is>
          <t>B</t>
        </is>
      </c>
      <c r="V432" s="23">
        <f>IFERROR(VLOOKUP(U432,Assumptions!$A$7:$D$11,2,FALSE),0)</f>
        <v/>
      </c>
      <c r="W432" s="24">
        <f>MAX(0.5,IFERROR(VLOOKUP(U432,Assumptions!$A$7:$D$11,3,FALSE),3)+IFERROR(VLOOKUP(U432,Assumptions!$A$7:$D$11,4,FALSE),8)/2-IF(AN432="",0,YEAR(TODAY())-AN432))</f>
        <v/>
      </c>
      <c r="X432" s="21">
        <f>T432*V432/(1+Assumptions!$B$3)^W432</f>
        <v/>
      </c>
      <c r="Y432" s="25">
        <f>IF(T432=0,"",ROUND(X432/T432*100,1))</f>
        <v/>
      </c>
      <c r="Z432" s="26">
        <f>X432*Assumptions!$B$4</f>
        <v/>
      </c>
      <c r="AA432" s="25">
        <f>IF(T432=0,"",ROUND(Z432/T432*100,1))</f>
        <v/>
      </c>
      <c r="AB432" s="26">
        <f>X432-Z432</f>
        <v/>
      </c>
      <c r="AC432" s="25">
        <f>IF(T432=0,"",ROUND((X432-Z432)/T432*100,1))</f>
        <v/>
      </c>
      <c r="AD432" s="27" t="inlineStr">
        <is>
          <t>ESTIMATED</t>
        </is>
      </c>
      <c r="AE432" s="28" t="inlineStr">
        <is>
          <t>http://recuperacaojudicial.squarespace.com/s/LISTA-DE-CREDORES-CONSOLIDADA-ATE-04102024.pdf</t>
        </is>
      </c>
      <c r="AF432" s="27" t="inlineStr">
        <is>
          <t>p6 r20</t>
        </is>
      </c>
      <c r="AG432" s="27" t="inlineStr">
        <is>
          <t>p6: R$ 226.655,00</t>
        </is>
      </c>
      <c r="AH432" s="27" t="inlineStr">
        <is>
          <t>AJ_LIST</t>
        </is>
      </c>
      <c r="AI432" s="27" t="inlineStr">
        <is>
          <t>2024-10-04</t>
        </is>
      </c>
      <c r="AJ432" s="27" t="inlineStr">
        <is>
          <t>OK</t>
        </is>
      </c>
      <c r="AK432" s="29" t="inlineStr">
        <is>
          <t>0800778-16.2023.8.20.5104</t>
        </is>
      </c>
      <c r="AL432" s="29" t="inlineStr">
        <is>
          <t>TJRN</t>
        </is>
      </c>
      <c r="AM432" s="29" t="inlineStr">
        <is>
          <t>ACTIVE</t>
        </is>
      </c>
      <c r="AN432" s="29" t="n">
        <v>2023</v>
      </c>
      <c r="AO432" s="29" t="inlineStr">
        <is>
          <t>live case, no plan document yet</t>
        </is>
      </c>
      <c r="AP432" s="29" t="inlineStr">
        <is>
          <t>MANAUS</t>
        </is>
      </c>
      <c r="AQ432" s="29" t="inlineStr">
        <is>
          <t>AM</t>
        </is>
      </c>
      <c r="AR432" s="29" t="inlineStr">
        <is>
          <t>Fabricação de embalagens de material plástico</t>
        </is>
      </c>
      <c r="AS432" s="29" t="inlineStr">
        <is>
          <t>DEMAIS</t>
        </is>
      </c>
      <c r="AT432" s="29" t="inlineStr">
        <is>
          <t>LARGE CORP</t>
        </is>
      </c>
      <c r="AU432" s="29" t="inlineStr">
        <is>
          <t>03071894</t>
        </is>
      </c>
      <c r="AV432" s="29" t="n">
        <v>1</v>
      </c>
      <c r="AW432" s="29" t="inlineStr">
        <is>
          <t>ROWS:p6r20 VALUE_COL:Valor_Do_Crédito</t>
        </is>
      </c>
    </row>
    <row r="433">
      <c r="A433" s="15" t="inlineStr">
        <is>
          <t>PACKDUQUE INDUSTRIA DE PLASTICOS LTDA</t>
        </is>
      </c>
      <c r="B433" s="16" t="n">
        <v>258953.37</v>
      </c>
      <c r="C433" s="17" t="inlineStr"/>
      <c r="D433" s="18" t="inlineStr">
        <is>
          <t>NEW</t>
        </is>
      </c>
      <c r="E433" s="19" t="inlineStr"/>
      <c r="F433" s="18" t="inlineStr"/>
      <c r="G433" s="19" t="inlineStr"/>
      <c r="H433" s="18" t="inlineStr"/>
      <c r="I433" s="20" t="inlineStr">
        <is>
          <t>PAUL ANDRE REITER</t>
        </is>
      </c>
      <c r="J433" s="20" t="inlineStr">
        <is>
          <t>Administrador</t>
        </is>
      </c>
      <c r="K433" s="20" t="inlineStr">
        <is>
          <t>(11) 3881-7400</t>
        </is>
      </c>
      <c r="L433" s="20" t="inlineStr"/>
      <c r="M433" s="20" t="inlineStr"/>
      <c r="N433" s="20" t="inlineStr"/>
      <c r="O433" s="20" t="inlineStr"/>
      <c r="P433" s="20" t="inlineStr">
        <is>
          <t>THEO REITER</t>
        </is>
      </c>
      <c r="Q433" s="20" t="inlineStr">
        <is>
          <t>Administrador</t>
        </is>
      </c>
      <c r="R433" s="20" t="inlineStr">
        <is>
          <t>(11) 3881-7400</t>
        </is>
      </c>
      <c r="S433" s="20" t="inlineStr"/>
      <c r="T433" s="21" t="n">
        <v>258953.37</v>
      </c>
      <c r="U433" s="31" t="inlineStr">
        <is>
          <t>C</t>
        </is>
      </c>
      <c r="V433" s="23">
        <f>IFERROR(VLOOKUP(U433,Assumptions!$A$7:$D$11,2,FALSE),0)</f>
        <v/>
      </c>
      <c r="W433" s="24">
        <f>MAX(0.5,IFERROR(VLOOKUP(U433,Assumptions!$A$7:$D$11,3,FALSE),3)+IFERROR(VLOOKUP(U433,Assumptions!$A$7:$D$11,4,FALSE),8)/2-IF(AN433="",0,YEAR(TODAY())-AN433))</f>
        <v/>
      </c>
      <c r="X433" s="21">
        <f>T433*V433/(1+Assumptions!$B$3)^W433</f>
        <v/>
      </c>
      <c r="Y433" s="25">
        <f>IF(T433=0,"",ROUND(X433/T433*100,1))</f>
        <v/>
      </c>
      <c r="Z433" s="26">
        <f>X433*Assumptions!$B$4</f>
        <v/>
      </c>
      <c r="AA433" s="25">
        <f>IF(T433=0,"",ROUND(Z433/T433*100,1))</f>
        <v/>
      </c>
      <c r="AB433" s="26">
        <f>X433-Z433</f>
        <v/>
      </c>
      <c r="AC433" s="25">
        <f>IF(T433=0,"",ROUND((X433-Z433)/T433*100,1))</f>
        <v/>
      </c>
      <c r="AD433" s="27" t="inlineStr">
        <is>
          <t>UNKNOWN</t>
        </is>
      </c>
      <c r="AE433" s="28" t="inlineStr">
        <is>
          <t>https://administradorajudicialgs.com.br/wp-content/uploads/2024/12/relacao-de-credores-da-falida.pdf</t>
        </is>
      </c>
      <c r="AF433" s="27" t="inlineStr">
        <is>
          <t>p17 r30</t>
        </is>
      </c>
      <c r="AG433" s="27" t="inlineStr">
        <is>
          <t>p17: R$ 258.953,37</t>
        </is>
      </c>
      <c r="AH433" s="27" t="inlineStr">
        <is>
          <t>UNKNOWN</t>
        </is>
      </c>
      <c r="AI433" s="27" t="inlineStr">
        <is>
          <t>2025-03-25</t>
        </is>
      </c>
      <c r="AJ433" s="27" t="inlineStr">
        <is>
          <t>OK_NO_TOTALS</t>
        </is>
      </c>
      <c r="AK433" s="29" t="inlineStr">
        <is>
          <t>0005010-50.2013.8.24.0026</t>
        </is>
      </c>
      <c r="AL433" s="29" t="inlineStr">
        <is>
          <t>TJ</t>
        </is>
      </c>
      <c r="AM433" s="29" t="inlineStr"/>
      <c r="AN433" s="29" t="n">
        <v>2013</v>
      </c>
      <c r="AO433" s="29" t="inlineStr">
        <is>
          <t>13y since filing, no plan document</t>
        </is>
      </c>
      <c r="AP433" s="29" t="inlineStr">
        <is>
          <t>VALINHOS</t>
        </is>
      </c>
      <c r="AQ433" s="29" t="inlineStr">
        <is>
          <t>SP</t>
        </is>
      </c>
      <c r="AR433" s="29" t="inlineStr">
        <is>
          <t>Preparação de documentos e serviços especializados de apoio administrativo não especificados anteriormente</t>
        </is>
      </c>
      <c r="AS433" s="29" t="inlineStr">
        <is>
          <t>DEMAIS</t>
        </is>
      </c>
      <c r="AT433" s="29" t="inlineStr">
        <is>
          <t>MID-MARKET</t>
        </is>
      </c>
      <c r="AU433" s="29" t="inlineStr">
        <is>
          <t>04214651</t>
        </is>
      </c>
      <c r="AV433" s="29" t="n">
        <v>1</v>
      </c>
      <c r="AW433" s="29" t="inlineStr">
        <is>
          <t>ROWS:p17r30 UNRECONCILED_SOURCE</t>
        </is>
      </c>
    </row>
    <row r="434">
      <c r="A434" s="15" t="inlineStr">
        <is>
          <t>MARTINS COMERCIO E SERVICOS DE DISTRIBUICAO S/A</t>
        </is>
      </c>
      <c r="B434" s="16" t="n">
        <v>329842.98</v>
      </c>
      <c r="C434" s="17" t="inlineStr">
        <is>
          <t>COMERCIO RACOES BEM BOM LTDA</t>
        </is>
      </c>
      <c r="D434" s="18" t="inlineStr">
        <is>
          <t>NEW</t>
        </is>
      </c>
      <c r="E434" s="19" t="inlineStr"/>
      <c r="F434" s="18" t="inlineStr"/>
      <c r="G434" s="19" t="inlineStr"/>
      <c r="H434" s="18" t="inlineStr"/>
      <c r="I434" s="20" t="inlineStr">
        <is>
          <t>LEANDRO HENRIQUE DE PADUA</t>
        </is>
      </c>
      <c r="J434" s="20" t="inlineStr">
        <is>
          <t>Diretor</t>
        </is>
      </c>
      <c r="K434" s="20" t="inlineStr">
        <is>
          <t>(34) 3218-1500</t>
        </is>
      </c>
      <c r="L434" s="20" t="inlineStr"/>
      <c r="M434" s="20" t="inlineStr"/>
      <c r="N434" s="20" t="inlineStr"/>
      <c r="O434" s="20" t="inlineStr"/>
      <c r="P434" s="20" t="inlineStr">
        <is>
          <t>MARCO ANTONIO VILELA TANNUS FILHO</t>
        </is>
      </c>
      <c r="Q434" s="20" t="inlineStr">
        <is>
          <t>Diretor</t>
        </is>
      </c>
      <c r="R434" s="20" t="inlineStr">
        <is>
          <t>(34) 3218-1500</t>
        </is>
      </c>
      <c r="S434" s="20" t="inlineStr"/>
      <c r="T434" s="21" t="n">
        <v>329842.98</v>
      </c>
      <c r="U434" s="32" t="inlineStr">
        <is>
          <t>A</t>
        </is>
      </c>
      <c r="V434" s="23">
        <f>IFERROR(VLOOKUP(U434,Assumptions!$A$7:$D$11,2,FALSE),0)</f>
        <v/>
      </c>
      <c r="W434" s="24">
        <f>MAX(0.5,IFERROR(VLOOKUP(U434,Assumptions!$A$7:$D$11,3,FALSE),3)+IFERROR(VLOOKUP(U434,Assumptions!$A$7:$D$11,4,FALSE),8)/2-IF(AN434="",0,YEAR(TODAY())-AN434))</f>
        <v/>
      </c>
      <c r="X434" s="21">
        <f>T434*V434/(1+Assumptions!$B$3)^W434</f>
        <v/>
      </c>
      <c r="Y434" s="25">
        <f>IF(T434=0,"",ROUND(X434/T434*100,1))</f>
        <v/>
      </c>
      <c r="Z434" s="26">
        <f>X434*Assumptions!$B$4</f>
        <v/>
      </c>
      <c r="AA434" s="25">
        <f>IF(T434=0,"",ROUND(Z434/T434*100,1))</f>
        <v/>
      </c>
      <c r="AB434" s="26">
        <f>X434-Z434</f>
        <v/>
      </c>
      <c r="AC434" s="25">
        <f>IF(T434=0,"",ROUND((X434-Z434)/T434*100,1))</f>
        <v/>
      </c>
      <c r="AD434" s="27" t="inlineStr">
        <is>
          <t>CONFIRMED</t>
        </is>
      </c>
      <c r="AE434" s="28" t="inlineStr">
        <is>
          <t>https://stenius.com.br/wp-content/uploads/2026/06/EDITAL-GRUPO-3E.pdf</t>
        </is>
      </c>
      <c r="AF434" s="27" t="inlineStr">
        <is>
          <t>p15 r55; p15 r56</t>
        </is>
      </c>
      <c r="AG434" s="27" t="inlineStr">
        <is>
          <t>p15: R$ 198.490,01; p15: R$ 131.352,97</t>
        </is>
      </c>
      <c r="AH434" s="27" t="inlineStr">
        <is>
          <t>DEBTOR_LIST</t>
        </is>
      </c>
      <c r="AI434" s="27" t="inlineStr">
        <is>
          <t>2026-06-22</t>
        </is>
      </c>
      <c r="AJ434" s="27" t="inlineStr">
        <is>
          <t>OK_NO_TOTALS</t>
        </is>
      </c>
      <c r="AK434" s="29" t="inlineStr">
        <is>
          <t>5341375-33.2026.8.09.0049</t>
        </is>
      </c>
      <c r="AL434" s="29" t="inlineStr">
        <is>
          <t>TJGO</t>
        </is>
      </c>
      <c r="AM434" s="29" t="inlineStr">
        <is>
          <t>ACTIVE</t>
        </is>
      </c>
      <c r="AN434" s="29" t="n">
        <v>2026</v>
      </c>
      <c r="AO434" s="29" t="inlineStr">
        <is>
          <t>plan/homologation document found</t>
        </is>
      </c>
      <c r="AP434" s="29" t="inlineStr">
        <is>
          <t>UBERLANDIA</t>
        </is>
      </c>
      <c r="AQ434" s="29" t="inlineStr">
        <is>
          <t>MG</t>
        </is>
      </c>
      <c r="AR434" s="29" t="inlineStr">
        <is>
          <t>Comércio atacadista de mercadorias em geral, sem predominância de alimentos ou de insumos agropecuários</t>
        </is>
      </c>
      <c r="AS434" s="29" t="inlineStr">
        <is>
          <t>DEMAIS</t>
        </is>
      </c>
      <c r="AT434" s="29" t="inlineStr">
        <is>
          <t>LARGE CORP</t>
        </is>
      </c>
      <c r="AU434" s="29" t="inlineStr">
        <is>
          <t>43214055</t>
        </is>
      </c>
      <c r="AV434" s="29" t="n">
        <v>2</v>
      </c>
      <c r="AW434" s="29" t="inlineStr">
        <is>
          <t>ROWS:p15r55,p15r56 UNRECONCILED_SOURCE</t>
        </is>
      </c>
    </row>
    <row r="435">
      <c r="A435" s="15" t="inlineStr">
        <is>
          <t>NOVA TRIGO RESINAS TERMOPLASTICAS LTDA.</t>
        </is>
      </c>
      <c r="B435" s="16" t="n">
        <v>257394.62</v>
      </c>
      <c r="C435" s="17" t="inlineStr"/>
      <c r="D435" s="18" t="inlineStr">
        <is>
          <t>NEW</t>
        </is>
      </c>
      <c r="E435" s="19" t="inlineStr"/>
      <c r="F435" s="18" t="inlineStr"/>
      <c r="G435" s="19" t="inlineStr"/>
      <c r="H435" s="18" t="inlineStr"/>
      <c r="I435" s="20" t="inlineStr">
        <is>
          <t>ELIANE PEDROSO TRIGO</t>
        </is>
      </c>
      <c r="J435" s="20" t="inlineStr">
        <is>
          <t>Sócio-Administrador</t>
        </is>
      </c>
      <c r="K435" s="20" t="inlineStr">
        <is>
          <t>(11) 4424-1553</t>
        </is>
      </c>
      <c r="L435" s="20" t="inlineStr"/>
      <c r="M435" s="20" t="inlineStr"/>
      <c r="N435" s="20" t="inlineStr"/>
      <c r="O435" s="20" t="inlineStr"/>
      <c r="P435" s="20" t="inlineStr">
        <is>
          <t>SANDRO CARRAPEIRO TRIGO</t>
        </is>
      </c>
      <c r="Q435" s="20" t="inlineStr">
        <is>
          <t>Sócio-Administrador</t>
        </is>
      </c>
      <c r="R435" s="20" t="inlineStr">
        <is>
          <t>(11) 4424-1553</t>
        </is>
      </c>
      <c r="S435" s="20" t="inlineStr"/>
      <c r="T435" s="21" t="n">
        <v>257394.62</v>
      </c>
      <c r="U435" s="31" t="inlineStr">
        <is>
          <t>C</t>
        </is>
      </c>
      <c r="V435" s="23">
        <f>IFERROR(VLOOKUP(U435,Assumptions!$A$7:$D$11,2,FALSE),0)</f>
        <v/>
      </c>
      <c r="W435" s="24">
        <f>MAX(0.5,IFERROR(VLOOKUP(U435,Assumptions!$A$7:$D$11,3,FALSE),3)+IFERROR(VLOOKUP(U435,Assumptions!$A$7:$D$11,4,FALSE),8)/2-IF(AN435="",0,YEAR(TODAY())-AN435))</f>
        <v/>
      </c>
      <c r="X435" s="21">
        <f>T435*V435/(1+Assumptions!$B$3)^W435</f>
        <v/>
      </c>
      <c r="Y435" s="25">
        <f>IF(T435=0,"",ROUND(X435/T435*100,1))</f>
        <v/>
      </c>
      <c r="Z435" s="26">
        <f>X435*Assumptions!$B$4</f>
        <v/>
      </c>
      <c r="AA435" s="25">
        <f>IF(T435=0,"",ROUND(Z435/T435*100,1))</f>
        <v/>
      </c>
      <c r="AB435" s="26">
        <f>X435-Z435</f>
        <v/>
      </c>
      <c r="AC435" s="25">
        <f>IF(T435=0,"",ROUND((X435-Z435)/T435*100,1))</f>
        <v/>
      </c>
      <c r="AD435" s="27" t="inlineStr">
        <is>
          <t>UNKNOWN</t>
        </is>
      </c>
      <c r="AE435" s="28" t="inlineStr">
        <is>
          <t>https://ajruiz.com.br/sites/default/files/public/arquivos-processos/2024-04/relacao_de_credores_recuperanda_1.pdf</t>
        </is>
      </c>
      <c r="AF435" s="27" t="inlineStr">
        <is>
          <t>p9 r3; p9 r4</t>
        </is>
      </c>
      <c r="AG435" s="27" t="inlineStr">
        <is>
          <t>p9: R$ 137.709,69; p9: R$ 119.684,93</t>
        </is>
      </c>
      <c r="AH435" s="27" t="inlineStr">
        <is>
          <t>QGC</t>
        </is>
      </c>
      <c r="AI435" s="27" t="inlineStr">
        <is>
          <t>2024-01-31</t>
        </is>
      </c>
      <c r="AJ435" s="27" t="inlineStr">
        <is>
          <t>OK</t>
        </is>
      </c>
      <c r="AK435" s="29" t="inlineStr">
        <is>
          <t>0000148-67.1996.8.24.0079</t>
        </is>
      </c>
      <c r="AL435" s="29" t="inlineStr">
        <is>
          <t>TJ</t>
        </is>
      </c>
      <c r="AM435" s="29" t="inlineStr"/>
      <c r="AN435" s="29" t="n">
        <v>1996</v>
      </c>
      <c r="AO435" s="29" t="inlineStr">
        <is>
          <t>30y since filing, no plan document</t>
        </is>
      </c>
      <c r="AP435" s="29" t="inlineStr">
        <is>
          <t>SAO BERNARDO DO CAMPO</t>
        </is>
      </c>
      <c r="AQ435" s="29" t="inlineStr">
        <is>
          <t>SP</t>
        </is>
      </c>
      <c r="AR435" s="29" t="inlineStr">
        <is>
          <t>Comércio atacadista de outros produtos químicos e petroquímicos não especificados anteriormente</t>
        </is>
      </c>
      <c r="AS435" s="29" t="inlineStr">
        <is>
          <t>DEMAIS</t>
        </is>
      </c>
      <c r="AT435" s="29" t="inlineStr">
        <is>
          <t>MID-MARKET</t>
        </is>
      </c>
      <c r="AU435" s="29" t="inlineStr">
        <is>
          <t>07094272</t>
        </is>
      </c>
      <c r="AV435" s="29" t="n">
        <v>2</v>
      </c>
      <c r="AW435" s="29" t="inlineStr">
        <is>
          <t>ROWS:p9r3,p9r4</t>
        </is>
      </c>
    </row>
    <row r="436">
      <c r="A436" s="15" t="inlineStr">
        <is>
          <t>3- PLASTIC SOLUCOES EM COMERCIO DE POLIMEROS LTDA</t>
        </is>
      </c>
      <c r="B436" s="16" t="n">
        <v>256709.29</v>
      </c>
      <c r="C436" s="17" t="inlineStr"/>
      <c r="D436" s="18" t="inlineStr">
        <is>
          <t>NEW</t>
        </is>
      </c>
      <c r="E436" s="19" t="inlineStr"/>
      <c r="F436" s="18" t="inlineStr"/>
      <c r="G436" s="19" t="inlineStr"/>
      <c r="H436" s="18" t="inlineStr"/>
      <c r="I436" s="20" t="inlineStr">
        <is>
          <t>ADEMIR BOSSA DE ALCANTARA</t>
        </is>
      </c>
      <c r="J436" s="20" t="inlineStr">
        <is>
          <t>Administrador</t>
        </is>
      </c>
      <c r="K436" s="20" t="inlineStr">
        <is>
          <t>(19) 8123-1209</t>
        </is>
      </c>
      <c r="L436" s="20" t="inlineStr"/>
      <c r="M436" s="20" t="inlineStr"/>
      <c r="N436" s="20" t="inlineStr"/>
      <c r="O436" s="20" t="inlineStr"/>
      <c r="P436" s="20" t="inlineStr"/>
      <c r="Q436" s="20" t="inlineStr"/>
      <c r="R436" s="20" t="inlineStr"/>
      <c r="S436" s="20" t="inlineStr"/>
      <c r="T436" s="21" t="n">
        <v>256709.29</v>
      </c>
      <c r="U436" s="31" t="inlineStr">
        <is>
          <t>C</t>
        </is>
      </c>
      <c r="V436" s="23">
        <f>IFERROR(VLOOKUP(U436,Assumptions!$A$7:$D$11,2,FALSE),0)</f>
        <v/>
      </c>
      <c r="W436" s="24">
        <f>MAX(0.5,IFERROR(VLOOKUP(U436,Assumptions!$A$7:$D$11,3,FALSE),3)+IFERROR(VLOOKUP(U436,Assumptions!$A$7:$D$11,4,FALSE),8)/2-IF(AN436="",0,YEAR(TODAY())-AN436))</f>
        <v/>
      </c>
      <c r="X436" s="21">
        <f>T436*V436/(1+Assumptions!$B$3)^W436</f>
        <v/>
      </c>
      <c r="Y436" s="25">
        <f>IF(T436=0,"",ROUND(X436/T436*100,1))</f>
        <v/>
      </c>
      <c r="Z436" s="26">
        <f>X436*Assumptions!$B$4</f>
        <v/>
      </c>
      <c r="AA436" s="25">
        <f>IF(T436=0,"",ROUND(Z436/T436*100,1))</f>
        <v/>
      </c>
      <c r="AB436" s="26">
        <f>X436-Z436</f>
        <v/>
      </c>
      <c r="AC436" s="25">
        <f>IF(T436=0,"",ROUND((X436-Z436)/T436*100,1))</f>
        <v/>
      </c>
      <c r="AD436" s="27" t="inlineStr">
        <is>
          <t>UNKNOWN</t>
        </is>
      </c>
      <c r="AE436" s="28" t="inlineStr">
        <is>
          <t>https://ajruiz.com.br/sites/default/files/public/arquivos-processos/2024-04/relacao_de_credores_recuperanda_1.pdf</t>
        </is>
      </c>
      <c r="AF436" s="27" t="inlineStr">
        <is>
          <t>p2 r2</t>
        </is>
      </c>
      <c r="AG436" s="27" t="inlineStr">
        <is>
          <t>p2: R$ 256.709,29</t>
        </is>
      </c>
      <c r="AH436" s="27" t="inlineStr">
        <is>
          <t>QGC</t>
        </is>
      </c>
      <c r="AI436" s="27" t="inlineStr">
        <is>
          <t>2024-01-31</t>
        </is>
      </c>
      <c r="AJ436" s="27" t="inlineStr">
        <is>
          <t>OK</t>
        </is>
      </c>
      <c r="AK436" s="29" t="inlineStr">
        <is>
          <t>0000148-67.1996.8.24.0079</t>
        </is>
      </c>
      <c r="AL436" s="29" t="inlineStr">
        <is>
          <t>TJ</t>
        </is>
      </c>
      <c r="AM436" s="29" t="inlineStr"/>
      <c r="AN436" s="29" t="n">
        <v>1996</v>
      </c>
      <c r="AO436" s="29" t="inlineStr">
        <is>
          <t>30y since filing, no plan document</t>
        </is>
      </c>
      <c r="AP436" s="29" t="inlineStr">
        <is>
          <t>AMERICANA</t>
        </is>
      </c>
      <c r="AQ436" s="29" t="inlineStr">
        <is>
          <t>SP</t>
        </is>
      </c>
      <c r="AR436" s="29" t="inlineStr">
        <is>
          <t>Comércio atacadista de resinas e elastômeros</t>
        </is>
      </c>
      <c r="AS436" s="29" t="inlineStr">
        <is>
          <t>DEMAIS</t>
        </is>
      </c>
      <c r="AT436" s="29" t="inlineStr">
        <is>
          <t>MID-MARKET</t>
        </is>
      </c>
      <c r="AU436" s="29" t="inlineStr">
        <is>
          <t>46167507</t>
        </is>
      </c>
      <c r="AV436" s="29" t="n">
        <v>1</v>
      </c>
      <c r="AW436" s="29" t="inlineStr">
        <is>
          <t>ROWS:p2r2 VALUE_COL:Valor_Atualizado_Do_Débito</t>
        </is>
      </c>
    </row>
    <row r="437">
      <c r="A437" s="15" t="inlineStr">
        <is>
          <t>INDUSTRIA E COMERCIO DE CARNES E DERIVADOS BOI BRASIL LTDA - EM RECUPERACAO JUDICIAL</t>
        </is>
      </c>
      <c r="B437" s="16" t="n">
        <v>327994.4</v>
      </c>
      <c r="C437" s="17" t="inlineStr">
        <is>
          <t>COMERCIO RACOES BEM BOM LTDA</t>
        </is>
      </c>
      <c r="D437" s="18" t="inlineStr">
        <is>
          <t>NEW</t>
        </is>
      </c>
      <c r="E437" s="19" t="inlineStr"/>
      <c r="F437" s="18" t="inlineStr"/>
      <c r="G437" s="19" t="inlineStr"/>
      <c r="H437" s="18" t="inlineStr"/>
      <c r="I437" s="20" t="inlineStr">
        <is>
          <t>GERALDO HELENO DE FARIA</t>
        </is>
      </c>
      <c r="J437" s="20" t="inlineStr">
        <is>
          <t>Sócio-Administrador</t>
        </is>
      </c>
      <c r="K437" s="20" t="inlineStr">
        <is>
          <t>(27) 3300-9000</t>
        </is>
      </c>
      <c r="L437" s="20" t="inlineStr"/>
      <c r="M437" s="20" t="inlineStr"/>
      <c r="N437" s="20" t="inlineStr"/>
      <c r="O437" s="20" t="inlineStr"/>
      <c r="P437" s="20" t="inlineStr"/>
      <c r="Q437" s="20" t="inlineStr"/>
      <c r="R437" s="20" t="inlineStr"/>
      <c r="S437" s="20" t="inlineStr"/>
      <c r="T437" s="21" t="n">
        <v>327994.4</v>
      </c>
      <c r="U437" s="32" t="inlineStr">
        <is>
          <t>A</t>
        </is>
      </c>
      <c r="V437" s="23">
        <f>IFERROR(VLOOKUP(U437,Assumptions!$A$7:$D$11,2,FALSE),0)</f>
        <v/>
      </c>
      <c r="W437" s="24">
        <f>MAX(0.5,IFERROR(VLOOKUP(U437,Assumptions!$A$7:$D$11,3,FALSE),3)+IFERROR(VLOOKUP(U437,Assumptions!$A$7:$D$11,4,FALSE),8)/2-IF(AN437="",0,YEAR(TODAY())-AN437))</f>
        <v/>
      </c>
      <c r="X437" s="21">
        <f>T437*V437/(1+Assumptions!$B$3)^W437</f>
        <v/>
      </c>
      <c r="Y437" s="25">
        <f>IF(T437=0,"",ROUND(X437/T437*100,1))</f>
        <v/>
      </c>
      <c r="Z437" s="26">
        <f>X437*Assumptions!$B$4</f>
        <v/>
      </c>
      <c r="AA437" s="25">
        <f>IF(T437=0,"",ROUND(Z437/T437*100,1))</f>
        <v/>
      </c>
      <c r="AB437" s="26">
        <f>X437-Z437</f>
        <v/>
      </c>
      <c r="AC437" s="25">
        <f>IF(T437=0,"",ROUND((X437-Z437)/T437*100,1))</f>
        <v/>
      </c>
      <c r="AD437" s="27" t="inlineStr">
        <is>
          <t>CONFIRMED</t>
        </is>
      </c>
      <c r="AE437" s="28" t="inlineStr">
        <is>
          <t>https://stenius.com.br/wp-content/uploads/2026/06/EDITAL-GRUPO-3E.pdf</t>
        </is>
      </c>
      <c r="AF437" s="27" t="inlineStr">
        <is>
          <t>p13 r55</t>
        </is>
      </c>
      <c r="AG437" s="27" t="inlineStr">
        <is>
          <t>p13: R$ 327.994,40</t>
        </is>
      </c>
      <c r="AH437" s="27" t="inlineStr">
        <is>
          <t>DEBTOR_LIST</t>
        </is>
      </c>
      <c r="AI437" s="27" t="inlineStr">
        <is>
          <t>2026-06-22</t>
        </is>
      </c>
      <c r="AJ437" s="27" t="inlineStr">
        <is>
          <t>OK_NO_TOTALS</t>
        </is>
      </c>
      <c r="AK437" s="29" t="inlineStr">
        <is>
          <t>5341375-33.2026.8.09.0049</t>
        </is>
      </c>
      <c r="AL437" s="29" t="inlineStr">
        <is>
          <t>TJGO</t>
        </is>
      </c>
      <c r="AM437" s="29" t="inlineStr">
        <is>
          <t>ACTIVE</t>
        </is>
      </c>
      <c r="AN437" s="29" t="n">
        <v>2026</v>
      </c>
      <c r="AO437" s="29" t="inlineStr">
        <is>
          <t>plan/homologation document found</t>
        </is>
      </c>
      <c r="AP437" s="29" t="inlineStr">
        <is>
          <t>APARECIDA DE GOIANIA</t>
        </is>
      </c>
      <c r="AQ437" s="29" t="inlineStr">
        <is>
          <t>GO</t>
        </is>
      </c>
      <c r="AR437" s="29" t="inlineStr">
        <is>
          <t>Frigorífico - abate de bovinos</t>
        </is>
      </c>
      <c r="AS437" s="29" t="inlineStr">
        <is>
          <t>DEMAIS</t>
        </is>
      </c>
      <c r="AT437" s="29" t="inlineStr">
        <is>
          <t>MID-MARKET</t>
        </is>
      </c>
      <c r="AU437" s="29" t="inlineStr">
        <is>
          <t>04603630</t>
        </is>
      </c>
      <c r="AV437" s="29" t="n">
        <v>1</v>
      </c>
      <c r="AW437" s="29" t="inlineStr">
        <is>
          <t>ROWS:p13r55 UNRECONCILED_SOURCE</t>
        </is>
      </c>
    </row>
    <row r="438">
      <c r="A438" s="15" t="inlineStr">
        <is>
          <t>RANCHEIRO S.A.</t>
        </is>
      </c>
      <c r="B438" s="16" t="n">
        <v>326527.45</v>
      </c>
      <c r="C438" s="17" t="inlineStr">
        <is>
          <t>COMERCIO RACOES BEM BOM LTDA</t>
        </is>
      </c>
      <c r="D438" s="18" t="inlineStr">
        <is>
          <t>NEW</t>
        </is>
      </c>
      <c r="E438" s="19" t="inlineStr"/>
      <c r="F438" s="18" t="inlineStr"/>
      <c r="G438" s="19" t="inlineStr"/>
      <c r="H438" s="18" t="inlineStr"/>
      <c r="I438" s="20" t="inlineStr">
        <is>
          <t>Leonardo Souza</t>
        </is>
      </c>
      <c r="J438" s="20" t="inlineStr">
        <is>
          <t>Credit and Collection Analyst</t>
        </is>
      </c>
      <c r="K438" s="20" t="inlineStr">
        <is>
          <t>(62) 4015-8955</t>
        </is>
      </c>
      <c r="L438" s="20" t="inlineStr"/>
      <c r="M438" s="20" t="inlineStr"/>
      <c r="N438" s="20" t="inlineStr">
        <is>
          <t>leonardo.souza@rancheiro.com.br</t>
        </is>
      </c>
      <c r="O438" s="20" t="inlineStr">
        <is>
          <t>keite.marrone@rancheiro.com.br</t>
        </is>
      </c>
      <c r="P438" s="20" t="inlineStr">
        <is>
          <t>Keite Marrone</t>
        </is>
      </c>
      <c r="Q438" s="20" t="inlineStr">
        <is>
          <t>Senior Tax Analyst</t>
        </is>
      </c>
      <c r="R438" s="20" t="inlineStr"/>
      <c r="S438" s="20" t="inlineStr">
        <is>
          <t>keite.marrone@rancheiro.com.br</t>
        </is>
      </c>
      <c r="T438" s="21" t="n">
        <v>326527.45</v>
      </c>
      <c r="U438" s="32" t="inlineStr">
        <is>
          <t>A</t>
        </is>
      </c>
      <c r="V438" s="23">
        <f>IFERROR(VLOOKUP(U438,Assumptions!$A$7:$D$11,2,FALSE),0)</f>
        <v/>
      </c>
      <c r="W438" s="24">
        <f>MAX(0.5,IFERROR(VLOOKUP(U438,Assumptions!$A$7:$D$11,3,FALSE),3)+IFERROR(VLOOKUP(U438,Assumptions!$A$7:$D$11,4,FALSE),8)/2-IF(AN438="",0,YEAR(TODAY())-AN438))</f>
        <v/>
      </c>
      <c r="X438" s="21">
        <f>T438*V438/(1+Assumptions!$B$3)^W438</f>
        <v/>
      </c>
      <c r="Y438" s="25">
        <f>IF(T438=0,"",ROUND(X438/T438*100,1))</f>
        <v/>
      </c>
      <c r="Z438" s="26">
        <f>X438*Assumptions!$B$4</f>
        <v/>
      </c>
      <c r="AA438" s="25">
        <f>IF(T438=0,"",ROUND(Z438/T438*100,1))</f>
        <v/>
      </c>
      <c r="AB438" s="26">
        <f>X438-Z438</f>
        <v/>
      </c>
      <c r="AC438" s="25">
        <f>IF(T438=0,"",ROUND((X438-Z438)/T438*100,1))</f>
        <v/>
      </c>
      <c r="AD438" s="27" t="inlineStr">
        <is>
          <t>CONFIRMED</t>
        </is>
      </c>
      <c r="AE438" s="28" t="inlineStr">
        <is>
          <t>https://stenius.com.br/wp-content/uploads/2026/06/EDITAL-GRUPO-3E.pdf</t>
        </is>
      </c>
      <c r="AF438" s="27" t="inlineStr">
        <is>
          <t>p11 r23</t>
        </is>
      </c>
      <c r="AG438" s="27" t="inlineStr">
        <is>
          <t>p11: R$ 326.527,45</t>
        </is>
      </c>
      <c r="AH438" s="27" t="inlineStr">
        <is>
          <t>DEBTOR_LIST</t>
        </is>
      </c>
      <c r="AI438" s="27" t="inlineStr">
        <is>
          <t>2026-06-22</t>
        </is>
      </c>
      <c r="AJ438" s="27" t="inlineStr">
        <is>
          <t>OK_NO_TOTALS</t>
        </is>
      </c>
      <c r="AK438" s="29" t="inlineStr">
        <is>
          <t>5341375-33.2026.8.09.0049</t>
        </is>
      </c>
      <c r="AL438" s="29" t="inlineStr">
        <is>
          <t>TJGO</t>
        </is>
      </c>
      <c r="AM438" s="29" t="inlineStr">
        <is>
          <t>ACTIVE</t>
        </is>
      </c>
      <c r="AN438" s="29" t="n">
        <v>2026</v>
      </c>
      <c r="AO438" s="29" t="inlineStr">
        <is>
          <t>plan/homologation document found</t>
        </is>
      </c>
      <c r="AP438" s="29" t="inlineStr">
        <is>
          <t>ANAPOLIS</t>
        </is>
      </c>
      <c r="AQ438" s="29" t="inlineStr">
        <is>
          <t>GO</t>
        </is>
      </c>
      <c r="AR438" s="29" t="inlineStr">
        <is>
          <t>Fabricação de biscoitos e bolachas</t>
        </is>
      </c>
      <c r="AS438" s="29" t="inlineStr">
        <is>
          <t>DEMAIS</t>
        </is>
      </c>
      <c r="AT438" s="29" t="inlineStr">
        <is>
          <t>LARGE CORP</t>
        </is>
      </c>
      <c r="AU438" s="29" t="inlineStr">
        <is>
          <t>02924249</t>
        </is>
      </c>
      <c r="AV438" s="29" t="n">
        <v>1</v>
      </c>
      <c r="AW438" s="29" t="inlineStr">
        <is>
          <t>ROWS:p11r23 UNRECONCILED_SOURCE</t>
        </is>
      </c>
    </row>
    <row r="439">
      <c r="A439" s="15" t="inlineStr">
        <is>
          <t>POTENCIAL AGRO S/A</t>
        </is>
      </c>
      <c r="B439" s="16" t="n">
        <v>222764.53</v>
      </c>
      <c r="C439" s="17" t="inlineStr">
        <is>
          <t>BBR AGRO SUPLEMENTOS LTDA EM RECUPERACAO JUDICIAL</t>
        </is>
      </c>
      <c r="D439" s="18" t="inlineStr">
        <is>
          <t>NEW</t>
        </is>
      </c>
      <c r="E439" s="19" t="inlineStr"/>
      <c r="F439" s="18" t="inlineStr"/>
      <c r="G439" s="19" t="inlineStr"/>
      <c r="H439" s="18" t="inlineStr"/>
      <c r="I439" s="20" t="inlineStr">
        <is>
          <t>ARNOLDO HAMMERSCHMIDT</t>
        </is>
      </c>
      <c r="J439" s="20" t="inlineStr">
        <is>
          <t>Presidente</t>
        </is>
      </c>
      <c r="K439" s="20" t="inlineStr">
        <is>
          <t>(41) 3163-3000</t>
        </is>
      </c>
      <c r="L439" s="20" t="inlineStr"/>
      <c r="M439" s="20" t="inlineStr"/>
      <c r="N439" s="20" t="inlineStr"/>
      <c r="O439" s="20" t="inlineStr"/>
      <c r="P439" s="20" t="inlineStr"/>
      <c r="Q439" s="20" t="inlineStr"/>
      <c r="R439" s="20" t="inlineStr"/>
      <c r="S439" s="20" t="inlineStr"/>
      <c r="T439" s="21" t="n">
        <v>222764.53</v>
      </c>
      <c r="U439" s="22" t="inlineStr">
        <is>
          <t>B</t>
        </is>
      </c>
      <c r="V439" s="23">
        <f>IFERROR(VLOOKUP(U439,Assumptions!$A$7:$D$11,2,FALSE),0)</f>
        <v/>
      </c>
      <c r="W439" s="24">
        <f>MAX(0.5,IFERROR(VLOOKUP(U439,Assumptions!$A$7:$D$11,3,FALSE),3)+IFERROR(VLOOKUP(U439,Assumptions!$A$7:$D$11,4,FALSE),8)/2-IF(AN439="",0,YEAR(TODAY())-AN439))</f>
        <v/>
      </c>
      <c r="X439" s="21">
        <f>T439*V439/(1+Assumptions!$B$3)^W439</f>
        <v/>
      </c>
      <c r="Y439" s="25">
        <f>IF(T439=0,"",ROUND(X439/T439*100,1))</f>
        <v/>
      </c>
      <c r="Z439" s="26">
        <f>X439*Assumptions!$B$4</f>
        <v/>
      </c>
      <c r="AA439" s="25">
        <f>IF(T439=0,"",ROUND(Z439/T439*100,1))</f>
        <v/>
      </c>
      <c r="AB439" s="26">
        <f>X439-Z439</f>
        <v/>
      </c>
      <c r="AC439" s="25">
        <f>IF(T439=0,"",ROUND((X439-Z439)/T439*100,1))</f>
        <v/>
      </c>
      <c r="AD439" s="27" t="inlineStr">
        <is>
          <t>ESTIMATED</t>
        </is>
      </c>
      <c r="AE439" s="28" t="inlineStr">
        <is>
          <t>https://ajruiz.com.br/sites/default/files/public/arquivos-processos/2026-06/alto_uruguai_qgc_junho.2026.pdf</t>
        </is>
      </c>
      <c r="AF439" s="27" t="inlineStr">
        <is>
          <t>p1 r30</t>
        </is>
      </c>
      <c r="AG439" s="27" t="inlineStr">
        <is>
          <t>p1: R$ 222.764,53</t>
        </is>
      </c>
      <c r="AH439" s="27" t="inlineStr">
        <is>
          <t>UNKNOWN</t>
        </is>
      </c>
      <c r="AI439" s="27" t="inlineStr"/>
      <c r="AJ439" s="27" t="inlineStr">
        <is>
          <t>OK</t>
        </is>
      </c>
      <c r="AK439" s="29" t="inlineStr">
        <is>
          <t>5012743-51.2023.8.24.0019</t>
        </is>
      </c>
      <c r="AL439" s="29" t="inlineStr">
        <is>
          <t>TJSC</t>
        </is>
      </c>
      <c r="AM439" s="29" t="inlineStr">
        <is>
          <t>ACTIVE</t>
        </is>
      </c>
      <c r="AN439" s="29" t="n">
        <v>2023</v>
      </c>
      <c r="AO439" s="29" t="inlineStr">
        <is>
          <t>live case, no plan document yet</t>
        </is>
      </c>
      <c r="AP439" s="29" t="inlineStr">
        <is>
          <t>LAPA</t>
        </is>
      </c>
      <c r="AQ439" s="29" t="inlineStr">
        <is>
          <t>PR</t>
        </is>
      </c>
      <c r="AR439" s="29" t="inlineStr">
        <is>
          <t>Fabricação de biocombustíveis, exceto álcool</t>
        </is>
      </c>
      <c r="AS439" s="29" t="inlineStr">
        <is>
          <t>DEMAIS</t>
        </is>
      </c>
      <c r="AT439" s="29" t="inlineStr">
        <is>
          <t>LARGE CORP</t>
        </is>
      </c>
      <c r="AU439" s="29" t="inlineStr">
        <is>
          <t>12613484</t>
        </is>
      </c>
      <c r="AV439" s="29" t="n">
        <v>1</v>
      </c>
      <c r="AW439" s="29" t="inlineStr">
        <is>
          <t>ROWS:p1r30 VALUE_COL:Valor_Do_Crédito</t>
        </is>
      </c>
    </row>
    <row r="440">
      <c r="A440" s="15" t="inlineStr">
        <is>
          <t>EDENTEC INDUSTRIA E COMERCIO LTDA</t>
        </is>
      </c>
      <c r="B440" s="16" t="n">
        <v>219345.95</v>
      </c>
      <c r="C440" s="17" t="inlineStr">
        <is>
          <t>Conduscabos Brasil Indústria Comércio de</t>
        </is>
      </c>
      <c r="D440" s="18" t="inlineStr">
        <is>
          <t>NEW</t>
        </is>
      </c>
      <c r="E440" s="19" t="inlineStr"/>
      <c r="F440" s="18" t="inlineStr"/>
      <c r="G440" s="19" t="inlineStr"/>
      <c r="H440" s="18" t="inlineStr"/>
      <c r="I440" s="20" t="inlineStr">
        <is>
          <t>RUBENS RIZZARDO</t>
        </is>
      </c>
      <c r="J440" s="20" t="inlineStr">
        <is>
          <t>Sócio-Administrador</t>
        </is>
      </c>
      <c r="K440" s="20" t="inlineStr"/>
      <c r="L440" s="20" t="inlineStr"/>
      <c r="M440" s="20" t="inlineStr"/>
      <c r="N440" s="20" t="inlineStr"/>
      <c r="O440" s="20" t="inlineStr"/>
      <c r="P440" s="20" t="inlineStr"/>
      <c r="Q440" s="20" t="inlineStr"/>
      <c r="R440" s="20" t="inlineStr"/>
      <c r="S440" s="20" t="inlineStr"/>
      <c r="T440" s="21" t="n">
        <v>219345.95</v>
      </c>
      <c r="U440" s="22" t="inlineStr">
        <is>
          <t>B</t>
        </is>
      </c>
      <c r="V440" s="23">
        <f>IFERROR(VLOOKUP(U440,Assumptions!$A$7:$D$11,2,FALSE),0)</f>
        <v/>
      </c>
      <c r="W440" s="24">
        <f>MAX(0.5,IFERROR(VLOOKUP(U440,Assumptions!$A$7:$D$11,3,FALSE),3)+IFERROR(VLOOKUP(U440,Assumptions!$A$7:$D$11,4,FALSE),8)/2-IF(AN440="",0,YEAR(TODAY())-AN440))</f>
        <v/>
      </c>
      <c r="X440" s="21">
        <f>T440*V440/(1+Assumptions!$B$3)^W440</f>
        <v/>
      </c>
      <c r="Y440" s="25">
        <f>IF(T440=0,"",ROUND(X440/T440*100,1))</f>
        <v/>
      </c>
      <c r="Z440" s="26">
        <f>X440*Assumptions!$B$4</f>
        <v/>
      </c>
      <c r="AA440" s="25">
        <f>IF(T440=0,"",ROUND(Z440/T440*100,1))</f>
        <v/>
      </c>
      <c r="AB440" s="26">
        <f>X440-Z440</f>
        <v/>
      </c>
      <c r="AC440" s="25">
        <f>IF(T440=0,"",ROUND((X440-Z440)/T440*100,1))</f>
        <v/>
      </c>
      <c r="AD440" s="27" t="inlineStr">
        <is>
          <t>ESTIMATED</t>
        </is>
      </c>
      <c r="AE440" s="28" t="inlineStr">
        <is>
          <t>https://assistjud.com.br/wp-content/uploads/elementor/forms/65098c80a5824.pdf</t>
        </is>
      </c>
      <c r="AF440" s="27" t="inlineStr">
        <is>
          <t>p7 r3</t>
        </is>
      </c>
      <c r="AG440" s="27" t="inlineStr">
        <is>
          <t>p7: R$ 219.345,95</t>
        </is>
      </c>
      <c r="AH440" s="27" t="inlineStr">
        <is>
          <t>AJ_LIST</t>
        </is>
      </c>
      <c r="AI440" s="27" t="inlineStr">
        <is>
          <t>2023-09-18</t>
        </is>
      </c>
      <c r="AJ440" s="27" t="inlineStr">
        <is>
          <t>OK_NO_TOTALS</t>
        </is>
      </c>
      <c r="AK440" s="29" t="inlineStr">
        <is>
          <t>8005129-09.2023.8.05.0039</t>
        </is>
      </c>
      <c r="AL440" s="29" t="inlineStr">
        <is>
          <t>TJBA</t>
        </is>
      </c>
      <c r="AM440" s="29" t="inlineStr">
        <is>
          <t>ACTIVE</t>
        </is>
      </c>
      <c r="AN440" s="29" t="n">
        <v>2023</v>
      </c>
      <c r="AO440" s="29" t="inlineStr">
        <is>
          <t>live case, no plan document yet</t>
        </is>
      </c>
      <c r="AP440" s="29" t="inlineStr">
        <is>
          <t>SOROCABA</t>
        </is>
      </c>
      <c r="AQ440" s="29" t="inlineStr">
        <is>
          <t>SP</t>
        </is>
      </c>
      <c r="AR440" s="29" t="inlineStr">
        <is>
          <t>Fabricação de artefatos diversos de madeira, exceto móveis</t>
        </is>
      </c>
      <c r="AS440" s="29" t="inlineStr">
        <is>
          <t>DEMAIS</t>
        </is>
      </c>
      <c r="AT440" s="29" t="inlineStr">
        <is>
          <t>MID-MARKET</t>
        </is>
      </c>
      <c r="AU440" s="29" t="inlineStr">
        <is>
          <t>47799028</t>
        </is>
      </c>
      <c r="AV440" s="29" t="n">
        <v>1</v>
      </c>
      <c r="AW440" s="29" t="inlineStr">
        <is>
          <t>ROWS:p7r3 UNRECONCILED_SOURCE</t>
        </is>
      </c>
    </row>
    <row r="441">
      <c r="A441" s="15" t="inlineStr">
        <is>
          <t>GRAXARIA BB LTDA</t>
        </is>
      </c>
      <c r="B441" s="16" t="n">
        <v>319660.2</v>
      </c>
      <c r="C441" s="17" t="inlineStr">
        <is>
          <t>COMERCIO RACOES BEM BOM LTDA</t>
        </is>
      </c>
      <c r="D441" s="18" t="inlineStr">
        <is>
          <t>NEW</t>
        </is>
      </c>
      <c r="E441" s="19" t="inlineStr"/>
      <c r="F441" s="18" t="inlineStr"/>
      <c r="G441" s="19" t="inlineStr"/>
      <c r="H441" s="18" t="inlineStr"/>
      <c r="I441" s="20" t="inlineStr">
        <is>
          <t>ELSON JOSE LOPES</t>
        </is>
      </c>
      <c r="J441" s="20" t="inlineStr">
        <is>
          <t>Administrador</t>
        </is>
      </c>
      <c r="K441" s="20" t="inlineStr">
        <is>
          <t>(62) 8115-0283</t>
        </is>
      </c>
      <c r="L441" s="20" t="inlineStr">
        <is>
          <t>000000000000</t>
        </is>
      </c>
      <c r="M441" s="20" t="inlineStr"/>
      <c r="N441" s="20" t="inlineStr"/>
      <c r="O441" s="20" t="inlineStr"/>
      <c r="P441" s="20" t="inlineStr"/>
      <c r="Q441" s="20" t="inlineStr"/>
      <c r="R441" s="20" t="inlineStr"/>
      <c r="S441" s="20" t="inlineStr"/>
      <c r="T441" s="21" t="n">
        <v>319660.2</v>
      </c>
      <c r="U441" s="32" t="inlineStr">
        <is>
          <t>A</t>
        </is>
      </c>
      <c r="V441" s="23">
        <f>IFERROR(VLOOKUP(U441,Assumptions!$A$7:$D$11,2,FALSE),0)</f>
        <v/>
      </c>
      <c r="W441" s="24">
        <f>MAX(0.5,IFERROR(VLOOKUP(U441,Assumptions!$A$7:$D$11,3,FALSE),3)+IFERROR(VLOOKUP(U441,Assumptions!$A$7:$D$11,4,FALSE),8)/2-IF(AN441="",0,YEAR(TODAY())-AN441))</f>
        <v/>
      </c>
      <c r="X441" s="21">
        <f>T441*V441/(1+Assumptions!$B$3)^W441</f>
        <v/>
      </c>
      <c r="Y441" s="25">
        <f>IF(T441=0,"",ROUND(X441/T441*100,1))</f>
        <v/>
      </c>
      <c r="Z441" s="26">
        <f>X441*Assumptions!$B$4</f>
        <v/>
      </c>
      <c r="AA441" s="25">
        <f>IF(T441=0,"",ROUND(Z441/T441*100,1))</f>
        <v/>
      </c>
      <c r="AB441" s="26">
        <f>X441-Z441</f>
        <v/>
      </c>
      <c r="AC441" s="25">
        <f>IF(T441=0,"",ROUND((X441-Z441)/T441*100,1))</f>
        <v/>
      </c>
      <c r="AD441" s="27" t="inlineStr">
        <is>
          <t>CONFIRMED</t>
        </is>
      </c>
      <c r="AE441" s="28" t="inlineStr">
        <is>
          <t>https://stenius.com.br/wp-content/uploads/2026/06/EDITAL-GRUPO-3E.pdf</t>
        </is>
      </c>
      <c r="AF441" s="27" t="inlineStr">
        <is>
          <t>p14 r19</t>
        </is>
      </c>
      <c r="AG441" s="27" t="inlineStr">
        <is>
          <t>p14: R$ 319.660,20</t>
        </is>
      </c>
      <c r="AH441" s="27" t="inlineStr">
        <is>
          <t>DEBTOR_LIST</t>
        </is>
      </c>
      <c r="AI441" s="27" t="inlineStr">
        <is>
          <t>2026-06-22</t>
        </is>
      </c>
      <c r="AJ441" s="27" t="inlineStr">
        <is>
          <t>OK_NO_TOTALS</t>
        </is>
      </c>
      <c r="AK441" s="29" t="inlineStr">
        <is>
          <t>5341375-33.2026.8.09.0049</t>
        </is>
      </c>
      <c r="AL441" s="29" t="inlineStr">
        <is>
          <t>TJGO</t>
        </is>
      </c>
      <c r="AM441" s="29" t="inlineStr">
        <is>
          <t>ACTIVE</t>
        </is>
      </c>
      <c r="AN441" s="29" t="n">
        <v>2026</v>
      </c>
      <c r="AO441" s="29" t="inlineStr">
        <is>
          <t>plan/homologation document found</t>
        </is>
      </c>
      <c r="AP441" s="29" t="inlineStr">
        <is>
          <t>NIQUELANDIA</t>
        </is>
      </c>
      <c r="AQ441" s="29" t="inlineStr">
        <is>
          <t>GO</t>
        </is>
      </c>
      <c r="AR441" s="29" t="inlineStr">
        <is>
          <t>Preparação de subprodutos do abate</t>
        </is>
      </c>
      <c r="AS441" s="29" t="inlineStr">
        <is>
          <t>DEMAIS</t>
        </is>
      </c>
      <c r="AT441" s="29" t="inlineStr">
        <is>
          <t>MID-MARKET</t>
        </is>
      </c>
      <c r="AU441" s="29" t="inlineStr">
        <is>
          <t>61773646</t>
        </is>
      </c>
      <c r="AV441" s="29" t="n">
        <v>1</v>
      </c>
      <c r="AW441" s="29" t="inlineStr">
        <is>
          <t>ROWS:p14r19 UNRECONCILED_SOURCE</t>
        </is>
      </c>
    </row>
    <row r="442">
      <c r="A442" s="15" t="inlineStr">
        <is>
          <t>ENGASTE PROJETOS, CONSTRUCOES E INCORPORACOES LTDA</t>
        </is>
      </c>
      <c r="B442" s="16" t="n">
        <v>340000</v>
      </c>
      <c r="C442" s="17" t="inlineStr">
        <is>
          <t>GRUPO CASAS BAHIA S.A.</t>
        </is>
      </c>
      <c r="D442" s="18" t="inlineStr">
        <is>
          <t>NEW</t>
        </is>
      </c>
      <c r="E442" s="19" t="inlineStr"/>
      <c r="F442" s="18" t="inlineStr"/>
      <c r="G442" s="19" t="inlineStr"/>
      <c r="H442" s="18" t="inlineStr"/>
      <c r="I442" s="20" t="inlineStr">
        <is>
          <t>ANDRE CARLOS PAGOTTO</t>
        </is>
      </c>
      <c r="J442" s="20" t="inlineStr">
        <is>
          <t>Sócio-Administrador</t>
        </is>
      </c>
      <c r="K442" s="20" t="inlineStr">
        <is>
          <t>(49) 3425-9203</t>
        </is>
      </c>
      <c r="L442" s="20" t="inlineStr"/>
      <c r="M442" s="20" t="inlineStr"/>
      <c r="N442" s="20" t="inlineStr"/>
      <c r="O442" s="20" t="inlineStr"/>
      <c r="P442" s="20" t="inlineStr">
        <is>
          <t>DANIEL BARBIERI</t>
        </is>
      </c>
      <c r="Q442" s="20" t="inlineStr">
        <is>
          <t>Sócio-Administrador</t>
        </is>
      </c>
      <c r="R442" s="20" t="inlineStr">
        <is>
          <t>(49) 3425-9203</t>
        </is>
      </c>
      <c r="S442" s="20" t="inlineStr"/>
      <c r="T442" s="21" t="n">
        <v>340000</v>
      </c>
      <c r="U442" s="22" t="inlineStr">
        <is>
          <t>B</t>
        </is>
      </c>
      <c r="V442" s="23">
        <f>IFERROR(VLOOKUP(U442,Assumptions!$A$7:$D$11,2,FALSE),0)</f>
        <v/>
      </c>
      <c r="W442" s="24">
        <f>MAX(0.5,IFERROR(VLOOKUP(U442,Assumptions!$A$7:$D$11,3,FALSE),3)+IFERROR(VLOOKUP(U442,Assumptions!$A$7:$D$11,4,FALSE),8)/2-IF(AN442="",0,YEAR(TODAY())-AN442))</f>
        <v/>
      </c>
      <c r="X442" s="21">
        <f>T442*V442/(1+Assumptions!$B$3)^W442</f>
        <v/>
      </c>
      <c r="Y442" s="25">
        <f>IF(T442=0,"",ROUND(X442/T442*100,1))</f>
        <v/>
      </c>
      <c r="Z442" s="26">
        <f>X442*Assumptions!$B$4</f>
        <v/>
      </c>
      <c r="AA442" s="25">
        <f>IF(T442=0,"",ROUND(Z442/T442*100,1))</f>
        <v/>
      </c>
      <c r="AB442" s="26">
        <f>X442-Z442</f>
        <v/>
      </c>
      <c r="AC442" s="25">
        <f>IF(T442=0,"",ROUND((X442-Z442)/T442*100,1))</f>
        <v/>
      </c>
      <c r="AD442" s="27" t="inlineStr">
        <is>
          <t>UNKNOWN</t>
        </is>
      </c>
      <c r="AE442" s="28" t="inlineStr">
        <is>
          <t>https://scalzilliaj.com.br/sgc/download.php?file=files/processo_documento/processo_documento15180810062026_1_.pdf&amp;nome=10 - Relação de credores do art. 7º, §2º, da Lei 11.101/2005</t>
        </is>
      </c>
      <c r="AF442" s="27" t="inlineStr">
        <is>
          <t>p1 r47</t>
        </is>
      </c>
      <c r="AG442" s="27" t="inlineStr">
        <is>
          <t>p1: R$ 340.000,00</t>
        </is>
      </c>
      <c r="AH442" s="27" t="inlineStr">
        <is>
          <t>AJ_LIST</t>
        </is>
      </c>
      <c r="AI442" s="27" t="inlineStr"/>
      <c r="AJ442" s="27" t="inlineStr">
        <is>
          <t>OK_NO_TOTALS</t>
        </is>
      </c>
      <c r="AK442" s="29" t="inlineStr">
        <is>
          <t>5009529-81.2025.8.24.0019</t>
        </is>
      </c>
      <c r="AL442" s="29" t="inlineStr">
        <is>
          <t>TJ</t>
        </is>
      </c>
      <c r="AM442" s="29" t="inlineStr"/>
      <c r="AN442" s="29" t="n">
        <v>2025</v>
      </c>
      <c r="AO442" s="29" t="inlineStr">
        <is>
          <t>live case, no plan document yet</t>
        </is>
      </c>
      <c r="AP442" s="29" t="inlineStr">
        <is>
          <t>CONCORDIA</t>
        </is>
      </c>
      <c r="AQ442" s="29" t="inlineStr">
        <is>
          <t>SC</t>
        </is>
      </c>
      <c r="AR442" s="29" t="inlineStr">
        <is>
          <t>Serviços de engenharia</t>
        </is>
      </c>
      <c r="AS442" s="29" t="inlineStr">
        <is>
          <t>EMPRESA DE PEQUENO PORTE</t>
        </is>
      </c>
      <c r="AT442" s="29" t="inlineStr">
        <is>
          <t>SMALL</t>
        </is>
      </c>
      <c r="AU442" s="29" t="inlineStr">
        <is>
          <t>08578161</t>
        </is>
      </c>
      <c r="AV442" s="29" t="n">
        <v>1</v>
      </c>
      <c r="AW442" s="29" t="inlineStr">
        <is>
          <t>ROWS:p1r47 UNRECONCILED_SOURCE VALUE_COL:Valor_(Art._7º,_§2º)</t>
        </is>
      </c>
    </row>
    <row r="443">
      <c r="A443" s="15" t="inlineStr">
        <is>
          <t>POLYBRAS - POLIMEROS BRASILEIROS LTDA</t>
        </is>
      </c>
      <c r="B443" s="16" t="n">
        <v>217457.66</v>
      </c>
      <c r="C443" s="17" t="inlineStr">
        <is>
          <t>civilmente LTDA</t>
        </is>
      </c>
      <c r="D443" s="18" t="inlineStr">
        <is>
          <t>NEW</t>
        </is>
      </c>
      <c r="E443" s="19" t="inlineStr"/>
      <c r="F443" s="18" t="inlineStr"/>
      <c r="G443" s="19" t="inlineStr"/>
      <c r="H443" s="18" t="inlineStr"/>
      <c r="I443" s="20" t="inlineStr">
        <is>
          <t>KENIA KELLY MEDEIROS BORGES DE ANDRADE</t>
        </is>
      </c>
      <c r="J443" s="20" t="inlineStr">
        <is>
          <t>Sócio-Administrador</t>
        </is>
      </c>
      <c r="K443" s="20" t="inlineStr">
        <is>
          <t>(84) 9614-2641</t>
        </is>
      </c>
      <c r="L443" s="20" t="inlineStr"/>
      <c r="M443" s="20" t="inlineStr"/>
      <c r="N443" s="20" t="inlineStr"/>
      <c r="O443" s="20" t="inlineStr"/>
      <c r="P443" s="20" t="inlineStr"/>
      <c r="Q443" s="20" t="inlineStr"/>
      <c r="R443" s="20" t="inlineStr"/>
      <c r="S443" s="20" t="inlineStr"/>
      <c r="T443" s="21" t="n">
        <v>217457.66</v>
      </c>
      <c r="U443" s="22" t="inlineStr">
        <is>
          <t>B</t>
        </is>
      </c>
      <c r="V443" s="23">
        <f>IFERROR(VLOOKUP(U443,Assumptions!$A$7:$D$11,2,FALSE),0)</f>
        <v/>
      </c>
      <c r="W443" s="24">
        <f>MAX(0.5,IFERROR(VLOOKUP(U443,Assumptions!$A$7:$D$11,3,FALSE),3)+IFERROR(VLOOKUP(U443,Assumptions!$A$7:$D$11,4,FALSE),8)/2-IF(AN443="",0,YEAR(TODAY())-AN443))</f>
        <v/>
      </c>
      <c r="X443" s="21">
        <f>T443*V443/(1+Assumptions!$B$3)^W443</f>
        <v/>
      </c>
      <c r="Y443" s="25">
        <f>IF(T443=0,"",ROUND(X443/T443*100,1))</f>
        <v/>
      </c>
      <c r="Z443" s="26">
        <f>X443*Assumptions!$B$4</f>
        <v/>
      </c>
      <c r="AA443" s="25">
        <f>IF(T443=0,"",ROUND(Z443/T443*100,1))</f>
        <v/>
      </c>
      <c r="AB443" s="26">
        <f>X443-Z443</f>
        <v/>
      </c>
      <c r="AC443" s="25">
        <f>IF(T443=0,"",ROUND((X443-Z443)/T443*100,1))</f>
        <v/>
      </c>
      <c r="AD443" s="27" t="inlineStr">
        <is>
          <t>ESTIMATED</t>
        </is>
      </c>
      <c r="AE443" s="28" t="inlineStr">
        <is>
          <t>http://recuperacaojudicial.squarespace.com/s/LISTA-DE-CREDORES-CONSOLIDADA-ATE-04102024.pdf</t>
        </is>
      </c>
      <c r="AF443" s="27" t="inlineStr">
        <is>
          <t>p6 r18</t>
        </is>
      </c>
      <c r="AG443" s="27" t="inlineStr">
        <is>
          <t>p6: R$ 217.457,66</t>
        </is>
      </c>
      <c r="AH443" s="27" t="inlineStr">
        <is>
          <t>AJ_LIST</t>
        </is>
      </c>
      <c r="AI443" s="27" t="inlineStr">
        <is>
          <t>2024-10-04</t>
        </is>
      </c>
      <c r="AJ443" s="27" t="inlineStr">
        <is>
          <t>OK</t>
        </is>
      </c>
      <c r="AK443" s="29" t="inlineStr">
        <is>
          <t>0800778-16.2023.8.20.5104</t>
        </is>
      </c>
      <c r="AL443" s="29" t="inlineStr">
        <is>
          <t>TJRN</t>
        </is>
      </c>
      <c r="AM443" s="29" t="inlineStr">
        <is>
          <t>ACTIVE</t>
        </is>
      </c>
      <c r="AN443" s="29" t="n">
        <v>2023</v>
      </c>
      <c r="AO443" s="29" t="inlineStr">
        <is>
          <t>live case, no plan document yet</t>
        </is>
      </c>
      <c r="AP443" s="29" t="inlineStr">
        <is>
          <t>MOSSORO</t>
        </is>
      </c>
      <c r="AQ443" s="29" t="inlineStr">
        <is>
          <t>RN</t>
        </is>
      </c>
      <c r="AR443" s="29" t="inlineStr">
        <is>
          <t>Recuperação de materiais plásticos</t>
        </is>
      </c>
      <c r="AS443" s="29" t="inlineStr">
        <is>
          <t>EMPRESA DE PEQUENO PORTE</t>
        </is>
      </c>
      <c r="AT443" s="29" t="inlineStr">
        <is>
          <t>SMALL</t>
        </is>
      </c>
      <c r="AU443" s="29" t="inlineStr">
        <is>
          <t>17799898</t>
        </is>
      </c>
      <c r="AV443" s="29" t="n">
        <v>1</v>
      </c>
      <c r="AW443" s="29" t="inlineStr">
        <is>
          <t>ROWS:p6r18 VALUE_COL:Valor_Do_Crédito</t>
        </is>
      </c>
    </row>
    <row r="444">
      <c r="A444" s="15" t="inlineStr">
        <is>
          <t>DELICIOUS FISH AGROINDUSTRIA E COMERCIO DE PESCADOS LTDA</t>
        </is>
      </c>
      <c r="B444" s="16" t="n">
        <v>318000</v>
      </c>
      <c r="C444" s="17" t="inlineStr">
        <is>
          <t>COMERCIO RACOES BEM BOM LTDA</t>
        </is>
      </c>
      <c r="D444" s="18" t="inlineStr">
        <is>
          <t>NEW</t>
        </is>
      </c>
      <c r="E444" s="19" t="inlineStr"/>
      <c r="F444" s="18" t="inlineStr"/>
      <c r="G444" s="19" t="inlineStr"/>
      <c r="H444" s="18" t="inlineStr"/>
      <c r="I444" s="20" t="inlineStr">
        <is>
          <t>Eliane Volek</t>
        </is>
      </c>
      <c r="J444" s="20" t="inlineStr">
        <is>
          <t>Comptroller (Controladoria)</t>
        </is>
      </c>
      <c r="K444" s="20" t="inlineStr">
        <is>
          <t>(66) 3584-1000</t>
        </is>
      </c>
      <c r="L444" s="20" t="inlineStr"/>
      <c r="M444" s="20" t="inlineStr"/>
      <c r="N444" s="20" t="inlineStr"/>
      <c r="O444" s="20" t="inlineStr"/>
      <c r="P444" s="20" t="inlineStr">
        <is>
          <t>Ney Campos</t>
        </is>
      </c>
      <c r="Q444" s="20" t="inlineStr">
        <is>
          <t>Financeiro</t>
        </is>
      </c>
      <c r="R444" s="20" t="inlineStr"/>
      <c r="S444" s="20" t="inlineStr"/>
      <c r="T444" s="21" t="n">
        <v>318000</v>
      </c>
      <c r="U444" s="32" t="inlineStr">
        <is>
          <t>A</t>
        </is>
      </c>
      <c r="V444" s="23">
        <f>IFERROR(VLOOKUP(U444,Assumptions!$A$7:$D$11,2,FALSE),0)</f>
        <v/>
      </c>
      <c r="W444" s="24">
        <f>MAX(0.5,IFERROR(VLOOKUP(U444,Assumptions!$A$7:$D$11,3,FALSE),3)+IFERROR(VLOOKUP(U444,Assumptions!$A$7:$D$11,4,FALSE),8)/2-IF(AN444="",0,YEAR(TODAY())-AN444))</f>
        <v/>
      </c>
      <c r="X444" s="21">
        <f>T444*V444/(1+Assumptions!$B$3)^W444</f>
        <v/>
      </c>
      <c r="Y444" s="25">
        <f>IF(T444=0,"",ROUND(X444/T444*100,1))</f>
        <v/>
      </c>
      <c r="Z444" s="26">
        <f>X444*Assumptions!$B$4</f>
        <v/>
      </c>
      <c r="AA444" s="25">
        <f>IF(T444=0,"",ROUND(Z444/T444*100,1))</f>
        <v/>
      </c>
      <c r="AB444" s="26">
        <f>X444-Z444</f>
        <v/>
      </c>
      <c r="AC444" s="25">
        <f>IF(T444=0,"",ROUND((X444-Z444)/T444*100,1))</f>
        <v/>
      </c>
      <c r="AD444" s="27" t="inlineStr">
        <is>
          <t>CONFIRMED</t>
        </is>
      </c>
      <c r="AE444" s="28" t="inlineStr">
        <is>
          <t>https://stenius.com.br/wp-content/uploads/2026/06/EDITAL-GRUPO-3E.pdf</t>
        </is>
      </c>
      <c r="AF444" s="27" t="inlineStr">
        <is>
          <t>p12 r30</t>
        </is>
      </c>
      <c r="AG444" s="27" t="inlineStr">
        <is>
          <t>p12: R$ 318.000,00</t>
        </is>
      </c>
      <c r="AH444" s="27" t="inlineStr">
        <is>
          <t>DEBTOR_LIST</t>
        </is>
      </c>
      <c r="AI444" s="27" t="inlineStr">
        <is>
          <t>2026-06-22</t>
        </is>
      </c>
      <c r="AJ444" s="27" t="inlineStr">
        <is>
          <t>OK_NO_TOTALS</t>
        </is>
      </c>
      <c r="AK444" s="29" t="inlineStr">
        <is>
          <t>5341375-33.2026.8.09.0049</t>
        </is>
      </c>
      <c r="AL444" s="29" t="inlineStr">
        <is>
          <t>TJGO</t>
        </is>
      </c>
      <c r="AM444" s="29" t="inlineStr">
        <is>
          <t>ACTIVE</t>
        </is>
      </c>
      <c r="AN444" s="29" t="n">
        <v>2026</v>
      </c>
      <c r="AO444" s="29" t="inlineStr">
        <is>
          <t>plan/homologation document found</t>
        </is>
      </c>
      <c r="AP444" s="29" t="inlineStr">
        <is>
          <t>SORRISO</t>
        </is>
      </c>
      <c r="AQ444" s="29" t="inlineStr">
        <is>
          <t>MT</t>
        </is>
      </c>
      <c r="AR444" s="29" t="inlineStr">
        <is>
          <t>Fabricação de conservas de peixes, crustáceos e moluscos</t>
        </is>
      </c>
      <c r="AS444" s="29" t="inlineStr">
        <is>
          <t>DEMAIS</t>
        </is>
      </c>
      <c r="AT444" s="29" t="inlineStr">
        <is>
          <t>MID-MARKET</t>
        </is>
      </c>
      <c r="AU444" s="29" t="inlineStr">
        <is>
          <t>70494828</t>
        </is>
      </c>
      <c r="AV444" s="29" t="n">
        <v>1</v>
      </c>
      <c r="AW444" s="29" t="inlineStr">
        <is>
          <t>ROWS:p12r30 UNRECONCILED_SOURCE</t>
        </is>
      </c>
    </row>
    <row r="445">
      <c r="A445" s="15" t="inlineStr">
        <is>
          <t>TEXTILNOVA FIACAO LTDA EM RECUPERACAO JUDICIAL</t>
        </is>
      </c>
      <c r="B445" s="16" t="n">
        <v>248330.45</v>
      </c>
      <c r="C445" s="17" t="inlineStr">
        <is>
          <t>BANCO BRADESCO S.A.</t>
        </is>
      </c>
      <c r="D445" s="18" t="inlineStr">
        <is>
          <t>NEW</t>
        </is>
      </c>
      <c r="E445" s="19" t="inlineStr"/>
      <c r="F445" s="18" t="inlineStr"/>
      <c r="G445" s="19" t="inlineStr"/>
      <c r="H445" s="18" t="inlineStr"/>
      <c r="I445" s="20" t="inlineStr">
        <is>
          <t>EDMILSON APARECIDO DE MORAES</t>
        </is>
      </c>
      <c r="J445" s="20" t="inlineStr">
        <is>
          <t>Sócio-Administrador</t>
        </is>
      </c>
      <c r="K445" s="20" t="inlineStr">
        <is>
          <t>(35) 3551-5921</t>
        </is>
      </c>
      <c r="L445" s="20" t="inlineStr">
        <is>
          <t>(12) 9739-5397</t>
        </is>
      </c>
      <c r="M445" s="20" t="inlineStr"/>
      <c r="N445" s="20" t="inlineStr"/>
      <c r="O445" s="20" t="inlineStr"/>
      <c r="P445" s="20" t="inlineStr"/>
      <c r="Q445" s="20" t="inlineStr"/>
      <c r="R445" s="20" t="inlineStr"/>
      <c r="S445" s="20" t="inlineStr"/>
      <c r="T445" s="21" t="n">
        <v>248330.45</v>
      </c>
      <c r="U445" s="31" t="inlineStr">
        <is>
          <t>C</t>
        </is>
      </c>
      <c r="V445" s="23">
        <f>IFERROR(VLOOKUP(U445,Assumptions!$A$7:$D$11,2,FALSE),0)</f>
        <v/>
      </c>
      <c r="W445" s="24">
        <f>MAX(0.5,IFERROR(VLOOKUP(U445,Assumptions!$A$7:$D$11,3,FALSE),3)+IFERROR(VLOOKUP(U445,Assumptions!$A$7:$D$11,4,FALSE),8)/2-IF(AN445="",0,YEAR(TODAY())-AN445))</f>
        <v/>
      </c>
      <c r="X445" s="21">
        <f>T445*V445/(1+Assumptions!$B$3)^W445</f>
        <v/>
      </c>
      <c r="Y445" s="25">
        <f>IF(T445=0,"",ROUND(X445/T445*100,1))</f>
        <v/>
      </c>
      <c r="Z445" s="26">
        <f>X445*Assumptions!$B$4</f>
        <v/>
      </c>
      <c r="AA445" s="25">
        <f>IF(T445=0,"",ROUND(Z445/T445*100,1))</f>
        <v/>
      </c>
      <c r="AB445" s="26">
        <f>X445-Z445</f>
        <v/>
      </c>
      <c r="AC445" s="25">
        <f>IF(T445=0,"",ROUND((X445-Z445)/T445*100,1))</f>
        <v/>
      </c>
      <c r="AD445" s="27" t="inlineStr">
        <is>
          <t>UNKNOWN</t>
        </is>
      </c>
      <c r="AE445" s="28" t="inlineStr">
        <is>
          <t>https://administradorajudicialgs.com.br/wp-content/uploads/2023/08/doc-06-relacao-credores-do-administrador-judicial-10-02-2015.pdf</t>
        </is>
      </c>
      <c r="AF445" s="27" t="inlineStr">
        <is>
          <t>p2 r44</t>
        </is>
      </c>
      <c r="AG445" s="27" t="inlineStr">
        <is>
          <t>p2: R$ 248.330,45</t>
        </is>
      </c>
      <c r="AH445" s="27" t="inlineStr">
        <is>
          <t>AJ_LIST</t>
        </is>
      </c>
      <c r="AI445" s="27" t="inlineStr"/>
      <c r="AJ445" s="27" t="inlineStr">
        <is>
          <t>QUARANTINED</t>
        </is>
      </c>
      <c r="AK445" s="29" t="inlineStr">
        <is>
          <t>0302174-63.2015.8.24.0025</t>
        </is>
      </c>
      <c r="AL445" s="29" t="inlineStr">
        <is>
          <t>TJ</t>
        </is>
      </c>
      <c r="AM445" s="29" t="inlineStr"/>
      <c r="AN445" s="29" t="n">
        <v>2015</v>
      </c>
      <c r="AO445" s="29" t="inlineStr">
        <is>
          <t>11y since filing, no plan document</t>
        </is>
      </c>
      <c r="AP445" s="29" t="inlineStr">
        <is>
          <t>GUAXUPE</t>
        </is>
      </c>
      <c r="AQ445" s="29" t="inlineStr">
        <is>
          <t>MG</t>
        </is>
      </c>
      <c r="AR445" s="29" t="inlineStr">
        <is>
          <t>Preparação e fiação de fibras de algodão</t>
        </is>
      </c>
      <c r="AS445" s="29" t="inlineStr">
        <is>
          <t>DEMAIS</t>
        </is>
      </c>
      <c r="AT445" s="29" t="inlineStr">
        <is>
          <t>MID-MARKET</t>
        </is>
      </c>
      <c r="AU445" s="29" t="inlineStr">
        <is>
          <t>60182904</t>
        </is>
      </c>
      <c r="AV445" s="29" t="n">
        <v>1</v>
      </c>
      <c r="AW445" s="29" t="inlineStr">
        <is>
          <t>PARTIAL_DOC_CLASS_III_RECONCILED ROWS:p2r44</t>
        </is>
      </c>
    </row>
    <row r="446">
      <c r="A446" s="15" t="inlineStr">
        <is>
          <t>LABORATORIO GLOBO SA</t>
        </is>
      </c>
      <c r="B446" s="16" t="n">
        <v>216418.96</v>
      </c>
      <c r="C446" s="17" t="inlineStr">
        <is>
          <t>VEV COMERCIO DE MEDICAMENTOS LTDA EM RECUPERACAO JUDICIAL</t>
        </is>
      </c>
      <c r="D446" s="18" t="inlineStr">
        <is>
          <t>NEW</t>
        </is>
      </c>
      <c r="E446" s="19" t="inlineStr"/>
      <c r="F446" s="18" t="inlineStr"/>
      <c r="G446" s="19" t="inlineStr"/>
      <c r="H446" s="18" t="inlineStr"/>
      <c r="I446" s="20" t="inlineStr">
        <is>
          <t>RODRIGO DE ANDRADE CALDAS E SOUSA</t>
        </is>
      </c>
      <c r="J446" s="20" t="inlineStr">
        <is>
          <t>Presidente</t>
        </is>
      </c>
      <c r="K446" s="20" t="inlineStr">
        <is>
          <t>(31) 3623-3500</t>
        </is>
      </c>
      <c r="L446" s="20" t="inlineStr">
        <is>
          <t>(31) 3623-3545</t>
        </is>
      </c>
      <c r="M446" s="20" t="inlineStr"/>
      <c r="N446" s="20" t="inlineStr"/>
      <c r="O446" s="20" t="inlineStr"/>
      <c r="P446" s="20" t="inlineStr">
        <is>
          <t>NICHOLAS FRANZEN MATTE</t>
        </is>
      </c>
      <c r="Q446" s="20" t="inlineStr">
        <is>
          <t>Diretor</t>
        </is>
      </c>
      <c r="R446" s="20" t="inlineStr">
        <is>
          <t>(31) 3623-3545</t>
        </is>
      </c>
      <c r="S446" s="20" t="inlineStr"/>
      <c r="T446" s="21" t="n">
        <v>216418.96</v>
      </c>
      <c r="U446" s="22" t="inlineStr">
        <is>
          <t>B</t>
        </is>
      </c>
      <c r="V446" s="23">
        <f>IFERROR(VLOOKUP(U446,Assumptions!$A$7:$D$11,2,FALSE),0)</f>
        <v/>
      </c>
      <c r="W446" s="24">
        <f>MAX(0.5,IFERROR(VLOOKUP(U446,Assumptions!$A$7:$D$11,3,FALSE),3)+IFERROR(VLOOKUP(U446,Assumptions!$A$7:$D$11,4,FALSE),8)/2-IF(AN446="",0,YEAR(TODAY())-AN446))</f>
        <v/>
      </c>
      <c r="X446" s="21">
        <f>T446*V446/(1+Assumptions!$B$3)^W446</f>
        <v/>
      </c>
      <c r="Y446" s="25">
        <f>IF(T446=0,"",ROUND(X446/T446*100,1))</f>
        <v/>
      </c>
      <c r="Z446" s="26">
        <f>X446*Assumptions!$B$4</f>
        <v/>
      </c>
      <c r="AA446" s="25">
        <f>IF(T446=0,"",ROUND(Z446/T446*100,1))</f>
        <v/>
      </c>
      <c r="AB446" s="26">
        <f>X446-Z446</f>
        <v/>
      </c>
      <c r="AC446" s="25">
        <f>IF(T446=0,"",ROUND((X446-Z446)/T446*100,1))</f>
        <v/>
      </c>
      <c r="AD446" s="27" t="inlineStr">
        <is>
          <t>ESTIMATED</t>
        </is>
      </c>
      <c r="AE446" s="28" t="inlineStr">
        <is>
          <t>https://marquesadmjudicial.com.br/sgc/download.php?file=files/processo_documento/processo_documento15293208032024_1_.pdf&amp;nome=Relação Nominal de Credores da AJ-Sintética</t>
        </is>
      </c>
      <c r="AF446" s="27" t="inlineStr">
        <is>
          <t>p27 r11</t>
        </is>
      </c>
      <c r="AG446" s="27" t="inlineStr">
        <is>
          <t>p27: R$ 216.418,96</t>
        </is>
      </c>
      <c r="AH446" s="27" t="inlineStr">
        <is>
          <t>AJ_LIST</t>
        </is>
      </c>
      <c r="AI446" s="27" t="inlineStr">
        <is>
          <t>2023-03-02</t>
        </is>
      </c>
      <c r="AJ446" s="27" t="inlineStr">
        <is>
          <t>QUARANTINED</t>
        </is>
      </c>
      <c r="AK446" s="29" t="inlineStr">
        <is>
          <t>0005010-98.2023.8.16.0001</t>
        </is>
      </c>
      <c r="AL446" s="29" t="inlineStr">
        <is>
          <t>TJPR</t>
        </is>
      </c>
      <c r="AM446" s="29" t="inlineStr">
        <is>
          <t>ACTIVE</t>
        </is>
      </c>
      <c r="AN446" s="29" t="n">
        <v>2023</v>
      </c>
      <c r="AO446" s="29" t="inlineStr">
        <is>
          <t>live case, no plan document yet</t>
        </is>
      </c>
      <c r="AP446" s="29" t="inlineStr">
        <is>
          <t>SAO JOSE DA LAPA</t>
        </is>
      </c>
      <c r="AQ446" s="29" t="inlineStr">
        <is>
          <t>MG</t>
        </is>
      </c>
      <c r="AR446" s="29" t="inlineStr">
        <is>
          <t>Fabricação de medicamentos alopáticos para uso humano</t>
        </is>
      </c>
      <c r="AS446" s="29" t="inlineStr">
        <is>
          <t>DEMAIS</t>
        </is>
      </c>
      <c r="AT446" s="29" t="inlineStr">
        <is>
          <t>LARGE CORP</t>
        </is>
      </c>
      <c r="AU446" s="29" t="inlineStr">
        <is>
          <t>17115437</t>
        </is>
      </c>
      <c r="AV446" s="29" t="n">
        <v>1</v>
      </c>
      <c r="AW446" s="29" t="inlineStr">
        <is>
          <t>PARTIAL_DOC_CLASS_III_RECONCILED ROWS:p27r11</t>
        </is>
      </c>
    </row>
    <row r="447">
      <c r="A447" s="15" t="inlineStr">
        <is>
          <t>SOMAR INDUSTRIAL DE EMBALAGENS LTDA -</t>
        </is>
      </c>
      <c r="B447" s="16" t="n">
        <v>246969.59</v>
      </c>
      <c r="C447" s="17" t="inlineStr"/>
      <c r="D447" s="18" t="inlineStr">
        <is>
          <t>NEW</t>
        </is>
      </c>
      <c r="E447" s="19" t="inlineStr"/>
      <c r="F447" s="18" t="inlineStr"/>
      <c r="G447" s="19" t="inlineStr"/>
      <c r="H447" s="18" t="inlineStr"/>
      <c r="I447" s="20" t="inlineStr">
        <is>
          <t>EDI GUZELLA</t>
        </is>
      </c>
      <c r="J447" s="20" t="inlineStr">
        <is>
          <t>Sócio-Administrador</t>
        </is>
      </c>
      <c r="K447" s="20" t="inlineStr"/>
      <c r="L447" s="20" t="inlineStr"/>
      <c r="M447" s="20" t="inlineStr"/>
      <c r="N447" s="20" t="inlineStr"/>
      <c r="O447" s="20" t="inlineStr"/>
      <c r="P447" s="20" t="inlineStr">
        <is>
          <t>ERLON MAURICIO GUZELLA</t>
        </is>
      </c>
      <c r="Q447" s="20" t="inlineStr">
        <is>
          <t>Administrador</t>
        </is>
      </c>
      <c r="R447" s="20" t="inlineStr"/>
      <c r="S447" s="20" t="inlineStr"/>
      <c r="T447" s="21" t="n">
        <v>246969.59</v>
      </c>
      <c r="U447" s="31" t="inlineStr">
        <is>
          <t>C</t>
        </is>
      </c>
      <c r="V447" s="23">
        <f>IFERROR(VLOOKUP(U447,Assumptions!$A$7:$D$11,2,FALSE),0)</f>
        <v/>
      </c>
      <c r="W447" s="24">
        <f>MAX(0.5,IFERROR(VLOOKUP(U447,Assumptions!$A$7:$D$11,3,FALSE),3)+IFERROR(VLOOKUP(U447,Assumptions!$A$7:$D$11,4,FALSE),8)/2-IF(AN447="",0,YEAR(TODAY())-AN447))</f>
        <v/>
      </c>
      <c r="X447" s="21">
        <f>T447*V447/(1+Assumptions!$B$3)^W447</f>
        <v/>
      </c>
      <c r="Y447" s="25">
        <f>IF(T447=0,"",ROUND(X447/T447*100,1))</f>
        <v/>
      </c>
      <c r="Z447" s="26">
        <f>X447*Assumptions!$B$4</f>
        <v/>
      </c>
      <c r="AA447" s="25">
        <f>IF(T447=0,"",ROUND(Z447/T447*100,1))</f>
        <v/>
      </c>
      <c r="AB447" s="26">
        <f>X447-Z447</f>
        <v/>
      </c>
      <c r="AC447" s="25">
        <f>IF(T447=0,"",ROUND((X447-Z447)/T447*100,1))</f>
        <v/>
      </c>
      <c r="AD447" s="27" t="inlineStr">
        <is>
          <t>UNKNOWN</t>
        </is>
      </c>
      <c r="AE447" s="28" t="inlineStr">
        <is>
          <t>https://administradorajudicialgs.com.br/wp-content/uploads/2024/12/relacao-de-credores-da-falida.pdf</t>
        </is>
      </c>
      <c r="AF447" s="27" t="inlineStr">
        <is>
          <t>p18 r39</t>
        </is>
      </c>
      <c r="AG447" s="27" t="inlineStr">
        <is>
          <t>p18: R$ 246.969,59</t>
        </is>
      </c>
      <c r="AH447" s="27" t="inlineStr">
        <is>
          <t>UNKNOWN</t>
        </is>
      </c>
      <c r="AI447" s="27" t="inlineStr">
        <is>
          <t>2025-03-25</t>
        </is>
      </c>
      <c r="AJ447" s="27" t="inlineStr">
        <is>
          <t>OK_NO_TOTALS</t>
        </is>
      </c>
      <c r="AK447" s="29" t="inlineStr">
        <is>
          <t>0005010-50.2013.8.24.0026</t>
        </is>
      </c>
      <c r="AL447" s="29" t="inlineStr">
        <is>
          <t>TJ</t>
        </is>
      </c>
      <c r="AM447" s="29" t="inlineStr"/>
      <c r="AN447" s="29" t="n">
        <v>2013</v>
      </c>
      <c r="AO447" s="29" t="inlineStr">
        <is>
          <t>13y since filing, no plan document</t>
        </is>
      </c>
      <c r="AP447" s="29" t="inlineStr">
        <is>
          <t>CACADOR</t>
        </is>
      </c>
      <c r="AQ447" s="29" t="inlineStr">
        <is>
          <t>SC</t>
        </is>
      </c>
      <c r="AR447" s="29" t="inlineStr">
        <is>
          <t>Fabricação de embalagens de material plástico</t>
        </is>
      </c>
      <c r="AS447" s="29" t="inlineStr">
        <is>
          <t>DEMAIS</t>
        </is>
      </c>
      <c r="AT447" s="29" t="inlineStr">
        <is>
          <t>MID-MARKET</t>
        </is>
      </c>
      <c r="AU447" s="29" t="inlineStr">
        <is>
          <t>95758330</t>
        </is>
      </c>
      <c r="AV447" s="29" t="n">
        <v>1</v>
      </c>
      <c r="AW447" s="29" t="inlineStr">
        <is>
          <t>ROWS:p18r39 UNRECONCILED_SOURCE</t>
        </is>
      </c>
    </row>
    <row r="448">
      <c r="A448" s="15" t="inlineStr">
        <is>
          <t>IRON COMEX LTDA</t>
        </is>
      </c>
      <c r="B448" s="16" t="n">
        <v>334279.01</v>
      </c>
      <c r="C448" s="17" t="inlineStr">
        <is>
          <t>ARRUDA &amp; MELO COMERCIO E DISTRIBUICAO DE ALIMENTOS E BEBIDAS LTDA</t>
        </is>
      </c>
      <c r="D448" s="18" t="inlineStr">
        <is>
          <t>NEW</t>
        </is>
      </c>
      <c r="E448" s="19" t="inlineStr"/>
      <c r="F448" s="18" t="inlineStr"/>
      <c r="G448" s="19" t="inlineStr"/>
      <c r="H448" s="18" t="inlineStr"/>
      <c r="I448" s="20" t="inlineStr">
        <is>
          <t>Caio Santana</t>
        </is>
      </c>
      <c r="J448" s="20" t="inlineStr">
        <is>
          <t>Responsável Financeiro</t>
        </is>
      </c>
      <c r="K448" s="20" t="inlineStr">
        <is>
          <t>(81) 9707-8484</t>
        </is>
      </c>
      <c r="L448" s="20" t="inlineStr"/>
      <c r="M448" s="20" t="inlineStr"/>
      <c r="N448" s="20" t="inlineStr"/>
      <c r="O448" s="20" t="inlineStr">
        <is>
          <t>diretoria@ironcomex.com</t>
        </is>
      </c>
      <c r="P448" s="20" t="inlineStr">
        <is>
          <t>Sergio Real</t>
        </is>
      </c>
      <c r="Q448" s="20" t="inlineStr">
        <is>
          <t>Diretor de Desenvolvimento de Negócios</t>
        </is>
      </c>
      <c r="R448" s="20" t="inlineStr"/>
      <c r="S448" s="20" t="inlineStr">
        <is>
          <t>diretoria@ironcomex.com</t>
        </is>
      </c>
      <c r="T448" s="21" t="n">
        <v>334279.01</v>
      </c>
      <c r="U448" s="22" t="inlineStr">
        <is>
          <t>B</t>
        </is>
      </c>
      <c r="V448" s="23">
        <f>IFERROR(VLOOKUP(U448,Assumptions!$A$7:$D$11,2,FALSE),0)</f>
        <v/>
      </c>
      <c r="W448" s="24">
        <f>MAX(0.5,IFERROR(VLOOKUP(U448,Assumptions!$A$7:$D$11,3,FALSE),3)+IFERROR(VLOOKUP(U448,Assumptions!$A$7:$D$11,4,FALSE),8)/2-IF(AN448="",0,YEAR(TODAY())-AN448))</f>
        <v/>
      </c>
      <c r="X448" s="21">
        <f>T448*V448/(1+Assumptions!$B$3)^W448</f>
        <v/>
      </c>
      <c r="Y448" s="25">
        <f>IF(T448=0,"",ROUND(X448/T448*100,1))</f>
        <v/>
      </c>
      <c r="Z448" s="26">
        <f>X448*Assumptions!$B$4</f>
        <v/>
      </c>
      <c r="AA448" s="25">
        <f>IF(T448=0,"",ROUND(Z448/T448*100,1))</f>
        <v/>
      </c>
      <c r="AB448" s="26">
        <f>X448-Z448</f>
        <v/>
      </c>
      <c r="AC448" s="25">
        <f>IF(T448=0,"",ROUND((X448-Z448)/T448*100,1))</f>
        <v/>
      </c>
      <c r="AD448" s="27" t="inlineStr">
        <is>
          <t>ESTIMATED</t>
        </is>
      </c>
      <c r="AE448" s="28" t="inlineStr">
        <is>
          <t>https://diligence.adm.br/wp-content/uploads/2025/06/Edital-1a-Lista-de-Credores.pdf</t>
        </is>
      </c>
      <c r="AF448" s="27" t="inlineStr">
        <is>
          <t>p5 r78; p5 r79</t>
        </is>
      </c>
      <c r="AG448" s="27" t="inlineStr">
        <is>
          <t>p5: R$ 184.223,97; p5: R$ 150.055,04</t>
        </is>
      </c>
      <c r="AH448" s="27" t="inlineStr">
        <is>
          <t>DEBTOR_LIST</t>
        </is>
      </c>
      <c r="AI448" s="27" t="inlineStr">
        <is>
          <t>2025-06-10</t>
        </is>
      </c>
      <c r="AJ448" s="27" t="inlineStr">
        <is>
          <t>OK</t>
        </is>
      </c>
      <c r="AK448" s="29" t="inlineStr">
        <is>
          <t>0008526-45.2025.8.17.2001</t>
        </is>
      </c>
      <c r="AL448" s="29" t="inlineStr">
        <is>
          <t>TJPE</t>
        </is>
      </c>
      <c r="AM448" s="29" t="inlineStr">
        <is>
          <t>ACTIVE</t>
        </is>
      </c>
      <c r="AN448" s="29" t="n">
        <v>2025</v>
      </c>
      <c r="AO448" s="29" t="inlineStr">
        <is>
          <t>live case, no plan document yet</t>
        </is>
      </c>
      <c r="AP448" s="29" t="inlineStr">
        <is>
          <t>RECIFE</t>
        </is>
      </c>
      <c r="AQ448" s="29" t="inlineStr">
        <is>
          <t>PE</t>
        </is>
      </c>
      <c r="AR448" s="29" t="inlineStr">
        <is>
          <t>Comércio atacadista de mercadorias em geral, sem predominância de alimentos ou de insumos agropecuários</t>
        </is>
      </c>
      <c r="AS448" s="29" t="inlineStr">
        <is>
          <t>DEMAIS</t>
        </is>
      </c>
      <c r="AT448" s="29" t="inlineStr">
        <is>
          <t>MID-MARKET</t>
        </is>
      </c>
      <c r="AU448" s="29" t="inlineStr">
        <is>
          <t>43464332</t>
        </is>
      </c>
      <c r="AV448" s="29" t="n">
        <v>2</v>
      </c>
      <c r="AW448" s="29" t="inlineStr">
        <is>
          <t>LONG_CHUNK ROWS:p5r78,p5r79</t>
        </is>
      </c>
    </row>
    <row r="449">
      <c r="A449" s="15" t="inlineStr">
        <is>
          <t>OGAN SERVICOS ADMINISTRATIVOS LTDA</t>
        </is>
      </c>
      <c r="B449" s="16" t="n">
        <v>244053.12</v>
      </c>
      <c r="C449" s="17" t="inlineStr"/>
      <c r="D449" s="18" t="inlineStr">
        <is>
          <t>NEW</t>
        </is>
      </c>
      <c r="E449" s="19" t="inlineStr"/>
      <c r="F449" s="18" t="inlineStr"/>
      <c r="G449" s="19" t="inlineStr"/>
      <c r="H449" s="18" t="inlineStr"/>
      <c r="I449" s="20" t="inlineStr">
        <is>
          <t>GLEIVINILSON DOS SANTOS</t>
        </is>
      </c>
      <c r="J449" s="20" t="inlineStr">
        <is>
          <t>Sócio-Administrador</t>
        </is>
      </c>
      <c r="K449" s="20" t="inlineStr">
        <is>
          <t>(11) 5061-7968</t>
        </is>
      </c>
      <c r="L449" s="20" t="inlineStr">
        <is>
          <t>(11) 5061-7971</t>
        </is>
      </c>
      <c r="M449" s="20" t="inlineStr"/>
      <c r="N449" s="20" t="inlineStr"/>
      <c r="O449" s="20" t="inlineStr"/>
      <c r="P449" s="20" t="inlineStr"/>
      <c r="Q449" s="20" t="inlineStr"/>
      <c r="R449" s="20" t="inlineStr"/>
      <c r="S449" s="20" t="inlineStr"/>
      <c r="T449" s="21" t="n">
        <v>244053.12</v>
      </c>
      <c r="U449" s="31" t="inlineStr">
        <is>
          <t>C</t>
        </is>
      </c>
      <c r="V449" s="23">
        <f>IFERROR(VLOOKUP(U449,Assumptions!$A$7:$D$11,2,FALSE),0)</f>
        <v/>
      </c>
      <c r="W449" s="24">
        <f>MAX(0.5,IFERROR(VLOOKUP(U449,Assumptions!$A$7:$D$11,3,FALSE),3)+IFERROR(VLOOKUP(U449,Assumptions!$A$7:$D$11,4,FALSE),8)/2-IF(AN449="",0,YEAR(TODAY())-AN449))</f>
        <v/>
      </c>
      <c r="X449" s="21">
        <f>T449*V449/(1+Assumptions!$B$3)^W449</f>
        <v/>
      </c>
      <c r="Y449" s="25">
        <f>IF(T449=0,"",ROUND(X449/T449*100,1))</f>
        <v/>
      </c>
      <c r="Z449" s="26">
        <f>X449*Assumptions!$B$4</f>
        <v/>
      </c>
      <c r="AA449" s="25">
        <f>IF(T449=0,"",ROUND(Z449/T449*100,1))</f>
        <v/>
      </c>
      <c r="AB449" s="26">
        <f>X449-Z449</f>
        <v/>
      </c>
      <c r="AC449" s="25">
        <f>IF(T449=0,"",ROUND((X449-Z449)/T449*100,1))</f>
        <v/>
      </c>
      <c r="AD449" s="27" t="inlineStr">
        <is>
          <t>UNKNOWN</t>
        </is>
      </c>
      <c r="AE449" s="28" t="inlineStr">
        <is>
          <t>https://ajruiz.com.br/sites/default/files/public/arquivos-processos/2024-04/relacao_de_credores_recuperanda_1.pdf</t>
        </is>
      </c>
      <c r="AF449" s="27" t="inlineStr">
        <is>
          <t>p10 r1; p10 r2</t>
        </is>
      </c>
      <c r="AG449" s="27" t="inlineStr">
        <is>
          <t>p10: R$ 128.165,62; p10: R$ 115.887,50</t>
        </is>
      </c>
      <c r="AH449" s="27" t="inlineStr">
        <is>
          <t>QGC</t>
        </is>
      </c>
      <c r="AI449" s="27" t="inlineStr">
        <is>
          <t>2024-01-31</t>
        </is>
      </c>
      <c r="AJ449" s="27" t="inlineStr">
        <is>
          <t>OK</t>
        </is>
      </c>
      <c r="AK449" s="29" t="inlineStr">
        <is>
          <t>0000148-67.1996.8.24.0079</t>
        </is>
      </c>
      <c r="AL449" s="29" t="inlineStr">
        <is>
          <t>TJ</t>
        </is>
      </c>
      <c r="AM449" s="29" t="inlineStr"/>
      <c r="AN449" s="29" t="n">
        <v>1996</v>
      </c>
      <c r="AO449" s="29" t="inlineStr">
        <is>
          <t>30y since filing, no plan document</t>
        </is>
      </c>
      <c r="AP449" s="29" t="inlineStr">
        <is>
          <t>SAO BERNARDO DO CAMPO</t>
        </is>
      </c>
      <c r="AQ449" s="29" t="inlineStr">
        <is>
          <t>SP</t>
        </is>
      </c>
      <c r="AR449" s="29" t="inlineStr">
        <is>
          <t>Serviços combinados de escritório e apoio administrativo</t>
        </is>
      </c>
      <c r="AS449" s="29" t="inlineStr">
        <is>
          <t>DEMAIS</t>
        </is>
      </c>
      <c r="AT449" s="29" t="inlineStr">
        <is>
          <t>MID-MARKET</t>
        </is>
      </c>
      <c r="AU449" s="29" t="inlineStr">
        <is>
          <t>08981590</t>
        </is>
      </c>
      <c r="AV449" s="29" t="n">
        <v>2</v>
      </c>
      <c r="AW449" s="29" t="inlineStr">
        <is>
          <t>ROWS:p10r1,p10r2</t>
        </is>
      </c>
    </row>
    <row r="450">
      <c r="A450" s="15" t="inlineStr">
        <is>
          <t>PERFILAGES COMERCIO VAREJISTA E ATACADISTA DE ALUMINIO LTDA</t>
        </is>
      </c>
      <c r="B450" s="16" t="n">
        <v>332469.93</v>
      </c>
      <c r="C450" s="17" t="inlineStr">
        <is>
          <t>GRUPO CASAS BAHIA S.A.</t>
        </is>
      </c>
      <c r="D450" s="18" t="inlineStr">
        <is>
          <t>NEW</t>
        </is>
      </c>
      <c r="E450" s="19" t="inlineStr"/>
      <c r="F450" s="18" t="inlineStr"/>
      <c r="G450" s="19" t="inlineStr"/>
      <c r="H450" s="18" t="inlineStr"/>
      <c r="I450" s="20" t="inlineStr">
        <is>
          <t>MARCEL BIANCO RICARDO</t>
        </is>
      </c>
      <c r="J450" s="20" t="inlineStr">
        <is>
          <t>Sócio-Administrador</t>
        </is>
      </c>
      <c r="K450" s="20" t="inlineStr">
        <is>
          <t>(49) 3225-0075</t>
        </is>
      </c>
      <c r="L450" s="20" t="inlineStr"/>
      <c r="M450" s="20" t="inlineStr"/>
      <c r="N450" s="20" t="inlineStr"/>
      <c r="O450" s="20" t="inlineStr"/>
      <c r="P450" s="20" t="inlineStr"/>
      <c r="Q450" s="20" t="inlineStr"/>
      <c r="R450" s="20" t="inlineStr"/>
      <c r="S450" s="20" t="inlineStr"/>
      <c r="T450" s="21" t="n">
        <v>332469.93</v>
      </c>
      <c r="U450" s="22" t="inlineStr">
        <is>
          <t>B</t>
        </is>
      </c>
      <c r="V450" s="23">
        <f>IFERROR(VLOOKUP(U450,Assumptions!$A$7:$D$11,2,FALSE),0)</f>
        <v/>
      </c>
      <c r="W450" s="24">
        <f>MAX(0.5,IFERROR(VLOOKUP(U450,Assumptions!$A$7:$D$11,3,FALSE),3)+IFERROR(VLOOKUP(U450,Assumptions!$A$7:$D$11,4,FALSE),8)/2-IF(AN450="",0,YEAR(TODAY())-AN450))</f>
        <v/>
      </c>
      <c r="X450" s="21">
        <f>T450*V450/(1+Assumptions!$B$3)^W450</f>
        <v/>
      </c>
      <c r="Y450" s="25">
        <f>IF(T450=0,"",ROUND(X450/T450*100,1))</f>
        <v/>
      </c>
      <c r="Z450" s="26">
        <f>X450*Assumptions!$B$4</f>
        <v/>
      </c>
      <c r="AA450" s="25">
        <f>IF(T450=0,"",ROUND(Z450/T450*100,1))</f>
        <v/>
      </c>
      <c r="AB450" s="26">
        <f>X450-Z450</f>
        <v/>
      </c>
      <c r="AC450" s="25">
        <f>IF(T450=0,"",ROUND((X450-Z450)/T450*100,1))</f>
        <v/>
      </c>
      <c r="AD450" s="27" t="inlineStr">
        <is>
          <t>UNKNOWN</t>
        </is>
      </c>
      <c r="AE450" s="28" t="inlineStr">
        <is>
          <t>https://scalzilliaj.com.br/sgc/download.php?file=files/processo_documento/processo_documento15180810062026_1_.pdf&amp;nome=10 - Relação de credores do art. 7º, §2º, da Lei 11.101/2005</t>
        </is>
      </c>
      <c r="AF450" s="27" t="inlineStr">
        <is>
          <t>p2 r20</t>
        </is>
      </c>
      <c r="AG450" s="27" t="inlineStr">
        <is>
          <t>p2: R$ 332.469,93</t>
        </is>
      </c>
      <c r="AH450" s="27" t="inlineStr">
        <is>
          <t>AJ_LIST</t>
        </is>
      </c>
      <c r="AI450" s="27" t="inlineStr"/>
      <c r="AJ450" s="27" t="inlineStr">
        <is>
          <t>OK_NO_TOTALS</t>
        </is>
      </c>
      <c r="AK450" s="29" t="inlineStr">
        <is>
          <t>5009529-81.2025.8.24.0019</t>
        </is>
      </c>
      <c r="AL450" s="29" t="inlineStr">
        <is>
          <t>TJ</t>
        </is>
      </c>
      <c r="AM450" s="29" t="inlineStr"/>
      <c r="AN450" s="29" t="n">
        <v>2025</v>
      </c>
      <c r="AO450" s="29" t="inlineStr">
        <is>
          <t>live case, no plan document yet</t>
        </is>
      </c>
      <c r="AP450" s="29" t="inlineStr">
        <is>
          <t>LAGES</t>
        </is>
      </c>
      <c r="AQ450" s="29" t="inlineStr">
        <is>
          <t>SC</t>
        </is>
      </c>
      <c r="AR450" s="29" t="inlineStr">
        <is>
          <t>Comércio varejista de ferragens e ferramentas</t>
        </is>
      </c>
      <c r="AS450" s="29" t="inlineStr">
        <is>
          <t>MICRO EMPRESA</t>
        </is>
      </c>
      <c r="AT450" s="29" t="inlineStr">
        <is>
          <t>SMALL</t>
        </is>
      </c>
      <c r="AU450" s="29" t="inlineStr">
        <is>
          <t>21421785</t>
        </is>
      </c>
      <c r="AV450" s="29" t="n">
        <v>1</v>
      </c>
      <c r="AW450" s="29" t="inlineStr">
        <is>
          <t>ROWS:p2r20 UNRECONCILED_SOURCE</t>
        </is>
      </c>
    </row>
    <row r="451">
      <c r="A451" s="15" t="inlineStr">
        <is>
          <t>ALGAR AVIATION TAXI AEREO S/A</t>
        </is>
      </c>
      <c r="B451" s="16" t="n">
        <v>620879.4300000001</v>
      </c>
      <c r="C451" s="17" t="inlineStr">
        <is>
          <t>EGESA ENGENHARIA S/A (Consórcio ETDI)</t>
        </is>
      </c>
      <c r="D451" s="18" t="inlineStr">
        <is>
          <t>NEW</t>
        </is>
      </c>
      <c r="E451" s="19" t="inlineStr"/>
      <c r="F451" s="18" t="inlineStr"/>
      <c r="G451" s="19" t="inlineStr"/>
      <c r="H451" s="18" t="inlineStr"/>
      <c r="I451" s="20" t="inlineStr">
        <is>
          <t>FERNANDA APARECIDA SANTOS</t>
        </is>
      </c>
      <c r="J451" s="20" t="inlineStr">
        <is>
          <t>Diretor</t>
        </is>
      </c>
      <c r="K451" s="20" t="inlineStr">
        <is>
          <t>(34) 2589-4663</t>
        </is>
      </c>
      <c r="L451" s="20" t="inlineStr">
        <is>
          <t>(34) 2589-4662</t>
        </is>
      </c>
      <c r="M451" s="20" t="inlineStr"/>
      <c r="N451" s="20" t="inlineStr"/>
      <c r="O451" s="20" t="inlineStr"/>
      <c r="P451" s="20" t="inlineStr">
        <is>
          <t>LUCIANA FERREIRA NEVES VASCONCELOS</t>
        </is>
      </c>
      <c r="Q451" s="20" t="inlineStr">
        <is>
          <t>Diretor</t>
        </is>
      </c>
      <c r="R451" s="20" t="inlineStr">
        <is>
          <t>(34) 2589-4662</t>
        </is>
      </c>
      <c r="S451" s="20" t="inlineStr"/>
      <c r="T451" s="21" t="n">
        <v>620879.4300000001</v>
      </c>
      <c r="U451" s="30" t="inlineStr">
        <is>
          <t>?</t>
        </is>
      </c>
      <c r="V451" s="23">
        <f>IFERROR(VLOOKUP(U451,Assumptions!$A$7:$D$11,2,FALSE),0)</f>
        <v/>
      </c>
      <c r="W451" s="24">
        <f>MAX(0.5,IFERROR(VLOOKUP(U451,Assumptions!$A$7:$D$11,3,FALSE),3)+IFERROR(VLOOKUP(U451,Assumptions!$A$7:$D$11,4,FALSE),8)/2-IF(AN451="",0,YEAR(TODAY())-AN451))</f>
        <v/>
      </c>
      <c r="X451" s="21">
        <f>T451*V451/(1+Assumptions!$B$3)^W451</f>
        <v/>
      </c>
      <c r="Y451" s="25">
        <f>IF(T451=0,"",ROUND(X451/T451*100,1))</f>
        <v/>
      </c>
      <c r="Z451" s="26">
        <f>X451*Assumptions!$B$4</f>
        <v/>
      </c>
      <c r="AA451" s="25">
        <f>IF(T451=0,"",ROUND(Z451/T451*100,1))</f>
        <v/>
      </c>
      <c r="AB451" s="26">
        <f>X451-Z451</f>
        <v/>
      </c>
      <c r="AC451" s="25">
        <f>IF(T451=0,"",ROUND((X451-Z451)/T451*100,1))</f>
        <v/>
      </c>
      <c r="AD451" s="27" t="inlineStr">
        <is>
          <t>UNKNOWN</t>
        </is>
      </c>
      <c r="AE451" s="28" t="inlineStr">
        <is>
          <t>https://scalzilliaj.com.br/sgc/download.php?file=files/processo_documento/processo_documento09514021082025_1_.pdf&amp;nome=04 - Relação de credores das Recuperandas</t>
        </is>
      </c>
      <c r="AF451" s="27" t="inlineStr">
        <is>
          <t>p62 r1</t>
        </is>
      </c>
      <c r="AG451" s="27" t="inlineStr">
        <is>
          <t>p62: R$ 620.879,43</t>
        </is>
      </c>
      <c r="AH451" s="27" t="inlineStr">
        <is>
          <t>DEBTOR_LIST</t>
        </is>
      </c>
      <c r="AI451" s="27" t="inlineStr"/>
      <c r="AJ451" s="27" t="inlineStr">
        <is>
          <t>OK</t>
        </is>
      </c>
      <c r="AK451" s="29" t="inlineStr">
        <is>
          <t>(not printed)</t>
        </is>
      </c>
      <c r="AL451" s="29" t="inlineStr"/>
      <c r="AM451" s="29" t="inlineStr"/>
      <c r="AN451" s="29" t="inlineStr"/>
      <c r="AO451" s="29" t="inlineStr">
        <is>
          <t>RJ case number not identified on the document</t>
        </is>
      </c>
      <c r="AP451" s="29" t="inlineStr">
        <is>
          <t>UBERLANDIA</t>
        </is>
      </c>
      <c r="AQ451" s="29" t="inlineStr">
        <is>
          <t>MG</t>
        </is>
      </c>
      <c r="AR451" s="29" t="inlineStr">
        <is>
          <t>Serviço de táxi aéreo e locação de aeronaves com tripulação</t>
        </is>
      </c>
      <c r="AS451" s="29" t="inlineStr">
        <is>
          <t>DEMAIS</t>
        </is>
      </c>
      <c r="AT451" s="29" t="inlineStr">
        <is>
          <t>LARGE CORP</t>
        </is>
      </c>
      <c r="AU451" s="29" t="inlineStr">
        <is>
          <t>17186172</t>
        </is>
      </c>
      <c r="AV451" s="29" t="n">
        <v>1</v>
      </c>
      <c r="AW451" s="29" t="inlineStr">
        <is>
          <t>ROWS:p62r1 VALUE_COL:Valor_Atualizado CASE_NUMBER_CORRECTED</t>
        </is>
      </c>
    </row>
    <row r="452">
      <c r="A452" s="15" t="inlineStr">
        <is>
          <t>CRBS S/A</t>
        </is>
      </c>
      <c r="B452" s="16" t="n">
        <v>308761.42</v>
      </c>
      <c r="C452" s="17" t="inlineStr">
        <is>
          <t>COMERCIO RACOES BEM BOM LTDA</t>
        </is>
      </c>
      <c r="D452" s="18" t="inlineStr">
        <is>
          <t>NEW</t>
        </is>
      </c>
      <c r="E452" s="19" t="inlineStr"/>
      <c r="F452" s="18" t="inlineStr"/>
      <c r="G452" s="19" t="inlineStr"/>
      <c r="H452" s="18" t="inlineStr"/>
      <c r="I452" s="20" t="inlineStr">
        <is>
          <t>AUGUSTO GABRIEL ANDRADE GARCIA CATTANEO</t>
        </is>
      </c>
      <c r="J452" s="20" t="inlineStr">
        <is>
          <t>Diretor</t>
        </is>
      </c>
      <c r="K452" s="20" t="inlineStr">
        <is>
          <t>(19) 3313-5680</t>
        </is>
      </c>
      <c r="L452" s="20" t="inlineStr">
        <is>
          <t>(19) 3313-6000</t>
        </is>
      </c>
      <c r="M452" s="20" t="inlineStr"/>
      <c r="N452" s="20" t="inlineStr"/>
      <c r="O452" s="20" t="inlineStr"/>
      <c r="P452" s="20" t="inlineStr">
        <is>
          <t>DANIELA GAVRANIC CACHICH</t>
        </is>
      </c>
      <c r="Q452" s="20" t="inlineStr">
        <is>
          <t>Diretor</t>
        </is>
      </c>
      <c r="R452" s="20" t="inlineStr">
        <is>
          <t>(19) 3313-6000</t>
        </is>
      </c>
      <c r="S452" s="20" t="inlineStr"/>
      <c r="T452" s="21" t="n">
        <v>308761.42</v>
      </c>
      <c r="U452" s="32" t="inlineStr">
        <is>
          <t>A</t>
        </is>
      </c>
      <c r="V452" s="23">
        <f>IFERROR(VLOOKUP(U452,Assumptions!$A$7:$D$11,2,FALSE),0)</f>
        <v/>
      </c>
      <c r="W452" s="24">
        <f>MAX(0.5,IFERROR(VLOOKUP(U452,Assumptions!$A$7:$D$11,3,FALSE),3)+IFERROR(VLOOKUP(U452,Assumptions!$A$7:$D$11,4,FALSE),8)/2-IF(AN452="",0,YEAR(TODAY())-AN452))</f>
        <v/>
      </c>
      <c r="X452" s="21">
        <f>T452*V452/(1+Assumptions!$B$3)^W452</f>
        <v/>
      </c>
      <c r="Y452" s="25">
        <f>IF(T452=0,"",ROUND(X452/T452*100,1))</f>
        <v/>
      </c>
      <c r="Z452" s="26">
        <f>X452*Assumptions!$B$4</f>
        <v/>
      </c>
      <c r="AA452" s="25">
        <f>IF(T452=0,"",ROUND(Z452/T452*100,1))</f>
        <v/>
      </c>
      <c r="AB452" s="26">
        <f>X452-Z452</f>
        <v/>
      </c>
      <c r="AC452" s="25">
        <f>IF(T452=0,"",ROUND((X452-Z452)/T452*100,1))</f>
        <v/>
      </c>
      <c r="AD452" s="27" t="inlineStr">
        <is>
          <t>CONFIRMED</t>
        </is>
      </c>
      <c r="AE452" s="28" t="inlineStr">
        <is>
          <t>https://stenius.com.br/wp-content/uploads/2026/06/EDITAL-GRUPO-3E.pdf</t>
        </is>
      </c>
      <c r="AF452" s="27" t="inlineStr">
        <is>
          <t>p9 r31</t>
        </is>
      </c>
      <c r="AG452" s="27" t="inlineStr">
        <is>
          <t>p9: R$ 308.761,42</t>
        </is>
      </c>
      <c r="AH452" s="27" t="inlineStr">
        <is>
          <t>DEBTOR_LIST</t>
        </is>
      </c>
      <c r="AI452" s="27" t="inlineStr">
        <is>
          <t>2026-06-22</t>
        </is>
      </c>
      <c r="AJ452" s="27" t="inlineStr">
        <is>
          <t>OK_NO_TOTALS</t>
        </is>
      </c>
      <c r="AK452" s="29" t="inlineStr">
        <is>
          <t>5341375-33.2026.8.09.0049</t>
        </is>
      </c>
      <c r="AL452" s="29" t="inlineStr">
        <is>
          <t>TJGO</t>
        </is>
      </c>
      <c r="AM452" s="29" t="inlineStr">
        <is>
          <t>ACTIVE</t>
        </is>
      </c>
      <c r="AN452" s="29" t="n">
        <v>2026</v>
      </c>
      <c r="AO452" s="29" t="inlineStr">
        <is>
          <t>plan/homologation document found</t>
        </is>
      </c>
      <c r="AP452" s="29" t="inlineStr">
        <is>
          <t>JAGUARIUNA</t>
        </is>
      </c>
      <c r="AQ452" s="29" t="inlineStr">
        <is>
          <t>SP</t>
        </is>
      </c>
      <c r="AR452" s="29" t="inlineStr">
        <is>
          <t>Comércio atacadista de cerveja, chope e refrigerante</t>
        </is>
      </c>
      <c r="AS452" s="29" t="inlineStr">
        <is>
          <t>DEMAIS</t>
        </is>
      </c>
      <c r="AT452" s="29" t="inlineStr">
        <is>
          <t>LARGE CORP</t>
        </is>
      </c>
      <c r="AU452" s="29" t="inlineStr">
        <is>
          <t>56228356</t>
        </is>
      </c>
      <c r="AV452" s="29" t="n">
        <v>1</v>
      </c>
      <c r="AW452" s="29" t="inlineStr">
        <is>
          <t>ROWS:p9r31 UNRECONCILED_SOURCE</t>
        </is>
      </c>
    </row>
    <row r="453">
      <c r="A453" s="15" t="inlineStr">
        <is>
          <t>H J MALHAS LTDA</t>
        </is>
      </c>
      <c r="B453" s="16" t="n">
        <v>240337.28</v>
      </c>
      <c r="C453" s="17" t="inlineStr">
        <is>
          <t>BANCO BRADESCO S.A.</t>
        </is>
      </c>
      <c r="D453" s="18" t="inlineStr">
        <is>
          <t>NEW</t>
        </is>
      </c>
      <c r="E453" s="19" t="inlineStr"/>
      <c r="F453" s="18" t="inlineStr"/>
      <c r="G453" s="19" t="inlineStr"/>
      <c r="H453" s="18" t="inlineStr"/>
      <c r="I453" s="20" t="inlineStr">
        <is>
          <t>HENNING JONK FILHO</t>
        </is>
      </c>
      <c r="J453" s="20" t="inlineStr">
        <is>
          <t>Sócio-Administrador</t>
        </is>
      </c>
      <c r="K453" s="20" t="inlineStr">
        <is>
          <t>(47) 3251-0000</t>
        </is>
      </c>
      <c r="L453" s="20" t="inlineStr"/>
      <c r="M453" s="20" t="inlineStr"/>
      <c r="N453" s="20" t="inlineStr"/>
      <c r="O453" s="20" t="inlineStr"/>
      <c r="P453" s="20" t="inlineStr">
        <is>
          <t>LEONARDO HEINIG JONK</t>
        </is>
      </c>
      <c r="Q453" s="20" t="inlineStr">
        <is>
          <t>Sócio-Administrador</t>
        </is>
      </c>
      <c r="R453" s="20" t="inlineStr">
        <is>
          <t>(47) 3251-0000</t>
        </is>
      </c>
      <c r="S453" s="20" t="inlineStr"/>
      <c r="T453" s="21" t="n">
        <v>240337.28</v>
      </c>
      <c r="U453" s="31" t="inlineStr">
        <is>
          <t>C</t>
        </is>
      </c>
      <c r="V453" s="23">
        <f>IFERROR(VLOOKUP(U453,Assumptions!$A$7:$D$11,2,FALSE),0)</f>
        <v/>
      </c>
      <c r="W453" s="24">
        <f>MAX(0.5,IFERROR(VLOOKUP(U453,Assumptions!$A$7:$D$11,3,FALSE),3)+IFERROR(VLOOKUP(U453,Assumptions!$A$7:$D$11,4,FALSE),8)/2-IF(AN453="",0,YEAR(TODAY())-AN453))</f>
        <v/>
      </c>
      <c r="X453" s="21">
        <f>T453*V453/(1+Assumptions!$B$3)^W453</f>
        <v/>
      </c>
      <c r="Y453" s="25">
        <f>IF(T453=0,"",ROUND(X453/T453*100,1))</f>
        <v/>
      </c>
      <c r="Z453" s="26">
        <f>X453*Assumptions!$B$4</f>
        <v/>
      </c>
      <c r="AA453" s="25">
        <f>IF(T453=0,"",ROUND(Z453/T453*100,1))</f>
        <v/>
      </c>
      <c r="AB453" s="26">
        <f>X453-Z453</f>
        <v/>
      </c>
      <c r="AC453" s="25">
        <f>IF(T453=0,"",ROUND((X453-Z453)/T453*100,1))</f>
        <v/>
      </c>
      <c r="AD453" s="27" t="inlineStr">
        <is>
          <t>UNKNOWN</t>
        </is>
      </c>
      <c r="AE453" s="28" t="inlineStr">
        <is>
          <t>https://administradorajudicialgs.com.br/wp-content/uploads/2023/08/doc-06-relacao-credores-do-administrador-judicial-10-02-2015.pdf</t>
        </is>
      </c>
      <c r="AF453" s="27" t="inlineStr">
        <is>
          <t>p2 r13</t>
        </is>
      </c>
      <c r="AG453" s="27" t="inlineStr">
        <is>
          <t>p2: R$ 240.337,28</t>
        </is>
      </c>
      <c r="AH453" s="27" t="inlineStr">
        <is>
          <t>AJ_LIST</t>
        </is>
      </c>
      <c r="AI453" s="27" t="inlineStr"/>
      <c r="AJ453" s="27" t="inlineStr">
        <is>
          <t>QUARANTINED</t>
        </is>
      </c>
      <c r="AK453" s="29" t="inlineStr">
        <is>
          <t>0302174-63.2015.8.24.0025</t>
        </is>
      </c>
      <c r="AL453" s="29" t="inlineStr">
        <is>
          <t>TJ</t>
        </is>
      </c>
      <c r="AM453" s="29" t="inlineStr"/>
      <c r="AN453" s="29" t="n">
        <v>2015</v>
      </c>
      <c r="AO453" s="29" t="inlineStr">
        <is>
          <t>11y since filing, no plan document</t>
        </is>
      </c>
      <c r="AP453" s="29" t="inlineStr">
        <is>
          <t>BRUSQUE</t>
        </is>
      </c>
      <c r="AQ453" s="29" t="inlineStr">
        <is>
          <t>SC</t>
        </is>
      </c>
      <c r="AR453" s="29" t="inlineStr">
        <is>
          <t>Alvejamento, tingimento e torção em fios, tecidos, artefatos têxteis e peças do vestuário</t>
        </is>
      </c>
      <c r="AS453" s="29" t="inlineStr">
        <is>
          <t>DEMAIS</t>
        </is>
      </c>
      <c r="AT453" s="29" t="inlineStr">
        <is>
          <t>MID-MARKET</t>
        </is>
      </c>
      <c r="AU453" s="29" t="inlineStr">
        <is>
          <t>85335487</t>
        </is>
      </c>
      <c r="AV453" s="29" t="n">
        <v>1</v>
      </c>
      <c r="AW453" s="29" t="inlineStr">
        <is>
          <t>PARTIAL_DOC_CLASS_III_RECONCILED ROWS:p2r13</t>
        </is>
      </c>
    </row>
    <row r="454">
      <c r="A454" s="15" t="inlineStr">
        <is>
          <t>GUARARAPES PAINEIS S/A</t>
        </is>
      </c>
      <c r="B454" s="16" t="n">
        <v>238085.39</v>
      </c>
      <c r="C454" s="17" t="inlineStr">
        <is>
          <t>DECOR MOVEIS PARA LOJA LTDA</t>
        </is>
      </c>
      <c r="D454" s="18" t="inlineStr">
        <is>
          <t>NEW</t>
        </is>
      </c>
      <c r="E454" s="19" t="inlineStr"/>
      <c r="F454" s="18" t="inlineStr"/>
      <c r="G454" s="19" t="inlineStr"/>
      <c r="H454" s="18" t="inlineStr"/>
      <c r="I454" s="20" t="inlineStr">
        <is>
          <t>RICARDO PEDROSO</t>
        </is>
      </c>
      <c r="J454" s="20" t="inlineStr">
        <is>
          <t>Presidente</t>
        </is>
      </c>
      <c r="K454" s="20" t="inlineStr">
        <is>
          <t>(41) 3099-1414</t>
        </is>
      </c>
      <c r="L454" s="20" t="inlineStr">
        <is>
          <t>(49) 3244-6813</t>
        </is>
      </c>
      <c r="M454" s="20" t="inlineStr"/>
      <c r="N454" s="20" t="inlineStr"/>
      <c r="O454" s="20" t="inlineStr"/>
      <c r="P454" s="20" t="inlineStr">
        <is>
          <t>DIORGENES BERTOLIN</t>
        </is>
      </c>
      <c r="Q454" s="20" t="inlineStr">
        <is>
          <t>Diretor</t>
        </is>
      </c>
      <c r="R454" s="20" t="inlineStr">
        <is>
          <t>(49) 3244-6813</t>
        </is>
      </c>
      <c r="S454" s="20" t="inlineStr"/>
      <c r="T454" s="21" t="n">
        <v>238085.39</v>
      </c>
      <c r="U454" s="31" t="inlineStr">
        <is>
          <t>C</t>
        </is>
      </c>
      <c r="V454" s="23">
        <f>IFERROR(VLOOKUP(U454,Assumptions!$A$7:$D$11,2,FALSE),0)</f>
        <v/>
      </c>
      <c r="W454" s="24">
        <f>MAX(0.5,IFERROR(VLOOKUP(U454,Assumptions!$A$7:$D$11,3,FALSE),3)+IFERROR(VLOOKUP(U454,Assumptions!$A$7:$D$11,4,FALSE),8)/2-IF(AN454="",0,YEAR(TODAY())-AN454))</f>
        <v/>
      </c>
      <c r="X454" s="21">
        <f>T454*V454/(1+Assumptions!$B$3)^W454</f>
        <v/>
      </c>
      <c r="Y454" s="25">
        <f>IF(T454=0,"",ROUND(X454/T454*100,1))</f>
        <v/>
      </c>
      <c r="Z454" s="26">
        <f>X454*Assumptions!$B$4</f>
        <v/>
      </c>
      <c r="AA454" s="25">
        <f>IF(T454=0,"",ROUND(Z454/T454*100,1))</f>
        <v/>
      </c>
      <c r="AB454" s="26">
        <f>X454-Z454</f>
        <v/>
      </c>
      <c r="AC454" s="25">
        <f>IF(T454=0,"",ROUND((X454-Z454)/T454*100,1))</f>
        <v/>
      </c>
      <c r="AD454" s="27" t="inlineStr">
        <is>
          <t>UNKNOWN</t>
        </is>
      </c>
      <c r="AE454" s="28" t="inlineStr">
        <is>
          <t>https://administradorajudicialgs.com.br/wp-content/uploads/2023/08/edital-quadro-geral-de-credores.pdf</t>
        </is>
      </c>
      <c r="AF454" s="27" t="inlineStr">
        <is>
          <t>p2 r68</t>
        </is>
      </c>
      <c r="AG454" s="27" t="inlineStr">
        <is>
          <t>p2: R$ 238.085,39</t>
        </is>
      </c>
      <c r="AH454" s="27" t="inlineStr">
        <is>
          <t>QGC</t>
        </is>
      </c>
      <c r="AI454" s="27" t="inlineStr">
        <is>
          <t>2024-07-05</t>
        </is>
      </c>
      <c r="AJ454" s="27" t="inlineStr">
        <is>
          <t>OK_NO_TOTALS</t>
        </is>
      </c>
      <c r="AK454" s="29" t="inlineStr">
        <is>
          <t>0301015-33.2016.8.24.0031</t>
        </is>
      </c>
      <c r="AL454" s="29" t="inlineStr">
        <is>
          <t>TJ</t>
        </is>
      </c>
      <c r="AM454" s="29" t="inlineStr"/>
      <c r="AN454" s="29" t="n">
        <v>2016</v>
      </c>
      <c r="AO454" s="29" t="inlineStr">
        <is>
          <t>10y since filing, no plan document</t>
        </is>
      </c>
      <c r="AP454" s="29" t="inlineStr">
        <is>
          <t>CACADOR</t>
        </is>
      </c>
      <c r="AQ454" s="29" t="inlineStr">
        <is>
          <t>SC</t>
        </is>
      </c>
      <c r="AR454" s="29" t="inlineStr">
        <is>
          <t>Fabricação de madeira laminada e de chapas de madeira compensada, prensada e aglomerada</t>
        </is>
      </c>
      <c r="AS454" s="29" t="inlineStr">
        <is>
          <t>DEMAIS</t>
        </is>
      </c>
      <c r="AT454" s="29" t="inlineStr">
        <is>
          <t>LARGE CORP</t>
        </is>
      </c>
      <c r="AU454" s="29" t="inlineStr">
        <is>
          <t>08810422</t>
        </is>
      </c>
      <c r="AV454" s="29" t="n">
        <v>1</v>
      </c>
      <c r="AW454" s="29" t="inlineStr">
        <is>
          <t>ROWS:p2r68 UNRECONCILED_SOURCE</t>
        </is>
      </c>
    </row>
    <row r="455">
      <c r="A455" s="15" t="inlineStr">
        <is>
          <t>MOVAL MOVEIS ARAPONGAS LTDA</t>
        </is>
      </c>
      <c r="B455" s="16" t="n">
        <v>331696.27</v>
      </c>
      <c r="C455" s="17" t="inlineStr">
        <is>
          <t>aludida empresa</t>
        </is>
      </c>
      <c r="D455" s="18" t="inlineStr">
        <is>
          <t>NEW</t>
        </is>
      </c>
      <c r="E455" s="19" t="inlineStr"/>
      <c r="F455" s="18" t="inlineStr"/>
      <c r="G455" s="19" t="inlineStr"/>
      <c r="H455" s="18" t="inlineStr"/>
      <c r="I455" s="20" t="inlineStr">
        <is>
          <t>EVANDRO MARCOS MARTINS E OLIVEIRA</t>
        </is>
      </c>
      <c r="J455" s="20" t="inlineStr">
        <is>
          <t>Sócio-Administrador</t>
        </is>
      </c>
      <c r="K455" s="20" t="inlineStr"/>
      <c r="L455" s="20" t="inlineStr"/>
      <c r="M455" s="20" t="inlineStr"/>
      <c r="N455" s="20" t="inlineStr"/>
      <c r="O455" s="20" t="inlineStr"/>
      <c r="P455" s="20" t="inlineStr">
        <is>
          <t>FELIPE BATISTA E OLIVEIRA</t>
        </is>
      </c>
      <c r="Q455" s="20" t="inlineStr">
        <is>
          <t>Sócio-Administrador</t>
        </is>
      </c>
      <c r="R455" s="20" t="inlineStr"/>
      <c r="S455" s="20" t="inlineStr"/>
      <c r="T455" s="21" t="n">
        <v>331696.27</v>
      </c>
      <c r="U455" s="31" t="inlineStr">
        <is>
          <t>C</t>
        </is>
      </c>
      <c r="V455" s="23">
        <f>IFERROR(VLOOKUP(U455,Assumptions!$A$7:$D$11,2,FALSE),0)</f>
        <v/>
      </c>
      <c r="W455" s="24">
        <f>MAX(0.5,IFERROR(VLOOKUP(U455,Assumptions!$A$7:$D$11,3,FALSE),3)+IFERROR(VLOOKUP(U455,Assumptions!$A$7:$D$11,4,FALSE),8)/2-IF(AN455="",0,YEAR(TODAY())-AN455))</f>
        <v/>
      </c>
      <c r="X455" s="21">
        <f>T455*V455/(1+Assumptions!$B$3)^W455</f>
        <v/>
      </c>
      <c r="Y455" s="25">
        <f>IF(T455=0,"",ROUND(X455/T455*100,1))</f>
        <v/>
      </c>
      <c r="Z455" s="26">
        <f>X455*Assumptions!$B$4</f>
        <v/>
      </c>
      <c r="AA455" s="25">
        <f>IF(T455=0,"",ROUND(Z455/T455*100,1))</f>
        <v/>
      </c>
      <c r="AB455" s="26">
        <f>X455-Z455</f>
        <v/>
      </c>
      <c r="AC455" s="25">
        <f>IF(T455=0,"",ROUND((X455-Z455)/T455*100,1))</f>
        <v/>
      </c>
      <c r="AD455" s="27" t="inlineStr">
        <is>
          <t>ESTIMATED</t>
        </is>
      </c>
      <c r="AE455" s="28" t="inlineStr">
        <is>
          <t>https://recuperacaojudicial.squarespace.com/s/RJ-Credimoveis-QGC-01082025.pdf</t>
        </is>
      </c>
      <c r="AF455" s="27" t="inlineStr">
        <is>
          <t>p16 r22</t>
        </is>
      </c>
      <c r="AG455" s="27" t="inlineStr">
        <is>
          <t>p16: R$ 331.696,27</t>
        </is>
      </c>
      <c r="AH455" s="27" t="inlineStr">
        <is>
          <t>QGC</t>
        </is>
      </c>
      <c r="AI455" s="27" t="inlineStr">
        <is>
          <t>2026-01-28</t>
        </is>
      </c>
      <c r="AJ455" s="27" t="inlineStr">
        <is>
          <t>OK</t>
        </is>
      </c>
      <c r="AK455" s="29" t="inlineStr">
        <is>
          <t>0007565-40.2020.8.17.2370</t>
        </is>
      </c>
      <c r="AL455" s="29" t="inlineStr">
        <is>
          <t>TJPE</t>
        </is>
      </c>
      <c r="AM455" s="29" t="inlineStr">
        <is>
          <t>ACTIVE</t>
        </is>
      </c>
      <c r="AN455" s="29" t="n">
        <v>2020</v>
      </c>
      <c r="AO455" s="29" t="inlineStr">
        <is>
          <t>6y since filing, no plan document</t>
        </is>
      </c>
      <c r="AP455" s="29" t="inlineStr">
        <is>
          <t>ARAPONGAS</t>
        </is>
      </c>
      <c r="AQ455" s="29" t="inlineStr">
        <is>
          <t>PR</t>
        </is>
      </c>
      <c r="AR455" s="29" t="inlineStr">
        <is>
          <t>Fabricação de móveis com predominância de madeira</t>
        </is>
      </c>
      <c r="AS455" s="29" t="inlineStr">
        <is>
          <t>DEMAIS</t>
        </is>
      </c>
      <c r="AT455" s="29" t="inlineStr">
        <is>
          <t>LARGE CORP</t>
        </is>
      </c>
      <c r="AU455" s="29" t="inlineStr">
        <is>
          <t>75400903</t>
        </is>
      </c>
      <c r="AV455" s="29" t="n">
        <v>1</v>
      </c>
      <c r="AW455" s="29" t="inlineStr">
        <is>
          <t>ROWS:p16r22</t>
        </is>
      </c>
    </row>
    <row r="456">
      <c r="A456" s="15" t="inlineStr">
        <is>
          <t>A.S.E. DISTRIBUICAO LTDA.</t>
        </is>
      </c>
      <c r="B456" s="16" t="n">
        <v>301633.9</v>
      </c>
      <c r="C456" s="17" t="inlineStr">
        <is>
          <t>COMERCIO RACOES BEM BOM LTDA</t>
        </is>
      </c>
      <c r="D456" s="18" t="inlineStr">
        <is>
          <t>NEW</t>
        </is>
      </c>
      <c r="E456" s="19" t="inlineStr"/>
      <c r="F456" s="18" t="inlineStr"/>
      <c r="G456" s="19" t="inlineStr"/>
      <c r="H456" s="18" t="inlineStr"/>
      <c r="I456" s="20" t="inlineStr">
        <is>
          <t>NEGE ABRAHAO</t>
        </is>
      </c>
      <c r="J456" s="20" t="inlineStr">
        <is>
          <t>Administrador</t>
        </is>
      </c>
      <c r="K456" s="20" t="inlineStr">
        <is>
          <t>(62) 3311-4130</t>
        </is>
      </c>
      <c r="L456" s="20" t="inlineStr"/>
      <c r="M456" s="20" t="inlineStr"/>
      <c r="N456" s="20" t="inlineStr"/>
      <c r="O456" s="20" t="inlineStr"/>
      <c r="P456" s="20" t="inlineStr"/>
      <c r="Q456" s="20" t="inlineStr"/>
      <c r="R456" s="20" t="inlineStr"/>
      <c r="S456" s="20" t="inlineStr"/>
      <c r="T456" s="21" t="n">
        <v>301633.9</v>
      </c>
      <c r="U456" s="32" t="inlineStr">
        <is>
          <t>A</t>
        </is>
      </c>
      <c r="V456" s="23">
        <f>IFERROR(VLOOKUP(U456,Assumptions!$A$7:$D$11,2,FALSE),0)</f>
        <v/>
      </c>
      <c r="W456" s="24">
        <f>MAX(0.5,IFERROR(VLOOKUP(U456,Assumptions!$A$7:$D$11,3,FALSE),3)+IFERROR(VLOOKUP(U456,Assumptions!$A$7:$D$11,4,FALSE),8)/2-IF(AN456="",0,YEAR(TODAY())-AN456))</f>
        <v/>
      </c>
      <c r="X456" s="21">
        <f>T456*V456/(1+Assumptions!$B$3)^W456</f>
        <v/>
      </c>
      <c r="Y456" s="25">
        <f>IF(T456=0,"",ROUND(X456/T456*100,1))</f>
        <v/>
      </c>
      <c r="Z456" s="26">
        <f>X456*Assumptions!$B$4</f>
        <v/>
      </c>
      <c r="AA456" s="25">
        <f>IF(T456=0,"",ROUND(Z456/T456*100,1))</f>
        <v/>
      </c>
      <c r="AB456" s="26">
        <f>X456-Z456</f>
        <v/>
      </c>
      <c r="AC456" s="25">
        <f>IF(T456=0,"",ROUND((X456-Z456)/T456*100,1))</f>
        <v/>
      </c>
      <c r="AD456" s="27" t="inlineStr">
        <is>
          <t>CONFIRMED</t>
        </is>
      </c>
      <c r="AE456" s="28" t="inlineStr">
        <is>
          <t>https://stenius.com.br/wp-content/uploads/2026/06/EDITAL-GRUPO-3E.pdf</t>
        </is>
      </c>
      <c r="AF456" s="27" t="inlineStr">
        <is>
          <t>p10 r15</t>
        </is>
      </c>
      <c r="AG456" s="27" t="inlineStr">
        <is>
          <t>p10: R$ 301.633,90</t>
        </is>
      </c>
      <c r="AH456" s="27" t="inlineStr">
        <is>
          <t>DEBTOR_LIST</t>
        </is>
      </c>
      <c r="AI456" s="27" t="inlineStr">
        <is>
          <t>2026-06-22</t>
        </is>
      </c>
      <c r="AJ456" s="27" t="inlineStr">
        <is>
          <t>OK_NO_TOTALS</t>
        </is>
      </c>
      <c r="AK456" s="29" t="inlineStr">
        <is>
          <t>5341375-33.2026.8.09.0049</t>
        </is>
      </c>
      <c r="AL456" s="29" t="inlineStr">
        <is>
          <t>TJGO</t>
        </is>
      </c>
      <c r="AM456" s="29" t="inlineStr">
        <is>
          <t>ACTIVE</t>
        </is>
      </c>
      <c r="AN456" s="29" t="n">
        <v>2026</v>
      </c>
      <c r="AO456" s="29" t="inlineStr">
        <is>
          <t>plan/homologation document found</t>
        </is>
      </c>
      <c r="AP456" s="29" t="inlineStr">
        <is>
          <t>ANAPOLIS</t>
        </is>
      </c>
      <c r="AQ456" s="29" t="inlineStr">
        <is>
          <t>GO</t>
        </is>
      </c>
      <c r="AR456" s="29" t="inlineStr">
        <is>
          <t>Preparação de documentos e serviços especializados de apoio administrativo não especificados anteriormente</t>
        </is>
      </c>
      <c r="AS456" s="29" t="inlineStr">
        <is>
          <t>MICRO EMPRESA</t>
        </is>
      </c>
      <c r="AT456" s="29" t="inlineStr">
        <is>
          <t>SMALL</t>
        </is>
      </c>
      <c r="AU456" s="29" t="inlineStr">
        <is>
          <t>01644931</t>
        </is>
      </c>
      <c r="AV456" s="29" t="n">
        <v>1</v>
      </c>
      <c r="AW456" s="29" t="inlineStr">
        <is>
          <t>ROWS:p10r15 UNRECONCILED_SOURCE</t>
        </is>
      </c>
    </row>
    <row r="457">
      <c r="A457" s="15" t="inlineStr">
        <is>
          <t>HORUS DO BRASIL INDUSTRIA DE IMPLEMENTOS E PECAS AGRICOLAS LTDA</t>
        </is>
      </c>
      <c r="B457" s="16" t="n">
        <v>320280.42</v>
      </c>
      <c r="C457" s="17" t="inlineStr"/>
      <c r="D457" s="18" t="inlineStr">
        <is>
          <t>NEW</t>
        </is>
      </c>
      <c r="E457" s="19" t="inlineStr"/>
      <c r="F457" s="18" t="inlineStr"/>
      <c r="G457" s="19" t="inlineStr"/>
      <c r="H457" s="18" t="inlineStr"/>
      <c r="I457" s="20" t="inlineStr">
        <is>
          <t>BRUNO PEREIRA DUARTE</t>
        </is>
      </c>
      <c r="J457" s="20" t="inlineStr">
        <is>
          <t>Sócio-Administrador</t>
        </is>
      </c>
      <c r="K457" s="20" t="inlineStr">
        <is>
          <t>(55) 8122-1378</t>
        </is>
      </c>
      <c r="L457" s="20" t="inlineStr"/>
      <c r="M457" s="20" t="inlineStr"/>
      <c r="N457" s="20" t="inlineStr"/>
      <c r="O457" s="20" t="inlineStr"/>
      <c r="P457" s="20" t="inlineStr">
        <is>
          <t>MARCELO RODRIGO SCHONS</t>
        </is>
      </c>
      <c r="Q457" s="20" t="inlineStr">
        <is>
          <t>Sócio-Administrador</t>
        </is>
      </c>
      <c r="R457" s="20" t="inlineStr">
        <is>
          <t>(55) 8122-1378</t>
        </is>
      </c>
      <c r="S457" s="20" t="inlineStr"/>
      <c r="T457" s="21" t="n">
        <v>320280.42</v>
      </c>
      <c r="U457" s="22" t="inlineStr">
        <is>
          <t>B</t>
        </is>
      </c>
      <c r="V457" s="23">
        <f>IFERROR(VLOOKUP(U457,Assumptions!$A$7:$D$11,2,FALSE),0)</f>
        <v/>
      </c>
      <c r="W457" s="24">
        <f>MAX(0.5,IFERROR(VLOOKUP(U457,Assumptions!$A$7:$D$11,3,FALSE),3)+IFERROR(VLOOKUP(U457,Assumptions!$A$7:$D$11,4,FALSE),8)/2-IF(AN457="",0,YEAR(TODAY())-AN457))</f>
        <v/>
      </c>
      <c r="X457" s="21">
        <f>T457*V457/(1+Assumptions!$B$3)^W457</f>
        <v/>
      </c>
      <c r="Y457" s="25">
        <f>IF(T457=0,"",ROUND(X457/T457*100,1))</f>
        <v/>
      </c>
      <c r="Z457" s="26">
        <f>X457*Assumptions!$B$4</f>
        <v/>
      </c>
      <c r="AA457" s="25">
        <f>IF(T457=0,"",ROUND(Z457/T457*100,1))</f>
        <v/>
      </c>
      <c r="AB457" s="26">
        <f>X457-Z457</f>
        <v/>
      </c>
      <c r="AC457" s="25">
        <f>IF(T457=0,"",ROUND((X457-Z457)/T457*100,1))</f>
        <v/>
      </c>
      <c r="AD457" s="27" t="inlineStr">
        <is>
          <t>UNKNOWN</t>
        </is>
      </c>
      <c r="AE457" s="28" t="inlineStr">
        <is>
          <t>https://credibilita.com.br/wp-content/uploads/2025/09/Relacao-Credores-29.04.2026.pdf</t>
        </is>
      </c>
      <c r="AF457" s="27" t="inlineStr">
        <is>
          <t>p1 r25</t>
        </is>
      </c>
      <c r="AG457" s="27" t="inlineStr">
        <is>
          <t>p1: R$ 320.280,42</t>
        </is>
      </c>
      <c r="AH457" s="27" t="inlineStr">
        <is>
          <t>UNKNOWN</t>
        </is>
      </c>
      <c r="AI457" s="27" t="inlineStr"/>
      <c r="AJ457" s="27" t="inlineStr">
        <is>
          <t>OK_NO_TOTALS</t>
        </is>
      </c>
      <c r="AK457" s="29" t="inlineStr">
        <is>
          <t>5057720-48.2025.8.24.0023</t>
        </is>
      </c>
      <c r="AL457" s="29" t="inlineStr">
        <is>
          <t>TJ</t>
        </is>
      </c>
      <c r="AM457" s="29" t="inlineStr"/>
      <c r="AN457" s="29" t="n">
        <v>2025</v>
      </c>
      <c r="AO457" s="29" t="inlineStr">
        <is>
          <t>live case, no plan document yet</t>
        </is>
      </c>
      <c r="AP457" s="29" t="inlineStr">
        <is>
          <t>SANTA ROSA</t>
        </is>
      </c>
      <c r="AQ457" s="29" t="inlineStr">
        <is>
          <t>RS</t>
        </is>
      </c>
      <c r="AR457" s="29" t="inlineStr">
        <is>
          <t>Fabricação de máquinas e equipamentos para a agricultura e pecuária, peças e acessórios, exceto para irrigação</t>
        </is>
      </c>
      <c r="AS457" s="29" t="inlineStr">
        <is>
          <t>EMPRESA DE PEQUENO PORTE</t>
        </is>
      </c>
      <c r="AT457" s="29" t="inlineStr">
        <is>
          <t>SMALL</t>
        </is>
      </c>
      <c r="AU457" s="29" t="inlineStr">
        <is>
          <t>46495282</t>
        </is>
      </c>
      <c r="AV457" s="29" t="n">
        <v>1</v>
      </c>
      <c r="AW457" s="29" t="inlineStr">
        <is>
          <t>ROWS:p1r25 UNRECONCILED_SOURCE VALUE_COL:Valor_Após_Analise</t>
        </is>
      </c>
    </row>
    <row r="458">
      <c r="A458" s="15" t="inlineStr">
        <is>
          <t>CASA NOVA EMPREENDIMENTOS IMOBILIARIOS LTDA</t>
        </is>
      </c>
      <c r="B458" s="16" t="n">
        <v>255115.32</v>
      </c>
      <c r="C458" s="17" t="inlineStr">
        <is>
          <t>IMOBI DESENVOLVIMENTO URBANO LTDA - EM RECUPERACAO JUDICIAL</t>
        </is>
      </c>
      <c r="D458" s="18" t="inlineStr">
        <is>
          <t>NEW</t>
        </is>
      </c>
      <c r="E458" s="19" t="inlineStr"/>
      <c r="F458" s="18" t="inlineStr"/>
      <c r="G458" s="19" t="inlineStr"/>
      <c r="H458" s="18" t="inlineStr"/>
      <c r="I458" s="20" t="inlineStr">
        <is>
          <t>SEMARES GENUINO VIEIRA</t>
        </is>
      </c>
      <c r="J458" s="20" t="inlineStr">
        <is>
          <t>Sócio-Administrador</t>
        </is>
      </c>
      <c r="K458" s="20" t="inlineStr">
        <is>
          <t>(81) 9267-8720</t>
        </is>
      </c>
      <c r="L458" s="20" t="inlineStr">
        <is>
          <t>(81) 9267-8720</t>
        </is>
      </c>
      <c r="M458" s="20" t="inlineStr"/>
      <c r="N458" s="20" t="inlineStr"/>
      <c r="O458" s="20" t="inlineStr"/>
      <c r="P458" s="20" t="inlineStr"/>
      <c r="Q458" s="20" t="inlineStr"/>
      <c r="R458" s="20" t="inlineStr"/>
      <c r="S458" s="20" t="inlineStr"/>
      <c r="T458" s="21" t="n">
        <v>255115.32</v>
      </c>
      <c r="U458" s="22" t="inlineStr">
        <is>
          <t>B</t>
        </is>
      </c>
      <c r="V458" s="23">
        <f>IFERROR(VLOOKUP(U458,Assumptions!$A$7:$D$11,2,FALSE),0)</f>
        <v/>
      </c>
      <c r="W458" s="24">
        <f>MAX(0.5,IFERROR(VLOOKUP(U458,Assumptions!$A$7:$D$11,3,FALSE),3)+IFERROR(VLOOKUP(U458,Assumptions!$A$7:$D$11,4,FALSE),8)/2-IF(AN458="",0,YEAR(TODAY())-AN458))</f>
        <v/>
      </c>
      <c r="X458" s="21">
        <f>T458*V458/(1+Assumptions!$B$3)^W458</f>
        <v/>
      </c>
      <c r="Y458" s="25">
        <f>IF(T458=0,"",ROUND(X458/T458*100,1))</f>
        <v/>
      </c>
      <c r="Z458" s="26">
        <f>X458*Assumptions!$B$4</f>
        <v/>
      </c>
      <c r="AA458" s="25">
        <f>IF(T458=0,"",ROUND(Z458/T458*100,1))</f>
        <v/>
      </c>
      <c r="AB458" s="26">
        <f>X458-Z458</f>
        <v/>
      </c>
      <c r="AC458" s="25">
        <f>IF(T458=0,"",ROUND((X458-Z458)/T458*100,1))</f>
        <v/>
      </c>
      <c r="AD458" s="27" t="inlineStr">
        <is>
          <t>ESTIMATED</t>
        </is>
      </c>
      <c r="AE458" s="28" t="inlineStr">
        <is>
          <t>https://lrflideres.com.br/wp-content/plugins/download-attachments/includes/download.php?id=6273</t>
        </is>
      </c>
      <c r="AF458" s="27" t="inlineStr">
        <is>
          <t>p4 r13</t>
        </is>
      </c>
      <c r="AG458" s="27" t="inlineStr">
        <is>
          <t>p4: R$ 255.115,32</t>
        </is>
      </c>
      <c r="AH458" s="27" t="inlineStr">
        <is>
          <t>AJ_LIST</t>
        </is>
      </c>
      <c r="AI458" s="27" t="inlineStr">
        <is>
          <t>2024-11-14</t>
        </is>
      </c>
      <c r="AJ458" s="27" t="inlineStr">
        <is>
          <t>OK</t>
        </is>
      </c>
      <c r="AK458" s="29" t="inlineStr">
        <is>
          <t>0074500-63.2024.8.17.2001</t>
        </is>
      </c>
      <c r="AL458" s="29" t="inlineStr">
        <is>
          <t>TJPE</t>
        </is>
      </c>
      <c r="AM458" s="29" t="inlineStr">
        <is>
          <t>ACTIVE</t>
        </is>
      </c>
      <c r="AN458" s="29" t="n">
        <v>2024</v>
      </c>
      <c r="AO458" s="29" t="inlineStr">
        <is>
          <t>live case, no plan document yet</t>
        </is>
      </c>
      <c r="AP458" s="29" t="inlineStr">
        <is>
          <t>OLINDA</t>
        </is>
      </c>
      <c r="AQ458" s="29" t="inlineStr">
        <is>
          <t>PE</t>
        </is>
      </c>
      <c r="AR458" s="29" t="inlineStr">
        <is>
          <t>Construção de edifícios</t>
        </is>
      </c>
      <c r="AS458" s="29" t="inlineStr">
        <is>
          <t>DEMAIS</t>
        </is>
      </c>
      <c r="AT458" s="29" t="inlineStr">
        <is>
          <t>MID-MARKET</t>
        </is>
      </c>
      <c r="AU458" s="29" t="inlineStr">
        <is>
          <t>16629296</t>
        </is>
      </c>
      <c r="AV458" s="29" t="n">
        <v>1</v>
      </c>
      <c r="AW458" s="29" t="inlineStr">
        <is>
          <t>ROWS:p4r13</t>
        </is>
      </c>
    </row>
    <row r="459">
      <c r="A459" s="15" t="inlineStr">
        <is>
          <t>VENTISOL NORDESTE INDUSTRIA E COMERCIO DE VENTILADORES LTDA</t>
        </is>
      </c>
      <c r="B459" s="16" t="n">
        <v>321724.2</v>
      </c>
      <c r="C459" s="17" t="inlineStr">
        <is>
          <t>aludida empresa</t>
        </is>
      </c>
      <c r="D459" s="18" t="inlineStr">
        <is>
          <t>NEW</t>
        </is>
      </c>
      <c r="E459" s="19" t="inlineStr"/>
      <c r="F459" s="18" t="inlineStr"/>
      <c r="G459" s="19" t="inlineStr"/>
      <c r="H459" s="18" t="inlineStr"/>
      <c r="I459" s="20" t="inlineStr">
        <is>
          <t>Naime Meyer</t>
        </is>
      </c>
      <c r="J459" s="20" t="inlineStr">
        <is>
          <t>Administrative Manager</t>
        </is>
      </c>
      <c r="K459" s="20" t="inlineStr">
        <is>
          <t>(81) 3523-1169</t>
        </is>
      </c>
      <c r="L459" s="20" t="inlineStr">
        <is>
          <t>(81) 3222-4350</t>
        </is>
      </c>
      <c r="M459" s="20" t="inlineStr"/>
      <c r="N459" s="20" t="inlineStr"/>
      <c r="O459" s="20" t="inlineStr"/>
      <c r="P459" s="20" t="inlineStr">
        <is>
          <t>Cleiton Santos</t>
        </is>
      </c>
      <c r="Q459" s="20" t="inlineStr">
        <is>
          <t>Sales Supervisor</t>
        </is>
      </c>
      <c r="R459" s="20" t="inlineStr"/>
      <c r="S459" s="20" t="inlineStr"/>
      <c r="T459" s="21" t="n">
        <v>321724.2</v>
      </c>
      <c r="U459" s="31" t="inlineStr">
        <is>
          <t>C</t>
        </is>
      </c>
      <c r="V459" s="23">
        <f>IFERROR(VLOOKUP(U459,Assumptions!$A$7:$D$11,2,FALSE),0)</f>
        <v/>
      </c>
      <c r="W459" s="24">
        <f>MAX(0.5,IFERROR(VLOOKUP(U459,Assumptions!$A$7:$D$11,3,FALSE),3)+IFERROR(VLOOKUP(U459,Assumptions!$A$7:$D$11,4,FALSE),8)/2-IF(AN459="",0,YEAR(TODAY())-AN459))</f>
        <v/>
      </c>
      <c r="X459" s="21">
        <f>T459*V459/(1+Assumptions!$B$3)^W459</f>
        <v/>
      </c>
      <c r="Y459" s="25">
        <f>IF(T459=0,"",ROUND(X459/T459*100,1))</f>
        <v/>
      </c>
      <c r="Z459" s="26">
        <f>X459*Assumptions!$B$4</f>
        <v/>
      </c>
      <c r="AA459" s="25">
        <f>IF(T459=0,"",ROUND(Z459/T459*100,1))</f>
        <v/>
      </c>
      <c r="AB459" s="26">
        <f>X459-Z459</f>
        <v/>
      </c>
      <c r="AC459" s="25">
        <f>IF(T459=0,"",ROUND((X459-Z459)/T459*100,1))</f>
        <v/>
      </c>
      <c r="AD459" s="27" t="inlineStr">
        <is>
          <t>ESTIMATED</t>
        </is>
      </c>
      <c r="AE459" s="28" t="inlineStr">
        <is>
          <t>https://recuperacaojudicial.squarespace.com/s/RJ-Credimoveis-QGC-01082025.pdf</t>
        </is>
      </c>
      <c r="AF459" s="27" t="inlineStr">
        <is>
          <t>p17 r9</t>
        </is>
      </c>
      <c r="AG459" s="27" t="inlineStr">
        <is>
          <t>p17: R$ 321.724,20</t>
        </is>
      </c>
      <c r="AH459" s="27" t="inlineStr">
        <is>
          <t>QGC</t>
        </is>
      </c>
      <c r="AI459" s="27" t="inlineStr">
        <is>
          <t>2026-01-28</t>
        </is>
      </c>
      <c r="AJ459" s="27" t="inlineStr">
        <is>
          <t>OK</t>
        </is>
      </c>
      <c r="AK459" s="29" t="inlineStr">
        <is>
          <t>0007565-40.2020.8.17.2370</t>
        </is>
      </c>
      <c r="AL459" s="29" t="inlineStr">
        <is>
          <t>TJPE</t>
        </is>
      </c>
      <c r="AM459" s="29" t="inlineStr">
        <is>
          <t>ACTIVE</t>
        </is>
      </c>
      <c r="AN459" s="29" t="n">
        <v>2020</v>
      </c>
      <c r="AO459" s="29" t="inlineStr">
        <is>
          <t>6y since filing, no plan document</t>
        </is>
      </c>
      <c r="AP459" s="29" t="inlineStr">
        <is>
          <t>VITORIA DE SANTO ANTAO</t>
        </is>
      </c>
      <c r="AQ459" s="29" t="inlineStr">
        <is>
          <t>PE</t>
        </is>
      </c>
      <c r="AR459" s="29" t="inlineStr">
        <is>
          <t>Fabricação de outros aparelhos eletrodomésticos não especificados anteriormente, peças e acessórios</t>
        </is>
      </c>
      <c r="AS459" s="29" t="inlineStr">
        <is>
          <t>DEMAIS</t>
        </is>
      </c>
      <c r="AT459" s="29" t="inlineStr">
        <is>
          <t>MID-MARKET</t>
        </is>
      </c>
      <c r="AU459" s="29" t="inlineStr">
        <is>
          <t>08934225</t>
        </is>
      </c>
      <c r="AV459" s="29" t="n">
        <v>1</v>
      </c>
      <c r="AW459" s="29" t="inlineStr">
        <is>
          <t>ROWS:p17r9</t>
        </is>
      </c>
    </row>
    <row r="460">
      <c r="A460" s="15" t="inlineStr">
        <is>
          <t>MARTINS CRUZ SOLUCOES AGRICOLAS LTDA</t>
        </is>
      </c>
      <c r="B460" s="16" t="n">
        <v>314029.75</v>
      </c>
      <c r="C460" s="17" t="inlineStr"/>
      <c r="D460" s="18" t="inlineStr">
        <is>
          <t>NEW</t>
        </is>
      </c>
      <c r="E460" s="19" t="inlineStr"/>
      <c r="F460" s="18" t="inlineStr"/>
      <c r="G460" s="19" t="inlineStr"/>
      <c r="H460" s="18" t="inlineStr"/>
      <c r="I460" s="20" t="inlineStr">
        <is>
          <t>EGBERT KOHLER</t>
        </is>
      </c>
      <c r="J460" s="20" t="inlineStr">
        <is>
          <t>Administrador</t>
        </is>
      </c>
      <c r="K460" s="20" t="inlineStr">
        <is>
          <t>(16) 3203-1800</t>
        </is>
      </c>
      <c r="L460" s="20" t="inlineStr"/>
      <c r="M460" s="20" t="inlineStr"/>
      <c r="N460" s="20" t="inlineStr"/>
      <c r="O460" s="20" t="inlineStr"/>
      <c r="P460" s="20" t="inlineStr"/>
      <c r="Q460" s="20" t="inlineStr"/>
      <c r="R460" s="20" t="inlineStr"/>
      <c r="S460" s="20" t="inlineStr"/>
      <c r="T460" s="21" t="n">
        <v>314029.75</v>
      </c>
      <c r="U460" s="22" t="inlineStr">
        <is>
          <t>B</t>
        </is>
      </c>
      <c r="V460" s="23">
        <f>IFERROR(VLOOKUP(U460,Assumptions!$A$7:$D$11,2,FALSE),0)</f>
        <v/>
      </c>
      <c r="W460" s="24">
        <f>MAX(0.5,IFERROR(VLOOKUP(U460,Assumptions!$A$7:$D$11,3,FALSE),3)+IFERROR(VLOOKUP(U460,Assumptions!$A$7:$D$11,4,FALSE),8)/2-IF(AN460="",0,YEAR(TODAY())-AN460))</f>
        <v/>
      </c>
      <c r="X460" s="21">
        <f>T460*V460/(1+Assumptions!$B$3)^W460</f>
        <v/>
      </c>
      <c r="Y460" s="25">
        <f>IF(T460=0,"",ROUND(X460/T460*100,1))</f>
        <v/>
      </c>
      <c r="Z460" s="26">
        <f>X460*Assumptions!$B$4</f>
        <v/>
      </c>
      <c r="AA460" s="25">
        <f>IF(T460=0,"",ROUND(Z460/T460*100,1))</f>
        <v/>
      </c>
      <c r="AB460" s="26">
        <f>X460-Z460</f>
        <v/>
      </c>
      <c r="AC460" s="25">
        <f>IF(T460=0,"",ROUND((X460-Z460)/T460*100,1))</f>
        <v/>
      </c>
      <c r="AD460" s="27" t="inlineStr">
        <is>
          <t>UNKNOWN</t>
        </is>
      </c>
      <c r="AE460" s="28" t="inlineStr">
        <is>
          <t>https://credibilita.com.br/wp-content/uploads/2025/09/Relacao-Credores-29.04.2026.pdf</t>
        </is>
      </c>
      <c r="AF460" s="27" t="inlineStr">
        <is>
          <t>p2 r3</t>
        </is>
      </c>
      <c r="AG460" s="27" t="inlineStr">
        <is>
          <t>p2: R$ 314.029,75</t>
        </is>
      </c>
      <c r="AH460" s="27" t="inlineStr">
        <is>
          <t>UNKNOWN</t>
        </is>
      </c>
      <c r="AI460" s="27" t="inlineStr"/>
      <c r="AJ460" s="27" t="inlineStr">
        <is>
          <t>OK_NO_TOTALS</t>
        </is>
      </c>
      <c r="AK460" s="29" t="inlineStr">
        <is>
          <t>5057720-48.2025.8.24.0023</t>
        </is>
      </c>
      <c r="AL460" s="29" t="inlineStr">
        <is>
          <t>TJ</t>
        </is>
      </c>
      <c r="AM460" s="29" t="inlineStr"/>
      <c r="AN460" s="29" t="n">
        <v>2025</v>
      </c>
      <c r="AO460" s="29" t="inlineStr">
        <is>
          <t>live case, no plan document yet</t>
        </is>
      </c>
      <c r="AP460" s="29" t="inlineStr">
        <is>
          <t>JABOTICABAL</t>
        </is>
      </c>
      <c r="AQ460" s="29" t="inlineStr">
        <is>
          <t>SP</t>
        </is>
      </c>
      <c r="AR460" s="29" t="inlineStr">
        <is>
          <t>Fabricação de máquinas e equipamentos para a agricultura e pecuária, peças e acessórios, exceto para irrigação</t>
        </is>
      </c>
      <c r="AS460" s="29" t="inlineStr">
        <is>
          <t>DEMAIS</t>
        </is>
      </c>
      <c r="AT460" s="29" t="inlineStr">
        <is>
          <t>MID-MARKET</t>
        </is>
      </c>
      <c r="AU460" s="29" t="inlineStr">
        <is>
          <t>50378389</t>
        </is>
      </c>
      <c r="AV460" s="29" t="n">
        <v>1</v>
      </c>
      <c r="AW460" s="29" t="inlineStr">
        <is>
          <t>ROWS:p2r3 UNRECONCILED_SOURCE VALUE_COL:Valor_Após_Analise</t>
        </is>
      </c>
    </row>
    <row r="461">
      <c r="A461" s="15" t="inlineStr">
        <is>
          <t>DALMOLIN CONSTRUTORA E ADMINISTRADORA DE BENS PROPRIOS LTDA</t>
        </is>
      </c>
      <c r="B461" s="16" t="n">
        <v>311424</v>
      </c>
      <c r="C461" s="17" t="inlineStr">
        <is>
          <t>GRUPO CASAS BAHIA S.A.</t>
        </is>
      </c>
      <c r="D461" s="18" t="inlineStr">
        <is>
          <t>NEW</t>
        </is>
      </c>
      <c r="E461" s="19" t="inlineStr"/>
      <c r="F461" s="18" t="inlineStr"/>
      <c r="G461" s="19" t="inlineStr"/>
      <c r="H461" s="18" t="inlineStr"/>
      <c r="I461" s="20" t="inlineStr">
        <is>
          <t>EDIO LUIS DALMOLIN</t>
        </is>
      </c>
      <c r="J461" s="20" t="inlineStr">
        <is>
          <t>Sócio-Administrador</t>
        </is>
      </c>
      <c r="K461" s="20" t="inlineStr">
        <is>
          <t>(49) 8801-2826</t>
        </is>
      </c>
      <c r="L461" s="20" t="inlineStr"/>
      <c r="M461" s="20" t="inlineStr"/>
      <c r="N461" s="20" t="inlineStr"/>
      <c r="O461" s="20" t="inlineStr"/>
      <c r="P461" s="20" t="inlineStr"/>
      <c r="Q461" s="20" t="inlineStr"/>
      <c r="R461" s="20" t="inlineStr"/>
      <c r="S461" s="20" t="inlineStr"/>
      <c r="T461" s="21" t="n">
        <v>311424</v>
      </c>
      <c r="U461" s="22" t="inlineStr">
        <is>
          <t>B</t>
        </is>
      </c>
      <c r="V461" s="23">
        <f>IFERROR(VLOOKUP(U461,Assumptions!$A$7:$D$11,2,FALSE),0)</f>
        <v/>
      </c>
      <c r="W461" s="24">
        <f>MAX(0.5,IFERROR(VLOOKUP(U461,Assumptions!$A$7:$D$11,3,FALSE),3)+IFERROR(VLOOKUP(U461,Assumptions!$A$7:$D$11,4,FALSE),8)/2-IF(AN461="",0,YEAR(TODAY())-AN461))</f>
        <v/>
      </c>
      <c r="X461" s="21">
        <f>T461*V461/(1+Assumptions!$B$3)^W461</f>
        <v/>
      </c>
      <c r="Y461" s="25">
        <f>IF(T461=0,"",ROUND(X461/T461*100,1))</f>
        <v/>
      </c>
      <c r="Z461" s="26">
        <f>X461*Assumptions!$B$4</f>
        <v/>
      </c>
      <c r="AA461" s="25">
        <f>IF(T461=0,"",ROUND(Z461/T461*100,1))</f>
        <v/>
      </c>
      <c r="AB461" s="26">
        <f>X461-Z461</f>
        <v/>
      </c>
      <c r="AC461" s="25">
        <f>IF(T461=0,"",ROUND((X461-Z461)/T461*100,1))</f>
        <v/>
      </c>
      <c r="AD461" s="27" t="inlineStr">
        <is>
          <t>UNKNOWN</t>
        </is>
      </c>
      <c r="AE461" s="28" t="inlineStr">
        <is>
          <t>https://scalzilliaj.com.br/sgc/download.php?file=files/processo_documento/processo_documento15180810062026_1_.pdf&amp;nome=10 - Relação de credores do art. 7º, §2º, da Lei 11.101/2005</t>
        </is>
      </c>
      <c r="AF461" s="27" t="inlineStr">
        <is>
          <t>p1 r41</t>
        </is>
      </c>
      <c r="AG461" s="27" t="inlineStr">
        <is>
          <t>p1: R$ 311.424,00</t>
        </is>
      </c>
      <c r="AH461" s="27" t="inlineStr">
        <is>
          <t>AJ_LIST</t>
        </is>
      </c>
      <c r="AI461" s="27" t="inlineStr"/>
      <c r="AJ461" s="27" t="inlineStr">
        <is>
          <t>OK_NO_TOTALS</t>
        </is>
      </c>
      <c r="AK461" s="29" t="inlineStr">
        <is>
          <t>5009529-81.2025.8.24.0019</t>
        </is>
      </c>
      <c r="AL461" s="29" t="inlineStr">
        <is>
          <t>TJ</t>
        </is>
      </c>
      <c r="AM461" s="29" t="inlineStr"/>
      <c r="AN461" s="29" t="n">
        <v>2025</v>
      </c>
      <c r="AO461" s="29" t="inlineStr">
        <is>
          <t>live case, no plan document yet</t>
        </is>
      </c>
      <c r="AP461" s="29" t="inlineStr">
        <is>
          <t>CONCORDIA</t>
        </is>
      </c>
      <c r="AQ461" s="29" t="inlineStr">
        <is>
          <t>SC</t>
        </is>
      </c>
      <c r="AR461" s="29" t="inlineStr">
        <is>
          <t>Construção de edifícios</t>
        </is>
      </c>
      <c r="AS461" s="29" t="inlineStr">
        <is>
          <t>MICRO EMPRESA</t>
        </is>
      </c>
      <c r="AT461" s="29" t="inlineStr">
        <is>
          <t>SMALL</t>
        </is>
      </c>
      <c r="AU461" s="29" t="inlineStr">
        <is>
          <t>49644505</t>
        </is>
      </c>
      <c r="AV461" s="29" t="n">
        <v>1</v>
      </c>
      <c r="AW461" s="29" t="inlineStr">
        <is>
          <t>ROWS:p1r41 UNRECONCILED_SOURCE VALUE_COL:Valor_(Art._7º,_§2º)</t>
        </is>
      </c>
    </row>
    <row r="462">
      <c r="A462" s="15" t="inlineStr">
        <is>
          <t>BIOBASE INDUSTRIA E COMERCIO LTDA</t>
        </is>
      </c>
      <c r="B462" s="16" t="n">
        <v>569654.02</v>
      </c>
      <c r="C462" s="17" t="inlineStr"/>
      <c r="D462" s="18" t="inlineStr">
        <is>
          <t>NEW</t>
        </is>
      </c>
      <c r="E462" s="19" t="inlineStr"/>
      <c r="F462" s="18" t="inlineStr"/>
      <c r="G462" s="19" t="inlineStr"/>
      <c r="H462" s="18" t="inlineStr"/>
      <c r="I462" s="20" t="inlineStr">
        <is>
          <t>RICHARD REIS FARIAS</t>
        </is>
      </c>
      <c r="J462" s="20" t="inlineStr">
        <is>
          <t>Sócio-Administrador</t>
        </is>
      </c>
      <c r="K462" s="20" t="inlineStr">
        <is>
          <t>(35) 3427-7000</t>
        </is>
      </c>
      <c r="L462" s="20" t="inlineStr">
        <is>
          <t>(35) 3427-7012</t>
        </is>
      </c>
      <c r="M462" s="20" t="inlineStr"/>
      <c r="N462" s="20" t="inlineStr"/>
      <c r="O462" s="20" t="inlineStr"/>
      <c r="P462" s="20" t="inlineStr"/>
      <c r="Q462" s="20" t="inlineStr"/>
      <c r="R462" s="20" t="inlineStr"/>
      <c r="S462" s="20" t="inlineStr"/>
      <c r="T462" s="21" t="n">
        <v>569654.02</v>
      </c>
      <c r="U462" s="30" t="inlineStr">
        <is>
          <t>?</t>
        </is>
      </c>
      <c r="V462" s="23">
        <f>IFERROR(VLOOKUP(U462,Assumptions!$A$7:$D$11,2,FALSE),0)</f>
        <v/>
      </c>
      <c r="W462" s="24">
        <f>MAX(0.5,IFERROR(VLOOKUP(U462,Assumptions!$A$7:$D$11,3,FALSE),3)+IFERROR(VLOOKUP(U462,Assumptions!$A$7:$D$11,4,FALSE),8)/2-IF(AN462="",0,YEAR(TODAY())-AN462))</f>
        <v/>
      </c>
      <c r="X462" s="21">
        <f>T462*V462/(1+Assumptions!$B$3)^W462</f>
        <v/>
      </c>
      <c r="Y462" s="25">
        <f>IF(T462=0,"",ROUND(X462/T462*100,1))</f>
        <v/>
      </c>
      <c r="Z462" s="26">
        <f>X462*Assumptions!$B$4</f>
        <v/>
      </c>
      <c r="AA462" s="25">
        <f>IF(T462=0,"",ROUND(Z462/T462*100,1))</f>
        <v/>
      </c>
      <c r="AB462" s="26">
        <f>X462-Z462</f>
        <v/>
      </c>
      <c r="AC462" s="25">
        <f>IF(T462=0,"",ROUND((X462-Z462)/T462*100,1))</f>
        <v/>
      </c>
      <c r="AD462" s="27" t="inlineStr">
        <is>
          <t>UNKNOWN</t>
        </is>
      </c>
      <c r="AE462" s="28" t="inlineStr">
        <is>
          <t>http://bernardobicalho.com.br/login/app/documents/Rela%C3%A7%C3%A3o%20de%20Credores/6.%20RVC-%20Nutricium%20-%20simplificada.pdf</t>
        </is>
      </c>
      <c r="AF462" s="27" t="inlineStr">
        <is>
          <t>p3 r7</t>
        </is>
      </c>
      <c r="AG462" s="27" t="inlineStr">
        <is>
          <t>p3: R$ 569.654,02</t>
        </is>
      </c>
      <c r="AH462" s="27" t="inlineStr">
        <is>
          <t>AJ_LIST</t>
        </is>
      </c>
      <c r="AI462" s="27" t="inlineStr"/>
      <c r="AJ462" s="27" t="inlineStr">
        <is>
          <t>OK</t>
        </is>
      </c>
      <c r="AK462" s="29" t="inlineStr">
        <is>
          <t>(not printed)</t>
        </is>
      </c>
      <c r="AL462" s="29" t="inlineStr"/>
      <c r="AM462" s="29" t="inlineStr"/>
      <c r="AN462" s="29" t="inlineStr"/>
      <c r="AO462" s="29" t="inlineStr">
        <is>
          <t>RJ case number not identified on the document</t>
        </is>
      </c>
      <c r="AP462" s="29" t="inlineStr">
        <is>
          <t>POUSO ALEGRE</t>
        </is>
      </c>
      <c r="AQ462" s="29" t="inlineStr">
        <is>
          <t>MG</t>
        </is>
      </c>
      <c r="AR462" s="29" t="inlineStr">
        <is>
          <t>Fabricação de materiais para medicina e odontologia</t>
        </is>
      </c>
      <c r="AS462" s="29" t="inlineStr">
        <is>
          <t>DEMAIS</t>
        </is>
      </c>
      <c r="AT462" s="29" t="inlineStr">
        <is>
          <t>MID-MARKET</t>
        </is>
      </c>
      <c r="AU462" s="29" t="inlineStr">
        <is>
          <t>05216859</t>
        </is>
      </c>
      <c r="AV462" s="29" t="n">
        <v>1</v>
      </c>
      <c r="AW462" s="29" t="inlineStr">
        <is>
          <t>CASE_NUMBER_MISSING ROWS:p3r7</t>
        </is>
      </c>
    </row>
    <row r="463">
      <c r="A463" s="15" t="inlineStr">
        <is>
          <t>SANTIN - EQUIPAMENTOS, TRANSPORTES, IMPORTACAO E EXPORTACAO LTDA</t>
        </is>
      </c>
      <c r="B463" s="16" t="n">
        <v>565326.29</v>
      </c>
      <c r="C463" s="17" t="inlineStr">
        <is>
          <t>EGESA ENGENHARIA S/A (Consórcio ETDI)</t>
        </is>
      </c>
      <c r="D463" s="18" t="inlineStr">
        <is>
          <t>NEW</t>
        </is>
      </c>
      <c r="E463" s="19" t="inlineStr"/>
      <c r="F463" s="18" t="inlineStr"/>
      <c r="G463" s="19" t="inlineStr"/>
      <c r="H463" s="18" t="inlineStr"/>
      <c r="I463" s="20" t="inlineStr">
        <is>
          <t>ALEXANDRE BARBIERI SANTIN</t>
        </is>
      </c>
      <c r="J463" s="20" t="inlineStr">
        <is>
          <t>Sócio-Administrador</t>
        </is>
      </c>
      <c r="K463" s="20" t="inlineStr">
        <is>
          <t>(16) 3393-9999</t>
        </is>
      </c>
      <c r="L463" s="20" t="inlineStr"/>
      <c r="M463" s="20" t="inlineStr"/>
      <c r="N463" s="20" t="inlineStr"/>
      <c r="O463" s="20" t="inlineStr"/>
      <c r="P463" s="20" t="inlineStr">
        <is>
          <t>FERNANDO BARBIERI SANTIN</t>
        </is>
      </c>
      <c r="Q463" s="20" t="inlineStr">
        <is>
          <t>Sócio-Administrador</t>
        </is>
      </c>
      <c r="R463" s="20" t="inlineStr">
        <is>
          <t>(16) 3393-9999</t>
        </is>
      </c>
      <c r="S463" s="20" t="inlineStr"/>
      <c r="T463" s="21" t="n">
        <v>565326.29</v>
      </c>
      <c r="U463" s="30" t="inlineStr">
        <is>
          <t>?</t>
        </is>
      </c>
      <c r="V463" s="23">
        <f>IFERROR(VLOOKUP(U463,Assumptions!$A$7:$D$11,2,FALSE),0)</f>
        <v/>
      </c>
      <c r="W463" s="24">
        <f>MAX(0.5,IFERROR(VLOOKUP(U463,Assumptions!$A$7:$D$11,3,FALSE),3)+IFERROR(VLOOKUP(U463,Assumptions!$A$7:$D$11,4,FALSE),8)/2-IF(AN463="",0,YEAR(TODAY())-AN463))</f>
        <v/>
      </c>
      <c r="X463" s="21">
        <f>T463*V463/(1+Assumptions!$B$3)^W463</f>
        <v/>
      </c>
      <c r="Y463" s="25">
        <f>IF(T463=0,"",ROUND(X463/T463*100,1))</f>
        <v/>
      </c>
      <c r="Z463" s="26">
        <f>X463*Assumptions!$B$4</f>
        <v/>
      </c>
      <c r="AA463" s="25">
        <f>IF(T463=0,"",ROUND(Z463/T463*100,1))</f>
        <v/>
      </c>
      <c r="AB463" s="26">
        <f>X463-Z463</f>
        <v/>
      </c>
      <c r="AC463" s="25">
        <f>IF(T463=0,"",ROUND((X463-Z463)/T463*100,1))</f>
        <v/>
      </c>
      <c r="AD463" s="27" t="inlineStr">
        <is>
          <t>UNKNOWN</t>
        </is>
      </c>
      <c r="AE463" s="28" t="inlineStr">
        <is>
          <t>https://scalzilliaj.com.br/sgc/download.php?file=files/processo_documento/processo_documento09514021082025_1_.pdf&amp;nome=04 - Relação de credores das Recuperandas</t>
        </is>
      </c>
      <c r="AF463" s="27" t="inlineStr">
        <is>
          <t>p72 r16</t>
        </is>
      </c>
      <c r="AG463" s="27" t="inlineStr">
        <is>
          <t>p72: R$ 565.326,29</t>
        </is>
      </c>
      <c r="AH463" s="27" t="inlineStr">
        <is>
          <t>DEBTOR_LIST</t>
        </is>
      </c>
      <c r="AI463" s="27" t="inlineStr"/>
      <c r="AJ463" s="27" t="inlineStr">
        <is>
          <t>OK</t>
        </is>
      </c>
      <c r="AK463" s="29" t="inlineStr">
        <is>
          <t>(not printed)</t>
        </is>
      </c>
      <c r="AL463" s="29" t="inlineStr"/>
      <c r="AM463" s="29" t="inlineStr"/>
      <c r="AN463" s="29" t="inlineStr"/>
      <c r="AO463" s="29" t="inlineStr">
        <is>
          <t>RJ case number not identified on the document</t>
        </is>
      </c>
      <c r="AP463" s="29" t="inlineStr">
        <is>
          <t>AMERICO BRASILIENSE</t>
        </is>
      </c>
      <c r="AQ463" s="29" t="inlineStr">
        <is>
          <t>SP</t>
        </is>
      </c>
      <c r="AR463" s="29" t="inlineStr">
        <is>
          <t>Transporte rodoviário de carga, exceto produtos perigosos e mudanças, intermunicipal, interestadual e internacional</t>
        </is>
      </c>
      <c r="AS463" s="29" t="inlineStr">
        <is>
          <t>DEMAIS</t>
        </is>
      </c>
      <c r="AT463" s="29" t="inlineStr">
        <is>
          <t>MID-MARKET</t>
        </is>
      </c>
      <c r="AU463" s="29" t="inlineStr">
        <is>
          <t>05134355</t>
        </is>
      </c>
      <c r="AV463" s="29" t="n">
        <v>1</v>
      </c>
      <c r="AW463" s="29" t="inlineStr">
        <is>
          <t>ROWS:p72r16 VALUE_COL:Valor_Atualizado CASE_NUMBER_CORRECTED</t>
        </is>
      </c>
    </row>
    <row r="464">
      <c r="A464" s="15" t="inlineStr">
        <is>
          <t>FTI CONSULTORIA LTDA</t>
        </is>
      </c>
      <c r="B464" s="16" t="n">
        <v>301076.07</v>
      </c>
      <c r="C464" s="17" t="inlineStr"/>
      <c r="D464" s="18" t="inlineStr">
        <is>
          <t>NEW</t>
        </is>
      </c>
      <c r="E464" s="19" t="inlineStr"/>
      <c r="F464" s="18" t="inlineStr"/>
      <c r="G464" s="19" t="inlineStr"/>
      <c r="H464" s="18" t="inlineStr"/>
      <c r="I464" s="20" t="inlineStr">
        <is>
          <t>Luciano Lindemann</t>
        </is>
      </c>
      <c r="J464" s="20" t="inlineStr">
        <is>
          <t>Senior Managing Director, Corporate Finance | Restructuring</t>
        </is>
      </c>
      <c r="K464" s="20" t="inlineStr">
        <is>
          <t>(11) 3150-7000</t>
        </is>
      </c>
      <c r="L464" s="20" t="inlineStr"/>
      <c r="M464" s="20" t="inlineStr"/>
      <c r="N464" s="20" t="inlineStr">
        <is>
          <t>luciano.lindemann@fticonsulting.com</t>
        </is>
      </c>
      <c r="O464" s="20" t="inlineStr">
        <is>
          <t>andre.malandrino@fticonsulting.com</t>
        </is>
      </c>
      <c r="P464" s="20" t="inlineStr">
        <is>
          <t>Andre Malandrino</t>
        </is>
      </c>
      <c r="Q464" s="20" t="inlineStr">
        <is>
          <t>Corporate Finance &amp; Restructuring Director</t>
        </is>
      </c>
      <c r="R464" s="20" t="inlineStr"/>
      <c r="S464" s="20" t="inlineStr">
        <is>
          <t>andre.malandrino@fticonsulting.com</t>
        </is>
      </c>
      <c r="T464" s="21" t="n">
        <v>301076.07</v>
      </c>
      <c r="U464" s="22" t="inlineStr">
        <is>
          <t>B</t>
        </is>
      </c>
      <c r="V464" s="23">
        <f>IFERROR(VLOOKUP(U464,Assumptions!$A$7:$D$11,2,FALSE),0)</f>
        <v/>
      </c>
      <c r="W464" s="24">
        <f>MAX(0.5,IFERROR(VLOOKUP(U464,Assumptions!$A$7:$D$11,3,FALSE),3)+IFERROR(VLOOKUP(U464,Assumptions!$A$7:$D$11,4,FALSE),8)/2-IF(AN464="",0,YEAR(TODAY())-AN464))</f>
        <v/>
      </c>
      <c r="X464" s="21">
        <f>T464*V464/(1+Assumptions!$B$3)^W464</f>
        <v/>
      </c>
      <c r="Y464" s="25">
        <f>IF(T464=0,"",ROUND(X464/T464*100,1))</f>
        <v/>
      </c>
      <c r="Z464" s="26">
        <f>X464*Assumptions!$B$4</f>
        <v/>
      </c>
      <c r="AA464" s="25">
        <f>IF(T464=0,"",ROUND(Z464/T464*100,1))</f>
        <v/>
      </c>
      <c r="AB464" s="26">
        <f>X464-Z464</f>
        <v/>
      </c>
      <c r="AC464" s="25">
        <f>IF(T464=0,"",ROUND((X464-Z464)/T464*100,1))</f>
        <v/>
      </c>
      <c r="AD464" s="27" t="inlineStr">
        <is>
          <t>UNKNOWN</t>
        </is>
      </c>
      <c r="AE464" s="28" t="inlineStr">
        <is>
          <t>https://credibilita.com.br/wp-content/uploads/2025/09/Relacao-Credores-29.04.2026.pdf</t>
        </is>
      </c>
      <c r="AF464" s="27" t="inlineStr">
        <is>
          <t>p1 r24</t>
        </is>
      </c>
      <c r="AG464" s="27" t="inlineStr">
        <is>
          <t>p1: R$ 301.076,07</t>
        </is>
      </c>
      <c r="AH464" s="27" t="inlineStr">
        <is>
          <t>UNKNOWN</t>
        </is>
      </c>
      <c r="AI464" s="27" t="inlineStr"/>
      <c r="AJ464" s="27" t="inlineStr">
        <is>
          <t>OK_NO_TOTALS</t>
        </is>
      </c>
      <c r="AK464" s="29" t="inlineStr">
        <is>
          <t>5057720-48.2025.8.24.0023</t>
        </is>
      </c>
      <c r="AL464" s="29" t="inlineStr">
        <is>
          <t>TJ</t>
        </is>
      </c>
      <c r="AM464" s="29" t="inlineStr"/>
      <c r="AN464" s="29" t="n">
        <v>2025</v>
      </c>
      <c r="AO464" s="29" t="inlineStr">
        <is>
          <t>live case, no plan document yet</t>
        </is>
      </c>
      <c r="AP464" s="29" t="inlineStr">
        <is>
          <t>SAO PAULO</t>
        </is>
      </c>
      <c r="AQ464" s="29" t="inlineStr">
        <is>
          <t>SP</t>
        </is>
      </c>
      <c r="AR464" s="29" t="inlineStr">
        <is>
          <t>Atividades de consultoria em gestão empresarial, exceto consultoria técnica específica</t>
        </is>
      </c>
      <c r="AS464" s="29" t="inlineStr">
        <is>
          <t>DEMAIS</t>
        </is>
      </c>
      <c r="AT464" s="29" t="inlineStr">
        <is>
          <t>MID-MARKET</t>
        </is>
      </c>
      <c r="AU464" s="29" t="inlineStr">
        <is>
          <t>07174869</t>
        </is>
      </c>
      <c r="AV464" s="29" t="n">
        <v>1</v>
      </c>
      <c r="AW464" s="29" t="inlineStr">
        <is>
          <t>ROWS:p1r24 UNRECONCILED_SOURCE VALUE_COL:Valor_Após_Analise</t>
        </is>
      </c>
    </row>
    <row r="465">
      <c r="A465" s="15" t="inlineStr">
        <is>
          <t>MADSON ELETROMETALURGICA LTDA</t>
        </is>
      </c>
      <c r="B465" s="16" t="n">
        <v>308189.05</v>
      </c>
      <c r="C465" s="17" t="inlineStr">
        <is>
          <t>aludida empresa</t>
        </is>
      </c>
      <c r="D465" s="18" t="inlineStr">
        <is>
          <t>NEW</t>
        </is>
      </c>
      <c r="E465" s="19" t="inlineStr"/>
      <c r="F465" s="18" t="inlineStr"/>
      <c r="G465" s="19" t="inlineStr"/>
      <c r="H465" s="18" t="inlineStr"/>
      <c r="I465" s="20" t="inlineStr">
        <is>
          <t>FERNANDO CELSO GRASSI FERREIRA XAVIER</t>
        </is>
      </c>
      <c r="J465" s="20" t="inlineStr">
        <is>
          <t>Sócio-Administrador</t>
        </is>
      </c>
      <c r="K465" s="20" t="inlineStr">
        <is>
          <t>(31) 2125-5236</t>
        </is>
      </c>
      <c r="L465" s="20" t="inlineStr">
        <is>
          <t>(31) 2125-5237</t>
        </is>
      </c>
      <c r="M465" s="20" t="inlineStr"/>
      <c r="N465" s="20" t="inlineStr"/>
      <c r="O465" s="20" t="inlineStr"/>
      <c r="P465" s="20" t="inlineStr">
        <is>
          <t>JOSE LUCIO COSTA</t>
        </is>
      </c>
      <c r="Q465" s="20" t="inlineStr">
        <is>
          <t>Sócio-Administrador</t>
        </is>
      </c>
      <c r="R465" s="20" t="inlineStr">
        <is>
          <t>(31) 2125-5237</t>
        </is>
      </c>
      <c r="S465" s="20" t="inlineStr"/>
      <c r="T465" s="21" t="n">
        <v>308189.05</v>
      </c>
      <c r="U465" s="31" t="inlineStr">
        <is>
          <t>C</t>
        </is>
      </c>
      <c r="V465" s="23">
        <f>IFERROR(VLOOKUP(U465,Assumptions!$A$7:$D$11,2,FALSE),0)</f>
        <v/>
      </c>
      <c r="W465" s="24">
        <f>MAX(0.5,IFERROR(VLOOKUP(U465,Assumptions!$A$7:$D$11,3,FALSE),3)+IFERROR(VLOOKUP(U465,Assumptions!$A$7:$D$11,4,FALSE),8)/2-IF(AN465="",0,YEAR(TODAY())-AN465))</f>
        <v/>
      </c>
      <c r="X465" s="21">
        <f>T465*V465/(1+Assumptions!$B$3)^W465</f>
        <v/>
      </c>
      <c r="Y465" s="25">
        <f>IF(T465=0,"",ROUND(X465/T465*100,1))</f>
        <v/>
      </c>
      <c r="Z465" s="26">
        <f>X465*Assumptions!$B$4</f>
        <v/>
      </c>
      <c r="AA465" s="25">
        <f>IF(T465=0,"",ROUND(Z465/T465*100,1))</f>
        <v/>
      </c>
      <c r="AB465" s="26">
        <f>X465-Z465</f>
        <v/>
      </c>
      <c r="AC465" s="25">
        <f>IF(T465=0,"",ROUND((X465-Z465)/T465*100,1))</f>
        <v/>
      </c>
      <c r="AD465" s="27" t="inlineStr">
        <is>
          <t>ESTIMATED</t>
        </is>
      </c>
      <c r="AE465" s="28" t="inlineStr">
        <is>
          <t>https://recuperacaojudicial.squarespace.com/s/RJ-Credimoveis-QGC-01082025.pdf</t>
        </is>
      </c>
      <c r="AF465" s="27" t="inlineStr">
        <is>
          <t>p16 r13</t>
        </is>
      </c>
      <c r="AG465" s="27" t="inlineStr">
        <is>
          <t>p16: R$ 308.189,05</t>
        </is>
      </c>
      <c r="AH465" s="27" t="inlineStr">
        <is>
          <t>QGC</t>
        </is>
      </c>
      <c r="AI465" s="27" t="inlineStr">
        <is>
          <t>2026-01-28</t>
        </is>
      </c>
      <c r="AJ465" s="27" t="inlineStr">
        <is>
          <t>OK</t>
        </is>
      </c>
      <c r="AK465" s="29" t="inlineStr">
        <is>
          <t>0007565-40.2020.8.17.2370</t>
        </is>
      </c>
      <c r="AL465" s="29" t="inlineStr">
        <is>
          <t>TJPE</t>
        </is>
      </c>
      <c r="AM465" s="29" t="inlineStr">
        <is>
          <t>ACTIVE</t>
        </is>
      </c>
      <c r="AN465" s="29" t="n">
        <v>2020</v>
      </c>
      <c r="AO465" s="29" t="inlineStr">
        <is>
          <t>6y since filing, no plan document</t>
        </is>
      </c>
      <c r="AP465" s="29" t="inlineStr">
        <is>
          <t>BELO HORIZONTE</t>
        </is>
      </c>
      <c r="AQ465" s="29" t="inlineStr">
        <is>
          <t>MG</t>
        </is>
      </c>
      <c r="AR465" s="29" t="inlineStr">
        <is>
          <t>Fabricação de fogões, refrigeradores e máquinas de lavar e secar para uso doméstico, peças e acessórios</t>
        </is>
      </c>
      <c r="AS465" s="29" t="inlineStr">
        <is>
          <t>DEMAIS</t>
        </is>
      </c>
      <c r="AT465" s="29" t="inlineStr">
        <is>
          <t>MID-MARKET</t>
        </is>
      </c>
      <c r="AU465" s="29" t="inlineStr">
        <is>
          <t>20520367</t>
        </is>
      </c>
      <c r="AV465" s="29" t="n">
        <v>1</v>
      </c>
      <c r="AW465" s="29" t="inlineStr">
        <is>
          <t>ROWS:p16r13</t>
        </is>
      </c>
    </row>
    <row r="466">
      <c r="A466" s="15" t="inlineStr">
        <is>
          <t>GPS EMPREENDIMENTOS LTDA - EM RECUPERACAO JUDICIAL</t>
        </is>
      </c>
      <c r="B466" s="16" t="n">
        <v>245892.54</v>
      </c>
      <c r="C466" s="17" t="inlineStr">
        <is>
          <t>Grupo Arnon de Mello — Lindoso e Araujo</t>
        </is>
      </c>
      <c r="D466" s="18" t="inlineStr">
        <is>
          <t>NEW</t>
        </is>
      </c>
      <c r="E466" s="19" t="inlineStr"/>
      <c r="F466" s="18" t="inlineStr"/>
      <c r="G466" s="19" t="inlineStr"/>
      <c r="H466" s="18" t="inlineStr"/>
      <c r="I466" s="20" t="inlineStr">
        <is>
          <t>CIRO STENIO PORTO</t>
        </is>
      </c>
      <c r="J466" s="20" t="inlineStr">
        <is>
          <t>Sócio-Administrador</t>
        </is>
      </c>
      <c r="K466" s="20" t="inlineStr">
        <is>
          <t>(82) 3377-1300</t>
        </is>
      </c>
      <c r="L466" s="20" t="inlineStr"/>
      <c r="M466" s="20" t="inlineStr"/>
      <c r="N466" s="20" t="inlineStr"/>
      <c r="O466" s="20" t="inlineStr"/>
      <c r="P466" s="20" t="inlineStr">
        <is>
          <t>DJACYR SOARES PEREIRA JUNIOR</t>
        </is>
      </c>
      <c r="Q466" s="20" t="inlineStr">
        <is>
          <t>Sócio-Administrador</t>
        </is>
      </c>
      <c r="R466" s="20" t="inlineStr">
        <is>
          <t>(82) 3377-1300</t>
        </is>
      </c>
      <c r="S466" s="20" t="inlineStr"/>
      <c r="T466" s="21" t="n">
        <v>245892.54</v>
      </c>
      <c r="U466" s="31" t="inlineStr">
        <is>
          <t>C</t>
        </is>
      </c>
      <c r="V466" s="23">
        <f>IFERROR(VLOOKUP(U466,Assumptions!$A$7:$D$11,2,FALSE),0)</f>
        <v/>
      </c>
      <c r="W466" s="24">
        <f>MAX(0.5,IFERROR(VLOOKUP(U466,Assumptions!$A$7:$D$11,3,FALSE),3)+IFERROR(VLOOKUP(U466,Assumptions!$A$7:$D$11,4,FALSE),8)/2-IF(AN466="",0,YEAR(TODAY())-AN466))</f>
        <v/>
      </c>
      <c r="X466" s="21">
        <f>T466*V466/(1+Assumptions!$B$3)^W466</f>
        <v/>
      </c>
      <c r="Y466" s="25">
        <f>IF(T466=0,"",ROUND(X466/T466*100,1))</f>
        <v/>
      </c>
      <c r="Z466" s="26">
        <f>X466*Assumptions!$B$4</f>
        <v/>
      </c>
      <c r="AA466" s="25">
        <f>IF(T466=0,"",ROUND(Z466/T466*100,1))</f>
        <v/>
      </c>
      <c r="AB466" s="26">
        <f>X466-Z466</f>
        <v/>
      </c>
      <c r="AC466" s="25">
        <f>IF(T466=0,"",ROUND((X466-Z466)/T466*100,1))</f>
        <v/>
      </c>
      <c r="AD466" s="27" t="inlineStr">
        <is>
          <t>UNKNOWN</t>
        </is>
      </c>
      <c r="AE466" s="28" t="inlineStr">
        <is>
          <t>https://recuperacaojudicial.squarespace.com/s/RJ-Grupo-Arnon-de-Melo-Lista-de-Credores-Consolidada-abril-2022.pdf</t>
        </is>
      </c>
      <c r="AF466" s="27" t="inlineStr">
        <is>
          <t>p8 r17</t>
        </is>
      </c>
      <c r="AG466" s="27" t="inlineStr">
        <is>
          <t>p8: R$ 245.892,54</t>
        </is>
      </c>
      <c r="AH466" s="27" t="inlineStr">
        <is>
          <t>AJ_LIST</t>
        </is>
      </c>
      <c r="AI466" s="27" t="inlineStr"/>
      <c r="AJ466" s="27" t="inlineStr">
        <is>
          <t>OK_NO_TOTALS</t>
        </is>
      </c>
      <c r="AK466" s="29" t="inlineStr">
        <is>
          <t>0700256-03.2019.8.02.0066</t>
        </is>
      </c>
      <c r="AL466" s="29" t="inlineStr">
        <is>
          <t>TJ</t>
        </is>
      </c>
      <c r="AM466" s="29" t="inlineStr"/>
      <c r="AN466" s="29" t="n">
        <v>2019</v>
      </c>
      <c r="AO466" s="29" t="inlineStr">
        <is>
          <t>7y since filing, no plan document</t>
        </is>
      </c>
      <c r="AP466" s="29" t="inlineStr">
        <is>
          <t>MACEIO</t>
        </is>
      </c>
      <c r="AQ466" s="29" t="inlineStr">
        <is>
          <t>AL</t>
        </is>
      </c>
      <c r="AR466" s="29" t="inlineStr">
        <is>
          <t>Construção de edifícios</t>
        </is>
      </c>
      <c r="AS466" s="29" t="inlineStr">
        <is>
          <t>EMPRESA DE PEQUENO PORTE</t>
        </is>
      </c>
      <c r="AT466" s="29" t="inlineStr">
        <is>
          <t>SMALL</t>
        </is>
      </c>
      <c r="AU466" s="29" t="inlineStr">
        <is>
          <t>02339308</t>
        </is>
      </c>
      <c r="AV466" s="29" t="n">
        <v>1</v>
      </c>
      <c r="AW466" s="29" t="inlineStr">
        <is>
          <t>ROWS:p8r17 UNRECONCILED_SOURCE</t>
        </is>
      </c>
    </row>
    <row r="467">
      <c r="A467" s="15" t="inlineStr">
        <is>
          <t>CONSTRUTORA HUMBERTO LOBO LTDA EM RECUPERACAO JUDICIAL</t>
        </is>
      </c>
      <c r="B467" s="16" t="n">
        <v>244838.03</v>
      </c>
      <c r="C467" s="17" t="inlineStr">
        <is>
          <t>Grupo Arnon de Mello — Lindoso e Araujo</t>
        </is>
      </c>
      <c r="D467" s="18" t="inlineStr">
        <is>
          <t>NEW</t>
        </is>
      </c>
      <c r="E467" s="19" t="inlineStr"/>
      <c r="F467" s="18" t="inlineStr"/>
      <c r="G467" s="19" t="inlineStr"/>
      <c r="H467" s="18" t="inlineStr"/>
      <c r="I467" s="20" t="inlineStr">
        <is>
          <t>JOSE HUMBERTO ROCHA LOBO</t>
        </is>
      </c>
      <c r="J467" s="20" t="inlineStr">
        <is>
          <t>Sócio-Administrador</t>
        </is>
      </c>
      <c r="K467" s="20" t="inlineStr">
        <is>
          <t>(82) 3241-3599</t>
        </is>
      </c>
      <c r="L467" s="20" t="inlineStr"/>
      <c r="M467" s="20" t="inlineStr"/>
      <c r="N467" s="20" t="inlineStr"/>
      <c r="O467" s="20" t="inlineStr"/>
      <c r="P467" s="20" t="inlineStr">
        <is>
          <t>MARIO HUMBERTO ROCHA LOBO</t>
        </is>
      </c>
      <c r="Q467" s="20" t="inlineStr">
        <is>
          <t>Sócio-Administrador</t>
        </is>
      </c>
      <c r="R467" s="20" t="inlineStr">
        <is>
          <t>(82) 3241-3599</t>
        </is>
      </c>
      <c r="S467" s="20" t="inlineStr"/>
      <c r="T467" s="21" t="n">
        <v>244838.03</v>
      </c>
      <c r="U467" s="31" t="inlineStr">
        <is>
          <t>C</t>
        </is>
      </c>
      <c r="V467" s="23">
        <f>IFERROR(VLOOKUP(U467,Assumptions!$A$7:$D$11,2,FALSE),0)</f>
        <v/>
      </c>
      <c r="W467" s="24">
        <f>MAX(0.5,IFERROR(VLOOKUP(U467,Assumptions!$A$7:$D$11,3,FALSE),3)+IFERROR(VLOOKUP(U467,Assumptions!$A$7:$D$11,4,FALSE),8)/2-IF(AN467="",0,YEAR(TODAY())-AN467))</f>
        <v/>
      </c>
      <c r="X467" s="21">
        <f>T467*V467/(1+Assumptions!$B$3)^W467</f>
        <v/>
      </c>
      <c r="Y467" s="25">
        <f>IF(T467=0,"",ROUND(X467/T467*100,1))</f>
        <v/>
      </c>
      <c r="Z467" s="26">
        <f>X467*Assumptions!$B$4</f>
        <v/>
      </c>
      <c r="AA467" s="25">
        <f>IF(T467=0,"",ROUND(Z467/T467*100,1))</f>
        <v/>
      </c>
      <c r="AB467" s="26">
        <f>X467-Z467</f>
        <v/>
      </c>
      <c r="AC467" s="25">
        <f>IF(T467=0,"",ROUND((X467-Z467)/T467*100,1))</f>
        <v/>
      </c>
      <c r="AD467" s="27" t="inlineStr">
        <is>
          <t>UNKNOWN</t>
        </is>
      </c>
      <c r="AE467" s="28" t="inlineStr">
        <is>
          <t>https://recuperacaojudicial.squarespace.com/s/RJ-Grupo-Arnon-de-Melo-Lista-de-Credores-Consolidada-abril-2022.pdf</t>
        </is>
      </c>
      <c r="AF467" s="27" t="inlineStr">
        <is>
          <t>p7 r52</t>
        </is>
      </c>
      <c r="AG467" s="27" t="inlineStr">
        <is>
          <t>p7: R$ 244.838,03</t>
        </is>
      </c>
      <c r="AH467" s="27" t="inlineStr">
        <is>
          <t>AJ_LIST</t>
        </is>
      </c>
      <c r="AI467" s="27" t="inlineStr"/>
      <c r="AJ467" s="27" t="inlineStr">
        <is>
          <t>OK_NO_TOTALS</t>
        </is>
      </c>
      <c r="AK467" s="29" t="inlineStr">
        <is>
          <t>0700256-03.2019.8.02.0066</t>
        </is>
      </c>
      <c r="AL467" s="29" t="inlineStr">
        <is>
          <t>TJ</t>
        </is>
      </c>
      <c r="AM467" s="29" t="inlineStr"/>
      <c r="AN467" s="29" t="n">
        <v>2019</v>
      </c>
      <c r="AO467" s="29" t="inlineStr">
        <is>
          <t>7y since filing, no plan document</t>
        </is>
      </c>
      <c r="AP467" s="29" t="inlineStr">
        <is>
          <t>MACEIO</t>
        </is>
      </c>
      <c r="AQ467" s="29" t="inlineStr">
        <is>
          <t>AL</t>
        </is>
      </c>
      <c r="AR467" s="29" t="inlineStr">
        <is>
          <t>Construção de edifícios</t>
        </is>
      </c>
      <c r="AS467" s="29" t="inlineStr">
        <is>
          <t>DEMAIS</t>
        </is>
      </c>
      <c r="AT467" s="29" t="inlineStr">
        <is>
          <t>MID-MARKET</t>
        </is>
      </c>
      <c r="AU467" s="29" t="inlineStr">
        <is>
          <t>12286944</t>
        </is>
      </c>
      <c r="AV467" s="29" t="n">
        <v>1</v>
      </c>
      <c r="AW467" s="29" t="inlineStr">
        <is>
          <t>ROWS:p7r52 UNRECONCILED_SOURCE</t>
        </is>
      </c>
    </row>
    <row r="468">
      <c r="A468" s="15" t="inlineStr">
        <is>
          <t>LINHASITA INDUSTRIA DE LINHAS PARA COSER LTDA</t>
        </is>
      </c>
      <c r="B468" s="16" t="n">
        <v>218971.2</v>
      </c>
      <c r="C468" s="17" t="inlineStr"/>
      <c r="D468" s="18" t="inlineStr">
        <is>
          <t>NEW</t>
        </is>
      </c>
      <c r="E468" s="19" t="inlineStr"/>
      <c r="F468" s="18" t="inlineStr"/>
      <c r="G468" s="19" t="inlineStr"/>
      <c r="H468" s="18" t="inlineStr"/>
      <c r="I468" s="20" t="inlineStr">
        <is>
          <t>FERNANDA VALERIA ROSSI</t>
        </is>
      </c>
      <c r="J468" s="20" t="inlineStr">
        <is>
          <t>Sócio-Administrador</t>
        </is>
      </c>
      <c r="K468" s="20" t="inlineStr">
        <is>
          <t>(11) 4487-6600</t>
        </is>
      </c>
      <c r="L468" s="20" t="inlineStr"/>
      <c r="M468" s="20" t="inlineStr"/>
      <c r="N468" s="20" t="inlineStr"/>
      <c r="O468" s="20" t="inlineStr"/>
      <c r="P468" s="20" t="inlineStr">
        <is>
          <t>MARCIA REGINA ROSSI</t>
        </is>
      </c>
      <c r="Q468" s="20" t="inlineStr">
        <is>
          <t>Sócio-Administrador</t>
        </is>
      </c>
      <c r="R468" s="20" t="inlineStr">
        <is>
          <t>(11) 4487-6600</t>
        </is>
      </c>
      <c r="S468" s="20" t="inlineStr"/>
      <c r="T468" s="21" t="n">
        <v>218971.2</v>
      </c>
      <c r="U468" s="31" t="inlineStr">
        <is>
          <t>C</t>
        </is>
      </c>
      <c r="V468" s="23">
        <f>IFERROR(VLOOKUP(U468,Assumptions!$A$7:$D$11,2,FALSE),0)</f>
        <v/>
      </c>
      <c r="W468" s="24">
        <f>MAX(0.5,IFERROR(VLOOKUP(U468,Assumptions!$A$7:$D$11,3,FALSE),3)+IFERROR(VLOOKUP(U468,Assumptions!$A$7:$D$11,4,FALSE),8)/2-IF(AN468="",0,YEAR(TODAY())-AN468))</f>
        <v/>
      </c>
      <c r="X468" s="21">
        <f>T468*V468/(1+Assumptions!$B$3)^W468</f>
        <v/>
      </c>
      <c r="Y468" s="25">
        <f>IF(T468=0,"",ROUND(X468/T468*100,1))</f>
        <v/>
      </c>
      <c r="Z468" s="26">
        <f>X468*Assumptions!$B$4</f>
        <v/>
      </c>
      <c r="AA468" s="25">
        <f>IF(T468=0,"",ROUND(Z468/T468*100,1))</f>
        <v/>
      </c>
      <c r="AB468" s="26">
        <f>X468-Z468</f>
        <v/>
      </c>
      <c r="AC468" s="25">
        <f>IF(T468=0,"",ROUND((X468-Z468)/T468*100,1))</f>
        <v/>
      </c>
      <c r="AD468" s="27" t="inlineStr">
        <is>
          <t>UNKNOWN</t>
        </is>
      </c>
      <c r="AE468" s="28" t="inlineStr">
        <is>
          <t>https://administradorajudicialgs.com.br/wp-content/uploads/2024/12/relacao-de-credores-da-falida.pdf</t>
        </is>
      </c>
      <c r="AF468" s="27" t="inlineStr">
        <is>
          <t>p16 r15</t>
        </is>
      </c>
      <c r="AG468" s="27" t="inlineStr">
        <is>
          <t>p16: R$ 218.971,20</t>
        </is>
      </c>
      <c r="AH468" s="27" t="inlineStr">
        <is>
          <t>UNKNOWN</t>
        </is>
      </c>
      <c r="AI468" s="27" t="inlineStr">
        <is>
          <t>2025-03-25</t>
        </is>
      </c>
      <c r="AJ468" s="27" t="inlineStr">
        <is>
          <t>OK_NO_TOTALS</t>
        </is>
      </c>
      <c r="AK468" s="29" t="inlineStr">
        <is>
          <t>0005010-50.2013.8.24.0026</t>
        </is>
      </c>
      <c r="AL468" s="29" t="inlineStr">
        <is>
          <t>TJ</t>
        </is>
      </c>
      <c r="AM468" s="29" t="inlineStr"/>
      <c r="AN468" s="29" t="n">
        <v>2013</v>
      </c>
      <c r="AO468" s="29" t="inlineStr">
        <is>
          <t>13y since filing, no plan document</t>
        </is>
      </c>
      <c r="AP468" s="29" t="inlineStr">
        <is>
          <t>ITATIBA</t>
        </is>
      </c>
      <c r="AQ468" s="29" t="inlineStr">
        <is>
          <t>SP</t>
        </is>
      </c>
      <c r="AR468" s="29" t="inlineStr">
        <is>
          <t>Fabricação de linhas para costurar e bordar</t>
        </is>
      </c>
      <c r="AS468" s="29" t="inlineStr">
        <is>
          <t>DEMAIS</t>
        </is>
      </c>
      <c r="AT468" s="29" t="inlineStr">
        <is>
          <t>MID-MARKET</t>
        </is>
      </c>
      <c r="AU468" s="29" t="inlineStr">
        <is>
          <t>46645768</t>
        </is>
      </c>
      <c r="AV468" s="29" t="n">
        <v>1</v>
      </c>
      <c r="AW468" s="29" t="inlineStr">
        <is>
          <t>ROWS:p16r15 UNRECONCILED_SOURCE</t>
        </is>
      </c>
    </row>
    <row r="469">
      <c r="A469" s="15" t="inlineStr">
        <is>
          <t>BELCAR CAMINHOES E MAQUINAS LTDA</t>
        </is>
      </c>
      <c r="B469" s="16" t="n">
        <v>277586.31</v>
      </c>
      <c r="C469" s="17" t="inlineStr">
        <is>
          <t>COMERCIO RACOES BEM BOM LTDA</t>
        </is>
      </c>
      <c r="D469" s="18" t="inlineStr">
        <is>
          <t>NEW</t>
        </is>
      </c>
      <c r="E469" s="19" t="inlineStr"/>
      <c r="F469" s="18" t="inlineStr"/>
      <c r="G469" s="19" t="inlineStr"/>
      <c r="H469" s="18" t="inlineStr"/>
      <c r="I469" s="20" t="inlineStr">
        <is>
          <t>FRANCO JOSE GEDDA</t>
        </is>
      </c>
      <c r="J469" s="20" t="inlineStr">
        <is>
          <t>Sócio-Administrador</t>
        </is>
      </c>
      <c r="K469" s="20" t="inlineStr">
        <is>
          <t>(62) 3239-9600</t>
        </is>
      </c>
      <c r="L469" s="20" t="inlineStr"/>
      <c r="M469" s="20" t="inlineStr"/>
      <c r="N469" s="20" t="inlineStr"/>
      <c r="O469" s="20" t="inlineStr"/>
      <c r="P469" s="20" t="inlineStr">
        <is>
          <t>JOSE GEDDA NETO</t>
        </is>
      </c>
      <c r="Q469" s="20" t="inlineStr">
        <is>
          <t>Sócio-Administrador</t>
        </is>
      </c>
      <c r="R469" s="20" t="inlineStr">
        <is>
          <t>(62) 3239-9600</t>
        </is>
      </c>
      <c r="S469" s="20" t="inlineStr"/>
      <c r="T469" s="21" t="n">
        <v>277586.31</v>
      </c>
      <c r="U469" s="32" t="inlineStr">
        <is>
          <t>A</t>
        </is>
      </c>
      <c r="V469" s="23">
        <f>IFERROR(VLOOKUP(U469,Assumptions!$A$7:$D$11,2,FALSE),0)</f>
        <v/>
      </c>
      <c r="W469" s="24">
        <f>MAX(0.5,IFERROR(VLOOKUP(U469,Assumptions!$A$7:$D$11,3,FALSE),3)+IFERROR(VLOOKUP(U469,Assumptions!$A$7:$D$11,4,FALSE),8)/2-IF(AN469="",0,YEAR(TODAY())-AN469))</f>
        <v/>
      </c>
      <c r="X469" s="21">
        <f>T469*V469/(1+Assumptions!$B$3)^W469</f>
        <v/>
      </c>
      <c r="Y469" s="25">
        <f>IF(T469=0,"",ROUND(X469/T469*100,1))</f>
        <v/>
      </c>
      <c r="Z469" s="26">
        <f>X469*Assumptions!$B$4</f>
        <v/>
      </c>
      <c r="AA469" s="25">
        <f>IF(T469=0,"",ROUND(Z469/T469*100,1))</f>
        <v/>
      </c>
      <c r="AB469" s="26">
        <f>X469-Z469</f>
        <v/>
      </c>
      <c r="AC469" s="25">
        <f>IF(T469=0,"",ROUND((X469-Z469)/T469*100,1))</f>
        <v/>
      </c>
      <c r="AD469" s="27" t="inlineStr">
        <is>
          <t>CONFIRMED</t>
        </is>
      </c>
      <c r="AE469" s="28" t="inlineStr">
        <is>
          <t>https://stenius.com.br/wp-content/uploads/2026/06/EDITAL-GRUPO-3E.pdf</t>
        </is>
      </c>
      <c r="AF469" s="27" t="inlineStr">
        <is>
          <t>p10 r49</t>
        </is>
      </c>
      <c r="AG469" s="27" t="inlineStr">
        <is>
          <t>p10: R$ 277.586,31</t>
        </is>
      </c>
      <c r="AH469" s="27" t="inlineStr">
        <is>
          <t>DEBTOR_LIST</t>
        </is>
      </c>
      <c r="AI469" s="27" t="inlineStr">
        <is>
          <t>2026-06-22</t>
        </is>
      </c>
      <c r="AJ469" s="27" t="inlineStr">
        <is>
          <t>OK_NO_TOTALS</t>
        </is>
      </c>
      <c r="AK469" s="29" t="inlineStr">
        <is>
          <t>5341375-33.2026.8.09.0049</t>
        </is>
      </c>
      <c r="AL469" s="29" t="inlineStr">
        <is>
          <t>TJGO</t>
        </is>
      </c>
      <c r="AM469" s="29" t="inlineStr">
        <is>
          <t>ACTIVE</t>
        </is>
      </c>
      <c r="AN469" s="29" t="n">
        <v>2026</v>
      </c>
      <c r="AO469" s="29" t="inlineStr">
        <is>
          <t>plan/homologation document found</t>
        </is>
      </c>
      <c r="AP469" s="29" t="inlineStr">
        <is>
          <t>GOIANIA</t>
        </is>
      </c>
      <c r="AQ469" s="29" t="inlineStr">
        <is>
          <t>GO</t>
        </is>
      </c>
      <c r="AR469" s="29" t="inlineStr">
        <is>
          <t>Comércio por atacado de caminhões novos e usados</t>
        </is>
      </c>
      <c r="AS469" s="29" t="inlineStr">
        <is>
          <t>DEMAIS</t>
        </is>
      </c>
      <c r="AT469" s="29" t="inlineStr">
        <is>
          <t>MID-MARKET</t>
        </is>
      </c>
      <c r="AU469" s="29" t="inlineStr">
        <is>
          <t>02212918</t>
        </is>
      </c>
      <c r="AV469" s="29" t="n">
        <v>1</v>
      </c>
      <c r="AW469" s="29" t="inlineStr">
        <is>
          <t>ROWS:p10r49 UNRECONCILED_SOURCE</t>
        </is>
      </c>
    </row>
    <row r="470">
      <c r="A470" s="15" t="inlineStr">
        <is>
          <t>I. F. DOS SANTOS &amp; CIA LTDA</t>
        </is>
      </c>
      <c r="B470" s="16" t="n">
        <v>301720.99</v>
      </c>
      <c r="C470" s="17" t="inlineStr">
        <is>
          <t>aludida empresa</t>
        </is>
      </c>
      <c r="D470" s="18" t="inlineStr">
        <is>
          <t>NEW</t>
        </is>
      </c>
      <c r="E470" s="19" t="inlineStr"/>
      <c r="F470" s="18" t="inlineStr"/>
      <c r="G470" s="19" t="inlineStr"/>
      <c r="H470" s="18" t="inlineStr"/>
      <c r="I470" s="20" t="inlineStr">
        <is>
          <t>IVAN FERREIRA DOS SANTOS</t>
        </is>
      </c>
      <c r="J470" s="20" t="inlineStr">
        <is>
          <t>Sócio-Administrador</t>
        </is>
      </c>
      <c r="K470" s="20" t="inlineStr">
        <is>
          <t>(81) 9649-1169</t>
        </is>
      </c>
      <c r="L470" s="20" t="inlineStr"/>
      <c r="M470" s="20" t="inlineStr"/>
      <c r="N470" s="20" t="inlineStr"/>
      <c r="O470" s="20" t="inlineStr"/>
      <c r="P470" s="20" t="inlineStr">
        <is>
          <t>JOSELMA JOSE DE LIMA SANTOS</t>
        </is>
      </c>
      <c r="Q470" s="20" t="inlineStr">
        <is>
          <t>Sócio-Administrador</t>
        </is>
      </c>
      <c r="R470" s="20" t="inlineStr">
        <is>
          <t>(81) 9649-1169</t>
        </is>
      </c>
      <c r="S470" s="20" t="inlineStr"/>
      <c r="T470" s="21" t="n">
        <v>301720.99</v>
      </c>
      <c r="U470" s="31" t="inlineStr">
        <is>
          <t>C</t>
        </is>
      </c>
      <c r="V470" s="23">
        <f>IFERROR(VLOOKUP(U470,Assumptions!$A$7:$D$11,2,FALSE),0)</f>
        <v/>
      </c>
      <c r="W470" s="24">
        <f>MAX(0.5,IFERROR(VLOOKUP(U470,Assumptions!$A$7:$D$11,3,FALSE),3)+IFERROR(VLOOKUP(U470,Assumptions!$A$7:$D$11,4,FALSE),8)/2-IF(AN470="",0,YEAR(TODAY())-AN470))</f>
        <v/>
      </c>
      <c r="X470" s="21">
        <f>T470*V470/(1+Assumptions!$B$3)^W470</f>
        <v/>
      </c>
      <c r="Y470" s="25">
        <f>IF(T470=0,"",ROUND(X470/T470*100,1))</f>
        <v/>
      </c>
      <c r="Z470" s="26">
        <f>X470*Assumptions!$B$4</f>
        <v/>
      </c>
      <c r="AA470" s="25">
        <f>IF(T470=0,"",ROUND(Z470/T470*100,1))</f>
        <v/>
      </c>
      <c r="AB470" s="26">
        <f>X470-Z470</f>
        <v/>
      </c>
      <c r="AC470" s="25">
        <f>IF(T470=0,"",ROUND((X470-Z470)/T470*100,1))</f>
        <v/>
      </c>
      <c r="AD470" s="27" t="inlineStr">
        <is>
          <t>ESTIMATED</t>
        </is>
      </c>
      <c r="AE470" s="28" t="inlineStr">
        <is>
          <t>https://recuperacaojudicial.squarespace.com/s/RJ-Credimoveis-QGC-01082025.pdf</t>
        </is>
      </c>
      <c r="AF470" s="27" t="inlineStr">
        <is>
          <t>p15 r51</t>
        </is>
      </c>
      <c r="AG470" s="27" t="inlineStr">
        <is>
          <t>p15: R$ 301.720,99</t>
        </is>
      </c>
      <c r="AH470" s="27" t="inlineStr">
        <is>
          <t>QGC</t>
        </is>
      </c>
      <c r="AI470" s="27" t="inlineStr">
        <is>
          <t>2026-01-28</t>
        </is>
      </c>
      <c r="AJ470" s="27" t="inlineStr">
        <is>
          <t>OK</t>
        </is>
      </c>
      <c r="AK470" s="29" t="inlineStr">
        <is>
          <t>0007565-40.2020.8.17.2370</t>
        </is>
      </c>
      <c r="AL470" s="29" t="inlineStr">
        <is>
          <t>TJPE</t>
        </is>
      </c>
      <c r="AM470" s="29" t="inlineStr">
        <is>
          <t>ACTIVE</t>
        </is>
      </c>
      <c r="AN470" s="29" t="n">
        <v>2020</v>
      </c>
      <c r="AO470" s="29" t="inlineStr">
        <is>
          <t>6y since filing, no plan document</t>
        </is>
      </c>
      <c r="AP470" s="29" t="inlineStr">
        <is>
          <t>JOAO ALFREDO</t>
        </is>
      </c>
      <c r="AQ470" s="29" t="inlineStr">
        <is>
          <t>PE</t>
        </is>
      </c>
      <c r="AR470" s="29" t="inlineStr">
        <is>
          <t>Fabricação de móveis com predominância de madeira</t>
        </is>
      </c>
      <c r="AS470" s="29" t="inlineStr">
        <is>
          <t>DEMAIS</t>
        </is>
      </c>
      <c r="AT470" s="29" t="inlineStr">
        <is>
          <t>MID-MARKET</t>
        </is>
      </c>
      <c r="AU470" s="29" t="inlineStr">
        <is>
          <t>10758022</t>
        </is>
      </c>
      <c r="AV470" s="29" t="n">
        <v>1</v>
      </c>
      <c r="AW470" s="29" t="inlineStr">
        <is>
          <t>ROWS:p15r51</t>
        </is>
      </c>
    </row>
    <row r="471">
      <c r="A471" s="15" t="inlineStr">
        <is>
          <t>LT QUIMICA LTDA</t>
        </is>
      </c>
      <c r="B471" s="16" t="n">
        <v>235156.14</v>
      </c>
      <c r="C471" s="17" t="inlineStr">
        <is>
          <t>DIVINA INDUSTRIA DE COURO LTDA - EM RECUPERACAO JUDICIAL</t>
        </is>
      </c>
      <c r="D471" s="18" t="inlineStr">
        <is>
          <t>NEW</t>
        </is>
      </c>
      <c r="E471" s="19" t="inlineStr"/>
      <c r="F471" s="18" t="inlineStr"/>
      <c r="G471" s="19" t="inlineStr"/>
      <c r="H471" s="18" t="inlineStr"/>
      <c r="I471" s="20" t="inlineStr">
        <is>
          <t>CARLOS ADOLFO BECKER</t>
        </is>
      </c>
      <c r="J471" s="20" t="inlineStr">
        <is>
          <t>Sócio-Administrador</t>
        </is>
      </c>
      <c r="K471" s="20" t="inlineStr">
        <is>
          <t>(51) 3561-6000</t>
        </is>
      </c>
      <c r="L471" s="20" t="inlineStr"/>
      <c r="M471" s="20" t="inlineStr"/>
      <c r="N471" s="20" t="inlineStr"/>
      <c r="O471" s="20" t="inlineStr"/>
      <c r="P471" s="20" t="inlineStr">
        <is>
          <t>GILMAR PEREIRA LOURENCO</t>
        </is>
      </c>
      <c r="Q471" s="20" t="inlineStr">
        <is>
          <t>Administrador</t>
        </is>
      </c>
      <c r="R471" s="20" t="inlineStr">
        <is>
          <t>(51) 3561-6000</t>
        </is>
      </c>
      <c r="S471" s="20" t="inlineStr"/>
      <c r="T471" s="21" t="n">
        <v>235156.14</v>
      </c>
      <c r="U471" s="22" t="inlineStr">
        <is>
          <t>B</t>
        </is>
      </c>
      <c r="V471" s="23">
        <f>IFERROR(VLOOKUP(U471,Assumptions!$A$7:$D$11,2,FALSE),0)</f>
        <v/>
      </c>
      <c r="W471" s="24">
        <f>MAX(0.5,IFERROR(VLOOKUP(U471,Assumptions!$A$7:$D$11,3,FALSE),3)+IFERROR(VLOOKUP(U471,Assumptions!$A$7:$D$11,4,FALSE),8)/2-IF(AN471="",0,YEAR(TODAY())-AN471))</f>
        <v/>
      </c>
      <c r="X471" s="21">
        <f>T471*V471/(1+Assumptions!$B$3)^W471</f>
        <v/>
      </c>
      <c r="Y471" s="25">
        <f>IF(T471=0,"",ROUND(X471/T471*100,1))</f>
        <v/>
      </c>
      <c r="Z471" s="26">
        <f>X471*Assumptions!$B$4</f>
        <v/>
      </c>
      <c r="AA471" s="25">
        <f>IF(T471=0,"",ROUND(Z471/T471*100,1))</f>
        <v/>
      </c>
      <c r="AB471" s="26">
        <f>X471-Z471</f>
        <v/>
      </c>
      <c r="AC471" s="25">
        <f>IF(T471=0,"",ROUND((X471-Z471)/T471*100,1))</f>
        <v/>
      </c>
      <c r="AD471" s="27" t="inlineStr">
        <is>
          <t>ESTIMATED</t>
        </is>
      </c>
      <c r="AE471" s="28" t="inlineStr">
        <is>
          <t>https://lrflideres.com.br/wp-content/plugins/download-attachments/includes/download.php?id=6252</t>
        </is>
      </c>
      <c r="AF471" s="27" t="inlineStr">
        <is>
          <t>p2 r58</t>
        </is>
      </c>
      <c r="AG471" s="27" t="inlineStr">
        <is>
          <t>p2: R$ 235.156,14</t>
        </is>
      </c>
      <c r="AH471" s="27" t="inlineStr">
        <is>
          <t>AJ_LIST</t>
        </is>
      </c>
      <c r="AI471" s="27" t="inlineStr">
        <is>
          <t>2024-11-27</t>
        </is>
      </c>
      <c r="AJ471" s="27" t="inlineStr">
        <is>
          <t>QUARANTINED</t>
        </is>
      </c>
      <c r="AK471" s="29" t="inlineStr">
        <is>
          <t>0000721-61.2024.8.17.2620</t>
        </is>
      </c>
      <c r="AL471" s="29" t="inlineStr">
        <is>
          <t>TJPE</t>
        </is>
      </c>
      <c r="AM471" s="29" t="inlineStr">
        <is>
          <t>ACTIVE</t>
        </is>
      </c>
      <c r="AN471" s="29" t="n">
        <v>2024</v>
      </c>
      <c r="AO471" s="29" t="inlineStr">
        <is>
          <t>live case, no plan document yet</t>
        </is>
      </c>
      <c r="AP471" s="29" t="inlineStr">
        <is>
          <t>ESTANCIA VELHA</t>
        </is>
      </c>
      <c r="AQ471" s="29" t="inlineStr">
        <is>
          <t>RS</t>
        </is>
      </c>
      <c r="AR471" s="29" t="inlineStr">
        <is>
          <t>Comércio atacadista especializado em outros produtos intermediários não especificados anteriormente</t>
        </is>
      </c>
      <c r="AS471" s="29" t="inlineStr">
        <is>
          <t>DEMAIS</t>
        </is>
      </c>
      <c r="AT471" s="29" t="inlineStr">
        <is>
          <t>MID-MARKET</t>
        </is>
      </c>
      <c r="AU471" s="29" t="inlineStr">
        <is>
          <t>04327273</t>
        </is>
      </c>
      <c r="AV471" s="29" t="n">
        <v>1</v>
      </c>
      <c r="AW471" s="29" t="inlineStr">
        <is>
          <t>PARTIAL_DOC_CLASS_III_RECONCILED ROWS:p2r58</t>
        </is>
      </c>
    </row>
    <row r="472">
      <c r="A472" s="15" t="inlineStr">
        <is>
          <t>J. CONFORT FABRICACAO DE MOVEIS E ESTOFADOS LTDA</t>
        </is>
      </c>
      <c r="B472" s="16" t="n">
        <v>300559.34</v>
      </c>
      <c r="C472" s="17" t="inlineStr">
        <is>
          <t>aludida empresa</t>
        </is>
      </c>
      <c r="D472" s="18" t="inlineStr">
        <is>
          <t>NEW</t>
        </is>
      </c>
      <c r="E472" s="19" t="inlineStr"/>
      <c r="F472" s="18" t="inlineStr"/>
      <c r="G472" s="19" t="inlineStr"/>
      <c r="H472" s="18" t="inlineStr"/>
      <c r="I472" s="20" t="inlineStr">
        <is>
          <t>JOSE SILVINO DA SILVA FILHO</t>
        </is>
      </c>
      <c r="J472" s="20" t="inlineStr">
        <is>
          <t>Sócio-Administrador</t>
        </is>
      </c>
      <c r="K472" s="20" t="inlineStr">
        <is>
          <t>(81) 3628-1296</t>
        </is>
      </c>
      <c r="L472" s="20" t="inlineStr"/>
      <c r="M472" s="20" t="inlineStr"/>
      <c r="N472" s="20" t="inlineStr"/>
      <c r="O472" s="20" t="inlineStr"/>
      <c r="P472" s="20" t="inlineStr"/>
      <c r="Q472" s="20" t="inlineStr"/>
      <c r="R472" s="20" t="inlineStr"/>
      <c r="S472" s="20" t="inlineStr"/>
      <c r="T472" s="21" t="n">
        <v>300559.34</v>
      </c>
      <c r="U472" s="31" t="inlineStr">
        <is>
          <t>C</t>
        </is>
      </c>
      <c r="V472" s="23">
        <f>IFERROR(VLOOKUP(U472,Assumptions!$A$7:$D$11,2,FALSE),0)</f>
        <v/>
      </c>
      <c r="W472" s="24">
        <f>MAX(0.5,IFERROR(VLOOKUP(U472,Assumptions!$A$7:$D$11,3,FALSE),3)+IFERROR(VLOOKUP(U472,Assumptions!$A$7:$D$11,4,FALSE),8)/2-IF(AN472="",0,YEAR(TODAY())-AN472))</f>
        <v/>
      </c>
      <c r="X472" s="21">
        <f>T472*V472/(1+Assumptions!$B$3)^W472</f>
        <v/>
      </c>
      <c r="Y472" s="25">
        <f>IF(T472=0,"",ROUND(X472/T472*100,1))</f>
        <v/>
      </c>
      <c r="Z472" s="26">
        <f>X472*Assumptions!$B$4</f>
        <v/>
      </c>
      <c r="AA472" s="25">
        <f>IF(T472=0,"",ROUND(Z472/T472*100,1))</f>
        <v/>
      </c>
      <c r="AB472" s="26">
        <f>X472-Z472</f>
        <v/>
      </c>
      <c r="AC472" s="25">
        <f>IF(T472=0,"",ROUND((X472-Z472)/T472*100,1))</f>
        <v/>
      </c>
      <c r="AD472" s="27" t="inlineStr">
        <is>
          <t>ESTIMATED</t>
        </is>
      </c>
      <c r="AE472" s="28" t="inlineStr">
        <is>
          <t>https://recuperacaojudicial.squarespace.com/s/RJ-Credimoveis-QGC-01082025.pdf</t>
        </is>
      </c>
      <c r="AF472" s="27" t="inlineStr">
        <is>
          <t>p16 r1</t>
        </is>
      </c>
      <c r="AG472" s="27" t="inlineStr">
        <is>
          <t>p16: R$ 300.559,34</t>
        </is>
      </c>
      <c r="AH472" s="27" t="inlineStr">
        <is>
          <t>QGC</t>
        </is>
      </c>
      <c r="AI472" s="27" t="inlineStr">
        <is>
          <t>2026-01-28</t>
        </is>
      </c>
      <c r="AJ472" s="27" t="inlineStr">
        <is>
          <t>OK</t>
        </is>
      </c>
      <c r="AK472" s="29" t="inlineStr">
        <is>
          <t>0007565-40.2020.8.17.2370</t>
        </is>
      </c>
      <c r="AL472" s="29" t="inlineStr">
        <is>
          <t>TJPE</t>
        </is>
      </c>
      <c r="AM472" s="29" t="inlineStr">
        <is>
          <t>ACTIVE</t>
        </is>
      </c>
      <c r="AN472" s="29" t="n">
        <v>2020</v>
      </c>
      <c r="AO472" s="29" t="inlineStr">
        <is>
          <t>6y since filing, no plan document</t>
        </is>
      </c>
      <c r="AP472" s="29" t="inlineStr">
        <is>
          <t>JOAO ALFREDO</t>
        </is>
      </c>
      <c r="AQ472" s="29" t="inlineStr">
        <is>
          <t>PE</t>
        </is>
      </c>
      <c r="AR472" s="29" t="inlineStr">
        <is>
          <t>Fabricação de móveis com predominância de madeira</t>
        </is>
      </c>
      <c r="AS472" s="29" t="inlineStr">
        <is>
          <t>DEMAIS</t>
        </is>
      </c>
      <c r="AT472" s="29" t="inlineStr">
        <is>
          <t>MID-MARKET</t>
        </is>
      </c>
      <c r="AU472" s="29" t="inlineStr">
        <is>
          <t>11324540</t>
        </is>
      </c>
      <c r="AV472" s="29" t="n">
        <v>1</v>
      </c>
      <c r="AW472" s="29" t="inlineStr">
        <is>
          <t>ROWS:p16r1</t>
        </is>
      </c>
    </row>
    <row r="473">
      <c r="A473" s="15" t="inlineStr">
        <is>
          <t>EMPREENDIMENTO IMOBILIARIO IB GATTO SPE LTDA - EM RECUPERACAO JUDICIAL</t>
        </is>
      </c>
      <c r="B473" s="16" t="n">
        <v>239311.13</v>
      </c>
      <c r="C473" s="17" t="inlineStr">
        <is>
          <t>Grupo Arnon de Mello — Lindoso e Araujo</t>
        </is>
      </c>
      <c r="D473" s="18" t="inlineStr">
        <is>
          <t>NEW</t>
        </is>
      </c>
      <c r="E473" s="19" t="inlineStr"/>
      <c r="F473" s="18" t="inlineStr"/>
      <c r="G473" s="19" t="inlineStr"/>
      <c r="H473" s="18" t="inlineStr"/>
      <c r="I473" s="20" t="inlineStr">
        <is>
          <t>GELSON LUIZ CERUTTI</t>
        </is>
      </c>
      <c r="J473" s="20" t="inlineStr">
        <is>
          <t>Sócio-Administrador</t>
        </is>
      </c>
      <c r="K473" s="20" t="inlineStr">
        <is>
          <t>(82) 1111-1111</t>
        </is>
      </c>
      <c r="L473" s="20" t="inlineStr">
        <is>
          <t>(82) 1111-1111</t>
        </is>
      </c>
      <c r="M473" s="20" t="inlineStr"/>
      <c r="N473" s="20" t="inlineStr"/>
      <c r="O473" s="20" t="inlineStr"/>
      <c r="P473" s="20" t="inlineStr"/>
      <c r="Q473" s="20" t="inlineStr"/>
      <c r="R473" s="20" t="inlineStr"/>
      <c r="S473" s="20" t="inlineStr"/>
      <c r="T473" s="21" t="n">
        <v>239311.13</v>
      </c>
      <c r="U473" s="31" t="inlineStr">
        <is>
          <t>C</t>
        </is>
      </c>
      <c r="V473" s="23">
        <f>IFERROR(VLOOKUP(U473,Assumptions!$A$7:$D$11,2,FALSE),0)</f>
        <v/>
      </c>
      <c r="W473" s="24">
        <f>MAX(0.5,IFERROR(VLOOKUP(U473,Assumptions!$A$7:$D$11,3,FALSE),3)+IFERROR(VLOOKUP(U473,Assumptions!$A$7:$D$11,4,FALSE),8)/2-IF(AN473="",0,YEAR(TODAY())-AN473))</f>
        <v/>
      </c>
      <c r="X473" s="21">
        <f>T473*V473/(1+Assumptions!$B$3)^W473</f>
        <v/>
      </c>
      <c r="Y473" s="25">
        <f>IF(T473=0,"",ROUND(X473/T473*100,1))</f>
        <v/>
      </c>
      <c r="Z473" s="26">
        <f>X473*Assumptions!$B$4</f>
        <v/>
      </c>
      <c r="AA473" s="25">
        <f>IF(T473=0,"",ROUND(Z473/T473*100,1))</f>
        <v/>
      </c>
      <c r="AB473" s="26">
        <f>X473-Z473</f>
        <v/>
      </c>
      <c r="AC473" s="25">
        <f>IF(T473=0,"",ROUND((X473-Z473)/T473*100,1))</f>
        <v/>
      </c>
      <c r="AD473" s="27" t="inlineStr">
        <is>
          <t>UNKNOWN</t>
        </is>
      </c>
      <c r="AE473" s="28" t="inlineStr">
        <is>
          <t>https://recuperacaojudicial.squarespace.com/s/RJ-Grupo-Arnon-de-Melo-Lista-de-Credores-Consolidada-abril-2022.pdf</t>
        </is>
      </c>
      <c r="AF473" s="27" t="inlineStr">
        <is>
          <t>p7 r68</t>
        </is>
      </c>
      <c r="AG473" s="27" t="inlineStr">
        <is>
          <t>p7: R$ 239.311,13</t>
        </is>
      </c>
      <c r="AH473" s="27" t="inlineStr">
        <is>
          <t>AJ_LIST</t>
        </is>
      </c>
      <c r="AI473" s="27" t="inlineStr"/>
      <c r="AJ473" s="27" t="inlineStr">
        <is>
          <t>OK_NO_TOTALS</t>
        </is>
      </c>
      <c r="AK473" s="29" t="inlineStr">
        <is>
          <t>0700256-03.2019.8.02.0066</t>
        </is>
      </c>
      <c r="AL473" s="29" t="inlineStr">
        <is>
          <t>TJ</t>
        </is>
      </c>
      <c r="AM473" s="29" t="inlineStr"/>
      <c r="AN473" s="29" t="n">
        <v>2019</v>
      </c>
      <c r="AO473" s="29" t="inlineStr">
        <is>
          <t>7y since filing, no plan document</t>
        </is>
      </c>
      <c r="AP473" s="29" t="inlineStr">
        <is>
          <t>MACEIO</t>
        </is>
      </c>
      <c r="AQ473" s="29" t="inlineStr">
        <is>
          <t>AL</t>
        </is>
      </c>
      <c r="AR473" s="29" t="inlineStr">
        <is>
          <t>Construção de edifícios</t>
        </is>
      </c>
      <c r="AS473" s="29" t="inlineStr">
        <is>
          <t>DEMAIS</t>
        </is>
      </c>
      <c r="AT473" s="29" t="inlineStr">
        <is>
          <t>MID-MARKET</t>
        </is>
      </c>
      <c r="AU473" s="29" t="inlineStr">
        <is>
          <t>15640226</t>
        </is>
      </c>
      <c r="AV473" s="29" t="n">
        <v>1</v>
      </c>
      <c r="AW473" s="29" t="inlineStr">
        <is>
          <t>ROWS:p7r68 UNRECONCILED_SOURCE</t>
        </is>
      </c>
    </row>
    <row r="474">
      <c r="A474" s="15" t="inlineStr">
        <is>
          <t>TRADESTAR IMPORTACAO E EXPORTACAO LTDA</t>
        </is>
      </c>
      <c r="B474" s="16" t="n">
        <v>210630</v>
      </c>
      <c r="C474" s="17" t="inlineStr"/>
      <c r="D474" s="18" t="inlineStr">
        <is>
          <t>NEW</t>
        </is>
      </c>
      <c r="E474" s="19" t="inlineStr"/>
      <c r="F474" s="18" t="inlineStr"/>
      <c r="G474" s="19" t="inlineStr"/>
      <c r="H474" s="18" t="inlineStr"/>
      <c r="I474" s="20" t="inlineStr">
        <is>
          <t>JULIANO FONTES FORNASARO</t>
        </is>
      </c>
      <c r="J474" s="20" t="inlineStr">
        <is>
          <t>Sócio-Administrador</t>
        </is>
      </c>
      <c r="K474" s="20" t="inlineStr">
        <is>
          <t>(41) 3771-9936</t>
        </is>
      </c>
      <c r="L474" s="20" t="inlineStr"/>
      <c r="M474" s="20" t="inlineStr"/>
      <c r="N474" s="20" t="inlineStr"/>
      <c r="O474" s="20" t="inlineStr"/>
      <c r="P474" s="20" t="inlineStr"/>
      <c r="Q474" s="20" t="inlineStr"/>
      <c r="R474" s="20" t="inlineStr"/>
      <c r="S474" s="20" t="inlineStr"/>
      <c r="T474" s="21" t="n">
        <v>210630</v>
      </c>
      <c r="U474" s="31" t="inlineStr">
        <is>
          <t>C</t>
        </is>
      </c>
      <c r="V474" s="23">
        <f>IFERROR(VLOOKUP(U474,Assumptions!$A$7:$D$11,2,FALSE),0)</f>
        <v/>
      </c>
      <c r="W474" s="24">
        <f>MAX(0.5,IFERROR(VLOOKUP(U474,Assumptions!$A$7:$D$11,3,FALSE),3)+IFERROR(VLOOKUP(U474,Assumptions!$A$7:$D$11,4,FALSE),8)/2-IF(AN474="",0,YEAR(TODAY())-AN474))</f>
        <v/>
      </c>
      <c r="X474" s="21">
        <f>T474*V474/(1+Assumptions!$B$3)^W474</f>
        <v/>
      </c>
      <c r="Y474" s="25">
        <f>IF(T474=0,"",ROUND(X474/T474*100,1))</f>
        <v/>
      </c>
      <c r="Z474" s="26">
        <f>X474*Assumptions!$B$4</f>
        <v/>
      </c>
      <c r="AA474" s="25">
        <f>IF(T474=0,"",ROUND(Z474/T474*100,1))</f>
        <v/>
      </c>
      <c r="AB474" s="26">
        <f>X474-Z474</f>
        <v/>
      </c>
      <c r="AC474" s="25">
        <f>IF(T474=0,"",ROUND((X474-Z474)/T474*100,1))</f>
        <v/>
      </c>
      <c r="AD474" s="27" t="inlineStr">
        <is>
          <t>UNKNOWN</t>
        </is>
      </c>
      <c r="AE474" s="28" t="inlineStr">
        <is>
          <t>https://ajruiz.com.br/sites/default/files/public/arquivos-processos/2024-04/relacao_de_credores_recuperanda_1.pdf</t>
        </is>
      </c>
      <c r="AF474" s="27" t="inlineStr">
        <is>
          <t>p10 r5</t>
        </is>
      </c>
      <c r="AG474" s="27" t="inlineStr">
        <is>
          <t>p10: R$ 210.630,00</t>
        </is>
      </c>
      <c r="AH474" s="27" t="inlineStr">
        <is>
          <t>QGC</t>
        </is>
      </c>
      <c r="AI474" s="27" t="inlineStr">
        <is>
          <t>2024-01-31</t>
        </is>
      </c>
      <c r="AJ474" s="27" t="inlineStr">
        <is>
          <t>OK</t>
        </is>
      </c>
      <c r="AK474" s="29" t="inlineStr">
        <is>
          <t>0000148-67.1996.8.24.0079</t>
        </is>
      </c>
      <c r="AL474" s="29" t="inlineStr">
        <is>
          <t>TJ</t>
        </is>
      </c>
      <c r="AM474" s="29" t="inlineStr"/>
      <c r="AN474" s="29" t="n">
        <v>1996</v>
      </c>
      <c r="AO474" s="29" t="inlineStr">
        <is>
          <t>30y since filing, no plan document</t>
        </is>
      </c>
      <c r="AP474" s="29" t="inlineStr">
        <is>
          <t>GARUVA</t>
        </is>
      </c>
      <c r="AQ474" s="29" t="inlineStr">
        <is>
          <t>SC</t>
        </is>
      </c>
      <c r="AR474" s="29" t="inlineStr">
        <is>
          <t>Comércio atacadista de mercadorias em geral, sem predominância de alimentos ou de insumos agropecuários</t>
        </is>
      </c>
      <c r="AS474" s="29" t="inlineStr">
        <is>
          <t>DEMAIS</t>
        </is>
      </c>
      <c r="AT474" s="29" t="inlineStr">
        <is>
          <t>MID-MARKET</t>
        </is>
      </c>
      <c r="AU474" s="29" t="inlineStr">
        <is>
          <t>21233373</t>
        </is>
      </c>
      <c r="AV474" s="29" t="n">
        <v>1</v>
      </c>
      <c r="AW474" s="29" t="inlineStr">
        <is>
          <t>ROWS:p10r5</t>
        </is>
      </c>
    </row>
    <row r="475">
      <c r="A475" s="15" t="inlineStr">
        <is>
          <t>CRISTAL ALIMENTOS LTDA</t>
        </is>
      </c>
      <c r="B475" s="16" t="n">
        <v>268352.18</v>
      </c>
      <c r="C475" s="17" t="inlineStr">
        <is>
          <t>COMERCIO RACOES BEM BOM LTDA</t>
        </is>
      </c>
      <c r="D475" s="18" t="inlineStr">
        <is>
          <t>NEW</t>
        </is>
      </c>
      <c r="E475" s="19" t="inlineStr"/>
      <c r="F475" s="18" t="inlineStr"/>
      <c r="G475" s="19" t="inlineStr"/>
      <c r="H475" s="18" t="inlineStr"/>
      <c r="I475" s="20" t="inlineStr">
        <is>
          <t>MARCELO FERNANDES MADALENA</t>
        </is>
      </c>
      <c r="J475" s="20" t="inlineStr">
        <is>
          <t>Administrador</t>
        </is>
      </c>
      <c r="K475" s="20" t="inlineStr">
        <is>
          <t>(62) 3226-9064</t>
        </is>
      </c>
      <c r="L475" s="20" t="inlineStr">
        <is>
          <t>(62) 3226-9000</t>
        </is>
      </c>
      <c r="M475" s="20" t="inlineStr"/>
      <c r="N475" s="20" t="inlineStr"/>
      <c r="O475" s="20" t="inlineStr"/>
      <c r="P475" s="20" t="inlineStr"/>
      <c r="Q475" s="20" t="inlineStr"/>
      <c r="R475" s="20" t="inlineStr"/>
      <c r="S475" s="20" t="inlineStr"/>
      <c r="T475" s="21" t="n">
        <v>268352.18</v>
      </c>
      <c r="U475" s="32" t="inlineStr">
        <is>
          <t>A</t>
        </is>
      </c>
      <c r="V475" s="23">
        <f>IFERROR(VLOOKUP(U475,Assumptions!$A$7:$D$11,2,FALSE),0)</f>
        <v/>
      </c>
      <c r="W475" s="24">
        <f>MAX(0.5,IFERROR(VLOOKUP(U475,Assumptions!$A$7:$D$11,3,FALSE),3)+IFERROR(VLOOKUP(U475,Assumptions!$A$7:$D$11,4,FALSE),8)/2-IF(AN475="",0,YEAR(TODAY())-AN475))</f>
        <v/>
      </c>
      <c r="X475" s="21">
        <f>T475*V475/(1+Assumptions!$B$3)^W475</f>
        <v/>
      </c>
      <c r="Y475" s="25">
        <f>IF(T475=0,"",ROUND(X475/T475*100,1))</f>
        <v/>
      </c>
      <c r="Z475" s="26">
        <f>X475*Assumptions!$B$4</f>
        <v/>
      </c>
      <c r="AA475" s="25">
        <f>IF(T475=0,"",ROUND(Z475/T475*100,1))</f>
        <v/>
      </c>
      <c r="AB475" s="26">
        <f>X475-Z475</f>
        <v/>
      </c>
      <c r="AC475" s="25">
        <f>IF(T475=0,"",ROUND((X475-Z475)/T475*100,1))</f>
        <v/>
      </c>
      <c r="AD475" s="27" t="inlineStr">
        <is>
          <t>CONFIRMED</t>
        </is>
      </c>
      <c r="AE475" s="28" t="inlineStr">
        <is>
          <t>https://stenius.com.br/wp-content/uploads/2026/06/EDITAL-GRUPO-3E.pdf</t>
        </is>
      </c>
      <c r="AF475" s="27" t="inlineStr">
        <is>
          <t>p12 r19</t>
        </is>
      </c>
      <c r="AG475" s="27" t="inlineStr">
        <is>
          <t>p12: R$ 268.352,18</t>
        </is>
      </c>
      <c r="AH475" s="27" t="inlineStr">
        <is>
          <t>DEBTOR_LIST</t>
        </is>
      </c>
      <c r="AI475" s="27" t="inlineStr">
        <is>
          <t>2026-06-22</t>
        </is>
      </c>
      <c r="AJ475" s="27" t="inlineStr">
        <is>
          <t>OK_NO_TOTALS</t>
        </is>
      </c>
      <c r="AK475" s="29" t="inlineStr">
        <is>
          <t>5341375-33.2026.8.09.0049</t>
        </is>
      </c>
      <c r="AL475" s="29" t="inlineStr">
        <is>
          <t>TJGO</t>
        </is>
      </c>
      <c r="AM475" s="29" t="inlineStr">
        <is>
          <t>ACTIVE</t>
        </is>
      </c>
      <c r="AN475" s="29" t="n">
        <v>2026</v>
      </c>
      <c r="AO475" s="29" t="inlineStr">
        <is>
          <t>plan/homologation document found</t>
        </is>
      </c>
      <c r="AP475" s="29" t="inlineStr">
        <is>
          <t>APARECIDA DE GOIANIA</t>
        </is>
      </c>
      <c r="AQ475" s="29" t="inlineStr">
        <is>
          <t>GO</t>
        </is>
      </c>
      <c r="AR475" s="29" t="inlineStr">
        <is>
          <t>Beneficiamento de arroz</t>
        </is>
      </c>
      <c r="AS475" s="29" t="inlineStr">
        <is>
          <t>DEMAIS</t>
        </is>
      </c>
      <c r="AT475" s="29" t="inlineStr">
        <is>
          <t>MID-MARKET</t>
        </is>
      </c>
      <c r="AU475" s="29" t="inlineStr">
        <is>
          <t>02709992</t>
        </is>
      </c>
      <c r="AV475" s="29" t="n">
        <v>1</v>
      </c>
      <c r="AW475" s="29" t="inlineStr">
        <is>
          <t>ROWS:p12r19 UNRECONCILED_SOURCE</t>
        </is>
      </c>
    </row>
    <row r="476">
      <c r="A476" s="15" t="inlineStr">
        <is>
          <t>ASFALTOS NORDESTE LTDA</t>
        </is>
      </c>
      <c r="B476" s="16" t="n">
        <v>531958.59</v>
      </c>
      <c r="C476" s="17" t="inlineStr">
        <is>
          <t>EGESA ENGENHARIA S/A (Consórcio ETDI)</t>
        </is>
      </c>
      <c r="D476" s="18" t="inlineStr">
        <is>
          <t>NEW</t>
        </is>
      </c>
      <c r="E476" s="19" t="inlineStr"/>
      <c r="F476" s="18" t="inlineStr"/>
      <c r="G476" s="19" t="inlineStr"/>
      <c r="H476" s="18" t="inlineStr"/>
      <c r="I476" s="20" t="inlineStr">
        <is>
          <t>Andre Barbosa</t>
        </is>
      </c>
      <c r="J476" s="20" t="inlineStr">
        <is>
          <t>General Manager</t>
        </is>
      </c>
      <c r="K476" s="20" t="inlineStr">
        <is>
          <t>(85) 3311-2811</t>
        </is>
      </c>
      <c r="L476" s="20" t="inlineStr">
        <is>
          <t>(85) 3311-2844</t>
        </is>
      </c>
      <c r="M476" s="20" t="inlineStr"/>
      <c r="N476" s="20" t="inlineStr">
        <is>
          <t>andre@asfaltosnordeste.com.br</t>
        </is>
      </c>
      <c r="O476" s="20" t="inlineStr"/>
      <c r="P476" s="20" t="inlineStr">
        <is>
          <t>FRANCISCO BAIMA BARBOSA</t>
        </is>
      </c>
      <c r="Q476" s="20" t="inlineStr">
        <is>
          <t>Sócio-Administrador</t>
        </is>
      </c>
      <c r="R476" s="20" t="inlineStr">
        <is>
          <t>(85) 3311-2844</t>
        </is>
      </c>
      <c r="S476" s="20" t="inlineStr"/>
      <c r="T476" s="21" t="n">
        <v>531958.59</v>
      </c>
      <c r="U476" s="30" t="inlineStr">
        <is>
          <t>?</t>
        </is>
      </c>
      <c r="V476" s="23">
        <f>IFERROR(VLOOKUP(U476,Assumptions!$A$7:$D$11,2,FALSE),0)</f>
        <v/>
      </c>
      <c r="W476" s="24">
        <f>MAX(0.5,IFERROR(VLOOKUP(U476,Assumptions!$A$7:$D$11,3,FALSE),3)+IFERROR(VLOOKUP(U476,Assumptions!$A$7:$D$11,4,FALSE),8)/2-IF(AN476="",0,YEAR(TODAY())-AN476))</f>
        <v/>
      </c>
      <c r="X476" s="21">
        <f>T476*V476/(1+Assumptions!$B$3)^W476</f>
        <v/>
      </c>
      <c r="Y476" s="25">
        <f>IF(T476=0,"",ROUND(X476/T476*100,1))</f>
        <v/>
      </c>
      <c r="Z476" s="26">
        <f>X476*Assumptions!$B$4</f>
        <v/>
      </c>
      <c r="AA476" s="25">
        <f>IF(T476=0,"",ROUND(Z476/T476*100,1))</f>
        <v/>
      </c>
      <c r="AB476" s="26">
        <f>X476-Z476</f>
        <v/>
      </c>
      <c r="AC476" s="25">
        <f>IF(T476=0,"",ROUND((X476-Z476)/T476*100,1))</f>
        <v/>
      </c>
      <c r="AD476" s="27" t="inlineStr">
        <is>
          <t>UNKNOWN</t>
        </is>
      </c>
      <c r="AE476" s="28" t="inlineStr">
        <is>
          <t>https://scalzilliaj.com.br/sgc/download.php?file=files/processo_documento/processo_documento09514021082025_1_.pdf&amp;nome=04 - Relação de credores das Recuperandas</t>
        </is>
      </c>
      <c r="AF476" s="27" t="inlineStr">
        <is>
          <t>p62 r11</t>
        </is>
      </c>
      <c r="AG476" s="27" t="inlineStr">
        <is>
          <t>p62: R$ 531.958,59</t>
        </is>
      </c>
      <c r="AH476" s="27" t="inlineStr">
        <is>
          <t>DEBTOR_LIST</t>
        </is>
      </c>
      <c r="AI476" s="27" t="inlineStr"/>
      <c r="AJ476" s="27" t="inlineStr">
        <is>
          <t>OK</t>
        </is>
      </c>
      <c r="AK476" s="29" t="inlineStr">
        <is>
          <t>(not printed)</t>
        </is>
      </c>
      <c r="AL476" s="29" t="inlineStr"/>
      <c r="AM476" s="29" t="inlineStr"/>
      <c r="AN476" s="29" t="inlineStr"/>
      <c r="AO476" s="29" t="inlineStr">
        <is>
          <t>RJ case number not identified on the document</t>
        </is>
      </c>
      <c r="AP476" s="29" t="inlineStr">
        <is>
          <t>MARACANAU</t>
        </is>
      </c>
      <c r="AQ476" s="29" t="inlineStr">
        <is>
          <t>CE</t>
        </is>
      </c>
      <c r="AR476" s="29" t="inlineStr">
        <is>
          <t>Fabricação de impermeabilizantes, solventes e produtos afins</t>
        </is>
      </c>
      <c r="AS476" s="29" t="inlineStr">
        <is>
          <t>DEMAIS</t>
        </is>
      </c>
      <c r="AT476" s="29" t="inlineStr">
        <is>
          <t>MID-MARKET</t>
        </is>
      </c>
      <c r="AU476" s="29" t="inlineStr">
        <is>
          <t>01791741</t>
        </is>
      </c>
      <c r="AV476" s="29" t="n">
        <v>1</v>
      </c>
      <c r="AW476" s="29" t="inlineStr">
        <is>
          <t>ROWS:p62r11 VALUE_COL:Valor_Atualizado CASE_NUMBER_CORRECTED</t>
        </is>
      </c>
    </row>
    <row r="477">
      <c r="A477" s="15" t="inlineStr">
        <is>
          <t>BRANDT SOLUCOES EM AGRICULTURA LTDA</t>
        </is>
      </c>
      <c r="B477" s="16" t="n">
        <v>282047</v>
      </c>
      <c r="C477" s="17" t="inlineStr">
        <is>
          <t>NORTESUL COMERCIAL AGRICOLA LTDA EM RECUPERACAO JUDICIAL</t>
        </is>
      </c>
      <c r="D477" s="18" t="inlineStr">
        <is>
          <t>NEW</t>
        </is>
      </c>
      <c r="E477" s="19" t="inlineStr"/>
      <c r="F477" s="18" t="inlineStr"/>
      <c r="G477" s="19" t="inlineStr"/>
      <c r="H477" s="18" t="inlineStr"/>
      <c r="I477" s="20" t="inlineStr">
        <is>
          <t>WLADIMIR MASCHIO CARDOZO CHAGA</t>
        </is>
      </c>
      <c r="J477" s="20" t="inlineStr">
        <is>
          <t>Sócio-Administrador</t>
        </is>
      </c>
      <c r="K477" s="20" t="inlineStr">
        <is>
          <t>(43) 3345-2323</t>
        </is>
      </c>
      <c r="L477" s="20" t="inlineStr"/>
      <c r="M477" s="20" t="inlineStr"/>
      <c r="N477" s="20" t="inlineStr"/>
      <c r="O477" s="20" t="inlineStr"/>
      <c r="P477" s="20" t="inlineStr">
        <is>
          <t>VANDRE ALEX DA SILVA</t>
        </is>
      </c>
      <c r="Q477" s="20" t="inlineStr">
        <is>
          <t>Administrador</t>
        </is>
      </c>
      <c r="R477" s="20" t="inlineStr">
        <is>
          <t>(43) 3345-2323</t>
        </is>
      </c>
      <c r="S477" s="20" t="inlineStr"/>
      <c r="T477" s="21" t="n">
        <v>282047</v>
      </c>
      <c r="U477" s="22" t="inlineStr">
        <is>
          <t>B</t>
        </is>
      </c>
      <c r="V477" s="23">
        <f>IFERROR(VLOOKUP(U477,Assumptions!$A$7:$D$11,2,FALSE),0)</f>
        <v/>
      </c>
      <c r="W477" s="24">
        <f>MAX(0.5,IFERROR(VLOOKUP(U477,Assumptions!$A$7:$D$11,3,FALSE),3)+IFERROR(VLOOKUP(U477,Assumptions!$A$7:$D$11,4,FALSE),8)/2-IF(AN477="",0,YEAR(TODAY())-AN477))</f>
        <v/>
      </c>
      <c r="X477" s="21">
        <f>T477*V477/(1+Assumptions!$B$3)^W477</f>
        <v/>
      </c>
      <c r="Y477" s="25">
        <f>IF(T477=0,"",ROUND(X477/T477*100,1))</f>
        <v/>
      </c>
      <c r="Z477" s="26">
        <f>X477*Assumptions!$B$4</f>
        <v/>
      </c>
      <c r="AA477" s="25">
        <f>IF(T477=0,"",ROUND(Z477/T477*100,1))</f>
        <v/>
      </c>
      <c r="AB477" s="26">
        <f>X477-Z477</f>
        <v/>
      </c>
      <c r="AC477" s="25">
        <f>IF(T477=0,"",ROUND((X477-Z477)/T477*100,1))</f>
        <v/>
      </c>
      <c r="AD477" s="27" t="inlineStr">
        <is>
          <t>ESTIMATED</t>
        </is>
      </c>
      <c r="AE477" s="28" t="inlineStr">
        <is>
          <t>https://lrflideres.com.br/wp-content/plugins/download-attachments/includes/download.php?id=6879</t>
        </is>
      </c>
      <c r="AF477" s="27" t="inlineStr">
        <is>
          <t>p1 r7</t>
        </is>
      </c>
      <c r="AG477" s="27" t="inlineStr">
        <is>
          <t>p1: R$ 282.047,00</t>
        </is>
      </c>
      <c r="AH477" s="27" t="inlineStr">
        <is>
          <t>AJ_LIST</t>
        </is>
      </c>
      <c r="AI477" s="27" t="inlineStr">
        <is>
          <t>2026-01-15</t>
        </is>
      </c>
      <c r="AJ477" s="27" t="inlineStr">
        <is>
          <t>OK</t>
        </is>
      </c>
      <c r="AK477" s="29" t="inlineStr">
        <is>
          <t>0804401-51.2025.8.14.0039</t>
        </is>
      </c>
      <c r="AL477" s="29" t="inlineStr">
        <is>
          <t>TJPA</t>
        </is>
      </c>
      <c r="AM477" s="29" t="inlineStr">
        <is>
          <t>ACTIVE</t>
        </is>
      </c>
      <c r="AN477" s="29" t="n">
        <v>2025</v>
      </c>
      <c r="AO477" s="29" t="inlineStr">
        <is>
          <t>live case, no plan document yet</t>
        </is>
      </c>
      <c r="AP477" s="29" t="inlineStr">
        <is>
          <t>CAMBE</t>
        </is>
      </c>
      <c r="AQ477" s="29" t="inlineStr">
        <is>
          <t>PR</t>
        </is>
      </c>
      <c r="AR477" s="29" t="inlineStr">
        <is>
          <t>Fabricação de adubos e fertilizantes, exceto organo-minerais</t>
        </is>
      </c>
      <c r="AS477" s="29" t="inlineStr">
        <is>
          <t>DEMAIS</t>
        </is>
      </c>
      <c r="AT477" s="29" t="inlineStr">
        <is>
          <t>LARGE CORP</t>
        </is>
      </c>
      <c r="AU477" s="29" t="inlineStr">
        <is>
          <t>11516792</t>
        </is>
      </c>
      <c r="AV477" s="29" t="n">
        <v>1</v>
      </c>
      <c r="AW477" s="29" t="inlineStr">
        <is>
          <t>ROWS:p1r7</t>
        </is>
      </c>
    </row>
    <row r="478">
      <c r="A478" s="15" t="inlineStr">
        <is>
          <t>MAGNO MOVEIS LTDA</t>
        </is>
      </c>
      <c r="B478" s="16" t="n">
        <v>287455.47</v>
      </c>
      <c r="C478" s="17" t="inlineStr">
        <is>
          <t>aludida empresa</t>
        </is>
      </c>
      <c r="D478" s="18" t="inlineStr">
        <is>
          <t>NEW</t>
        </is>
      </c>
      <c r="E478" s="19" t="inlineStr"/>
      <c r="F478" s="18" t="inlineStr"/>
      <c r="G478" s="19" t="inlineStr"/>
      <c r="H478" s="18" t="inlineStr"/>
      <c r="I478" s="20" t="inlineStr">
        <is>
          <t>ALEXANDRE MAGNO BARROS DE BRITO</t>
        </is>
      </c>
      <c r="J478" s="20" t="inlineStr">
        <is>
          <t>Sócio-Administrador</t>
        </is>
      </c>
      <c r="K478" s="20" t="inlineStr">
        <is>
          <t>(87) 9908-0035</t>
        </is>
      </c>
      <c r="L478" s="20" t="inlineStr">
        <is>
          <t>(87) 9908-0046</t>
        </is>
      </c>
      <c r="M478" s="20" t="inlineStr"/>
      <c r="N478" s="20" t="inlineStr"/>
      <c r="O478" s="20" t="inlineStr"/>
      <c r="P478" s="20" t="inlineStr"/>
      <c r="Q478" s="20" t="inlineStr"/>
      <c r="R478" s="20" t="inlineStr"/>
      <c r="S478" s="20" t="inlineStr"/>
      <c r="T478" s="21" t="n">
        <v>287455.47</v>
      </c>
      <c r="U478" s="31" t="inlineStr">
        <is>
          <t>C</t>
        </is>
      </c>
      <c r="V478" s="23">
        <f>IFERROR(VLOOKUP(U478,Assumptions!$A$7:$D$11,2,FALSE),0)</f>
        <v/>
      </c>
      <c r="W478" s="24">
        <f>MAX(0.5,IFERROR(VLOOKUP(U478,Assumptions!$A$7:$D$11,3,FALSE),3)+IFERROR(VLOOKUP(U478,Assumptions!$A$7:$D$11,4,FALSE),8)/2-IF(AN478="",0,YEAR(TODAY())-AN478))</f>
        <v/>
      </c>
      <c r="X478" s="21">
        <f>T478*V478/(1+Assumptions!$B$3)^W478</f>
        <v/>
      </c>
      <c r="Y478" s="25">
        <f>IF(T478=0,"",ROUND(X478/T478*100,1))</f>
        <v/>
      </c>
      <c r="Z478" s="26">
        <f>X478*Assumptions!$B$4</f>
        <v/>
      </c>
      <c r="AA478" s="25">
        <f>IF(T478=0,"",ROUND(Z478/T478*100,1))</f>
        <v/>
      </c>
      <c r="AB478" s="26">
        <f>X478-Z478</f>
        <v/>
      </c>
      <c r="AC478" s="25">
        <f>IF(T478=0,"",ROUND((X478-Z478)/T478*100,1))</f>
        <v/>
      </c>
      <c r="AD478" s="27" t="inlineStr">
        <is>
          <t>ESTIMATED</t>
        </is>
      </c>
      <c r="AE478" s="28" t="inlineStr">
        <is>
          <t>https://recuperacaojudicial.squarespace.com/s/RJ-Credimoveis-QGC-01082025.pdf</t>
        </is>
      </c>
      <c r="AF478" s="27" t="inlineStr">
        <is>
          <t>p16 r14</t>
        </is>
      </c>
      <c r="AG478" s="27" t="inlineStr">
        <is>
          <t>p16: R$ 287.455,47</t>
        </is>
      </c>
      <c r="AH478" s="27" t="inlineStr">
        <is>
          <t>QGC</t>
        </is>
      </c>
      <c r="AI478" s="27" t="inlineStr">
        <is>
          <t>2026-01-28</t>
        </is>
      </c>
      <c r="AJ478" s="27" t="inlineStr">
        <is>
          <t>OK</t>
        </is>
      </c>
      <c r="AK478" s="29" t="inlineStr">
        <is>
          <t>0007565-40.2020.8.17.2370</t>
        </is>
      </c>
      <c r="AL478" s="29" t="inlineStr">
        <is>
          <t>TJPE</t>
        </is>
      </c>
      <c r="AM478" s="29" t="inlineStr">
        <is>
          <t>ACTIVE</t>
        </is>
      </c>
      <c r="AN478" s="29" t="n">
        <v>2020</v>
      </c>
      <c r="AO478" s="29" t="inlineStr">
        <is>
          <t>6y since filing, no plan document</t>
        </is>
      </c>
      <c r="AP478" s="29" t="inlineStr">
        <is>
          <t>AFOGADOS DA INGAZEIRA</t>
        </is>
      </c>
      <c r="AQ478" s="29" t="inlineStr">
        <is>
          <t>PE</t>
        </is>
      </c>
      <c r="AR478" s="29" t="inlineStr">
        <is>
          <t>Fabricação de móveis com predominância de madeira</t>
        </is>
      </c>
      <c r="AS478" s="29" t="inlineStr">
        <is>
          <t>DEMAIS</t>
        </is>
      </c>
      <c r="AT478" s="29" t="inlineStr">
        <is>
          <t>MID-MARKET</t>
        </is>
      </c>
      <c r="AU478" s="29" t="inlineStr">
        <is>
          <t>40887879</t>
        </is>
      </c>
      <c r="AV478" s="29" t="n">
        <v>1</v>
      </c>
      <c r="AW478" s="29" t="inlineStr">
        <is>
          <t>ROWS:p16r14</t>
        </is>
      </c>
    </row>
    <row r="479">
      <c r="A479" s="15" t="inlineStr">
        <is>
          <t>HNK BR INDUSTRIA DE BEBIDAS LTDA.</t>
        </is>
      </c>
      <c r="B479" s="16" t="n">
        <v>263157.28</v>
      </c>
      <c r="C479" s="17" t="inlineStr">
        <is>
          <t>COMERCIO RACOES BEM BOM LTDA</t>
        </is>
      </c>
      <c r="D479" s="18" t="inlineStr">
        <is>
          <t>NEW</t>
        </is>
      </c>
      <c r="E479" s="19" t="inlineStr"/>
      <c r="F479" s="18" t="inlineStr"/>
      <c r="G479" s="19" t="inlineStr"/>
      <c r="H479" s="18" t="inlineStr"/>
      <c r="I479" s="20" t="inlineStr">
        <is>
          <t>ANDREA REGINA FERRAZ BIANCHI</t>
        </is>
      </c>
      <c r="J479" s="20" t="inlineStr">
        <is>
          <t>Administrador</t>
        </is>
      </c>
      <c r="K479" s="20" t="inlineStr">
        <is>
          <t>(11) 2118-9500</t>
        </is>
      </c>
      <c r="L479" s="20" t="inlineStr"/>
      <c r="M479" s="20" t="inlineStr"/>
      <c r="N479" s="20" t="inlineStr"/>
      <c r="O479" s="20" t="inlineStr"/>
      <c r="P479" s="20" t="inlineStr">
        <is>
          <t>CECILIA BOTTAI MONDINO</t>
        </is>
      </c>
      <c r="Q479" s="20" t="inlineStr">
        <is>
          <t>Administrador</t>
        </is>
      </c>
      <c r="R479" s="20" t="inlineStr">
        <is>
          <t>(11) 2118-9500</t>
        </is>
      </c>
      <c r="S479" s="20" t="inlineStr"/>
      <c r="T479" s="21" t="n">
        <v>263157.28</v>
      </c>
      <c r="U479" s="32" t="inlineStr">
        <is>
          <t>A</t>
        </is>
      </c>
      <c r="V479" s="23">
        <f>IFERROR(VLOOKUP(U479,Assumptions!$A$7:$D$11,2,FALSE),0)</f>
        <v/>
      </c>
      <c r="W479" s="24">
        <f>MAX(0.5,IFERROR(VLOOKUP(U479,Assumptions!$A$7:$D$11,3,FALSE),3)+IFERROR(VLOOKUP(U479,Assumptions!$A$7:$D$11,4,FALSE),8)/2-IF(AN479="",0,YEAR(TODAY())-AN479))</f>
        <v/>
      </c>
      <c r="X479" s="21">
        <f>T479*V479/(1+Assumptions!$B$3)^W479</f>
        <v/>
      </c>
      <c r="Y479" s="25">
        <f>IF(T479=0,"",ROUND(X479/T479*100,1))</f>
        <v/>
      </c>
      <c r="Z479" s="26">
        <f>X479*Assumptions!$B$4</f>
        <v/>
      </c>
      <c r="AA479" s="25">
        <f>IF(T479=0,"",ROUND(Z479/T479*100,1))</f>
        <v/>
      </c>
      <c r="AB479" s="26">
        <f>X479-Z479</f>
        <v/>
      </c>
      <c r="AC479" s="25">
        <f>IF(T479=0,"",ROUND((X479-Z479)/T479*100,1))</f>
        <v/>
      </c>
      <c r="AD479" s="27" t="inlineStr">
        <is>
          <t>CONFIRMED</t>
        </is>
      </c>
      <c r="AE479" s="28" t="inlineStr">
        <is>
          <t>https://stenius.com.br/wp-content/uploads/2026/06/EDITAL-GRUPO-3E.pdf</t>
        </is>
      </c>
      <c r="AF479" s="27" t="inlineStr">
        <is>
          <t>p14 r35</t>
        </is>
      </c>
      <c r="AG479" s="27" t="inlineStr">
        <is>
          <t>p14: R$ 263.157,28</t>
        </is>
      </c>
      <c r="AH479" s="27" t="inlineStr">
        <is>
          <t>DEBTOR_LIST</t>
        </is>
      </c>
      <c r="AI479" s="27" t="inlineStr">
        <is>
          <t>2026-06-22</t>
        </is>
      </c>
      <c r="AJ479" s="27" t="inlineStr">
        <is>
          <t>OK_NO_TOTALS</t>
        </is>
      </c>
      <c r="AK479" s="29" t="inlineStr">
        <is>
          <t>5341375-33.2026.8.09.0049</t>
        </is>
      </c>
      <c r="AL479" s="29" t="inlineStr">
        <is>
          <t>TJGO</t>
        </is>
      </c>
      <c r="AM479" s="29" t="inlineStr">
        <is>
          <t>ACTIVE</t>
        </is>
      </c>
      <c r="AN479" s="29" t="n">
        <v>2026</v>
      </c>
      <c r="AO479" s="29" t="inlineStr">
        <is>
          <t>plan/homologation document found</t>
        </is>
      </c>
      <c r="AP479" s="29" t="inlineStr">
        <is>
          <t>ITU</t>
        </is>
      </c>
      <c r="AQ479" s="29" t="inlineStr">
        <is>
          <t>SP</t>
        </is>
      </c>
      <c r="AR479" s="29" t="inlineStr">
        <is>
          <t>Fabricação de cervejas e chopes</t>
        </is>
      </c>
      <c r="AS479" s="29" t="inlineStr">
        <is>
          <t>DEMAIS</t>
        </is>
      </c>
      <c r="AT479" s="29" t="inlineStr">
        <is>
          <t>LARGE CORP</t>
        </is>
      </c>
      <c r="AU479" s="29" t="inlineStr">
        <is>
          <t>50221019</t>
        </is>
      </c>
      <c r="AV479" s="29" t="n">
        <v>1</v>
      </c>
      <c r="AW479" s="29" t="inlineStr">
        <is>
          <t>ROWS:p14r35 UNRECONCILED_SOURCE</t>
        </is>
      </c>
    </row>
    <row r="480">
      <c r="A480" s="15" t="inlineStr">
        <is>
          <t>GOIASMINAS INDUSTRIA DE LATICINIOS LTDA</t>
        </is>
      </c>
      <c r="B480" s="16" t="n">
        <v>261853.71</v>
      </c>
      <c r="C480" s="17" t="inlineStr">
        <is>
          <t>COMERCIO RACOES BEM BOM LTDA</t>
        </is>
      </c>
      <c r="D480" s="18" t="inlineStr">
        <is>
          <t>NEW</t>
        </is>
      </c>
      <c r="E480" s="19" t="inlineStr"/>
      <c r="F480" s="18" t="inlineStr"/>
      <c r="G480" s="19" t="inlineStr"/>
      <c r="H480" s="18" t="inlineStr"/>
      <c r="I480" s="20" t="inlineStr">
        <is>
          <t>ALEXANDRE BOTELHO TEIXEIRA</t>
        </is>
      </c>
      <c r="J480" s="20" t="inlineStr">
        <is>
          <t>Sócio-Administrador</t>
        </is>
      </c>
      <c r="K480" s="20" t="inlineStr">
        <is>
          <t>(64) 3447-7500</t>
        </is>
      </c>
      <c r="L480" s="20" t="inlineStr"/>
      <c r="M480" s="20" t="inlineStr"/>
      <c r="N480" s="20" t="inlineStr"/>
      <c r="O480" s="20" t="inlineStr"/>
      <c r="P480" s="20" t="inlineStr">
        <is>
          <t>CLAUDIO TEIXEIRA</t>
        </is>
      </c>
      <c r="Q480" s="20" t="inlineStr">
        <is>
          <t>Sócio-Administrador</t>
        </is>
      </c>
      <c r="R480" s="20" t="inlineStr">
        <is>
          <t>(64) 3447-7500</t>
        </is>
      </c>
      <c r="S480" s="20" t="inlineStr"/>
      <c r="T480" s="21" t="n">
        <v>261853.71</v>
      </c>
      <c r="U480" s="32" t="inlineStr">
        <is>
          <t>A</t>
        </is>
      </c>
      <c r="V480" s="23">
        <f>IFERROR(VLOOKUP(U480,Assumptions!$A$7:$D$11,2,FALSE),0)</f>
        <v/>
      </c>
      <c r="W480" s="24">
        <f>MAX(0.5,IFERROR(VLOOKUP(U480,Assumptions!$A$7:$D$11,3,FALSE),3)+IFERROR(VLOOKUP(U480,Assumptions!$A$7:$D$11,4,FALSE),8)/2-IF(AN480="",0,YEAR(TODAY())-AN480))</f>
        <v/>
      </c>
      <c r="X480" s="21">
        <f>T480*V480/(1+Assumptions!$B$3)^W480</f>
        <v/>
      </c>
      <c r="Y480" s="25">
        <f>IF(T480=0,"",ROUND(X480/T480*100,1))</f>
        <v/>
      </c>
      <c r="Z480" s="26">
        <f>X480*Assumptions!$B$4</f>
        <v/>
      </c>
      <c r="AA480" s="25">
        <f>IF(T480=0,"",ROUND(Z480/T480*100,1))</f>
        <v/>
      </c>
      <c r="AB480" s="26">
        <f>X480-Z480</f>
        <v/>
      </c>
      <c r="AC480" s="25">
        <f>IF(T480=0,"",ROUND((X480-Z480)/T480*100,1))</f>
        <v/>
      </c>
      <c r="AD480" s="27" t="inlineStr">
        <is>
          <t>CONFIRMED</t>
        </is>
      </c>
      <c r="AE480" s="28" t="inlineStr">
        <is>
          <t>https://stenius.com.br/wp-content/uploads/2026/06/EDITAL-GRUPO-3E.pdf</t>
        </is>
      </c>
      <c r="AF480" s="27" t="inlineStr">
        <is>
          <t>p14 r60; p14 r61</t>
        </is>
      </c>
      <c r="AG480" s="27" t="inlineStr">
        <is>
          <t>p14: R$ 13.821,53; p14: R$ 248.032,18</t>
        </is>
      </c>
      <c r="AH480" s="27" t="inlineStr">
        <is>
          <t>DEBTOR_LIST</t>
        </is>
      </c>
      <c r="AI480" s="27" t="inlineStr">
        <is>
          <t>2026-06-22</t>
        </is>
      </c>
      <c r="AJ480" s="27" t="inlineStr">
        <is>
          <t>OK_NO_TOTALS</t>
        </is>
      </c>
      <c r="AK480" s="29" t="inlineStr">
        <is>
          <t>5341375-33.2026.8.09.0049</t>
        </is>
      </c>
      <c r="AL480" s="29" t="inlineStr">
        <is>
          <t>TJGO</t>
        </is>
      </c>
      <c r="AM480" s="29" t="inlineStr">
        <is>
          <t>ACTIVE</t>
        </is>
      </c>
      <c r="AN480" s="29" t="n">
        <v>2026</v>
      </c>
      <c r="AO480" s="29" t="inlineStr">
        <is>
          <t>plan/homologation document found</t>
        </is>
      </c>
      <c r="AP480" s="29" t="inlineStr">
        <is>
          <t>CORUMBAIBA</t>
        </is>
      </c>
      <c r="AQ480" s="29" t="inlineStr">
        <is>
          <t>GO</t>
        </is>
      </c>
      <c r="AR480" s="29" t="inlineStr">
        <is>
          <t>Fabricação de laticínios</t>
        </is>
      </c>
      <c r="AS480" s="29" t="inlineStr">
        <is>
          <t>DEMAIS</t>
        </is>
      </c>
      <c r="AT480" s="29" t="inlineStr">
        <is>
          <t>LARGE CORP</t>
        </is>
      </c>
      <c r="AU480" s="29" t="inlineStr">
        <is>
          <t>01257995</t>
        </is>
      </c>
      <c r="AV480" s="29" t="n">
        <v>2</v>
      </c>
      <c r="AW480" s="29" t="inlineStr">
        <is>
          <t>ROWS:p14r60,p14r61 UNRECONCILED_SOURCE</t>
        </is>
      </c>
    </row>
    <row r="481">
      <c r="A481" s="15" t="inlineStr">
        <is>
          <t>PRIMA FOODS S.A.</t>
        </is>
      </c>
      <c r="B481" s="16" t="n">
        <v>260820.7</v>
      </c>
      <c r="C481" s="17" t="inlineStr">
        <is>
          <t>COMERCIO RACOES BEM BOM LTDA</t>
        </is>
      </c>
      <c r="D481" s="18" t="inlineStr">
        <is>
          <t>NEW</t>
        </is>
      </c>
      <c r="E481" s="19" t="inlineStr"/>
      <c r="F481" s="18" t="inlineStr"/>
      <c r="G481" s="19" t="inlineStr"/>
      <c r="H481" s="18" t="inlineStr"/>
      <c r="I481" s="20" t="inlineStr">
        <is>
          <t>ALEXANDRE MOREIRA MARTINS DE ALMEIDA</t>
        </is>
      </c>
      <c r="J481" s="20" t="inlineStr">
        <is>
          <t>Presidente</t>
        </is>
      </c>
      <c r="K481" s="20" t="inlineStr">
        <is>
          <t>(34) 2108-2200</t>
        </is>
      </c>
      <c r="L481" s="20" t="inlineStr"/>
      <c r="M481" s="20" t="inlineStr"/>
      <c r="N481" s="20" t="inlineStr"/>
      <c r="O481" s="20" t="inlineStr"/>
      <c r="P481" s="20" t="inlineStr">
        <is>
          <t>ANTONIO MARCOS DOS REIS</t>
        </is>
      </c>
      <c r="Q481" s="20" t="inlineStr">
        <is>
          <t>Diretor</t>
        </is>
      </c>
      <c r="R481" s="20" t="inlineStr">
        <is>
          <t>(34) 2108-2200</t>
        </is>
      </c>
      <c r="S481" s="20" t="inlineStr"/>
      <c r="T481" s="21" t="n">
        <v>260820.7</v>
      </c>
      <c r="U481" s="32" t="inlineStr">
        <is>
          <t>A</t>
        </is>
      </c>
      <c r="V481" s="23">
        <f>IFERROR(VLOOKUP(U481,Assumptions!$A$7:$D$11,2,FALSE),0)</f>
        <v/>
      </c>
      <c r="W481" s="24">
        <f>MAX(0.5,IFERROR(VLOOKUP(U481,Assumptions!$A$7:$D$11,3,FALSE),3)+IFERROR(VLOOKUP(U481,Assumptions!$A$7:$D$11,4,FALSE),8)/2-IF(AN481="",0,YEAR(TODAY())-AN481))</f>
        <v/>
      </c>
      <c r="X481" s="21">
        <f>T481*V481/(1+Assumptions!$B$3)^W481</f>
        <v/>
      </c>
      <c r="Y481" s="25">
        <f>IF(T481=0,"",ROUND(X481/T481*100,1))</f>
        <v/>
      </c>
      <c r="Z481" s="26">
        <f>X481*Assumptions!$B$4</f>
        <v/>
      </c>
      <c r="AA481" s="25">
        <f>IF(T481=0,"",ROUND(Z481/T481*100,1))</f>
        <v/>
      </c>
      <c r="AB481" s="26">
        <f>X481-Z481</f>
        <v/>
      </c>
      <c r="AC481" s="25">
        <f>IF(T481=0,"",ROUND((X481-Z481)/T481*100,1))</f>
        <v/>
      </c>
      <c r="AD481" s="27" t="inlineStr">
        <is>
          <t>CONFIRMED</t>
        </is>
      </c>
      <c r="AE481" s="28" t="inlineStr">
        <is>
          <t>https://stenius.com.br/wp-content/uploads/2026/06/EDITAL-GRUPO-3E.pdf</t>
        </is>
      </c>
      <c r="AF481" s="27" t="inlineStr">
        <is>
          <t>p15 r58</t>
        </is>
      </c>
      <c r="AG481" s="27" t="inlineStr">
        <is>
          <t>p15: R$ 260.820,70</t>
        </is>
      </c>
      <c r="AH481" s="27" t="inlineStr">
        <is>
          <t>DEBTOR_LIST</t>
        </is>
      </c>
      <c r="AI481" s="27" t="inlineStr">
        <is>
          <t>2026-06-22</t>
        </is>
      </c>
      <c r="AJ481" s="27" t="inlineStr">
        <is>
          <t>OK_NO_TOTALS</t>
        </is>
      </c>
      <c r="AK481" s="29" t="inlineStr">
        <is>
          <t>5341375-33.2026.8.09.0049</t>
        </is>
      </c>
      <c r="AL481" s="29" t="inlineStr">
        <is>
          <t>TJGO</t>
        </is>
      </c>
      <c r="AM481" s="29" t="inlineStr">
        <is>
          <t>ACTIVE</t>
        </is>
      </c>
      <c r="AN481" s="29" t="n">
        <v>2026</v>
      </c>
      <c r="AO481" s="29" t="inlineStr">
        <is>
          <t>plan/homologation document found</t>
        </is>
      </c>
      <c r="AP481" s="29" t="inlineStr">
        <is>
          <t>ARAGUARI</t>
        </is>
      </c>
      <c r="AQ481" s="29" t="inlineStr">
        <is>
          <t>MG</t>
        </is>
      </c>
      <c r="AR481" s="29" t="inlineStr">
        <is>
          <t>Frigorífico - abate de bovinos</t>
        </is>
      </c>
      <c r="AS481" s="29" t="inlineStr">
        <is>
          <t>DEMAIS</t>
        </is>
      </c>
      <c r="AT481" s="29" t="inlineStr">
        <is>
          <t>LARGE CORP</t>
        </is>
      </c>
      <c r="AU481" s="29" t="inlineStr">
        <is>
          <t>16820052</t>
        </is>
      </c>
      <c r="AV481" s="29" t="n">
        <v>1</v>
      </c>
      <c r="AW481" s="29" t="inlineStr">
        <is>
          <t>ROWS:p15r58 UNRECONCILED_SOURCE</t>
        </is>
      </c>
    </row>
    <row r="482">
      <c r="A482" s="15" t="inlineStr">
        <is>
          <t>IPIRANGA PRODUTOS DE PETROLEO S.A.</t>
        </is>
      </c>
      <c r="B482" s="16" t="n">
        <v>521273.61</v>
      </c>
      <c r="C482" s="17" t="inlineStr">
        <is>
          <t>EGESA ENGENHARIA S/A (Consórcio ETDI)</t>
        </is>
      </c>
      <c r="D482" s="18" t="inlineStr">
        <is>
          <t>NEW</t>
        </is>
      </c>
      <c r="E482" s="19" t="inlineStr"/>
      <c r="F482" s="18" t="inlineStr"/>
      <c r="G482" s="19" t="inlineStr"/>
      <c r="H482" s="18" t="inlineStr"/>
      <c r="I482" s="20" t="inlineStr">
        <is>
          <t>CARLOS FREDERICO RESENDE</t>
        </is>
      </c>
      <c r="J482" s="20" t="inlineStr">
        <is>
          <t>Administrador</t>
        </is>
      </c>
      <c r="K482" s="20" t="inlineStr">
        <is>
          <t>(21) 2574-5858</t>
        </is>
      </c>
      <c r="L482" s="20" t="inlineStr"/>
      <c r="M482" s="20" t="inlineStr"/>
      <c r="N482" s="20" t="inlineStr"/>
      <c r="O482" s="20" t="inlineStr"/>
      <c r="P482" s="20" t="inlineStr">
        <is>
          <t>CRISTIANE SILVA LEITE</t>
        </is>
      </c>
      <c r="Q482" s="20" t="inlineStr">
        <is>
          <t>Diretor</t>
        </is>
      </c>
      <c r="R482" s="20" t="inlineStr">
        <is>
          <t>(21) 2574-5858</t>
        </is>
      </c>
      <c r="S482" s="20" t="inlineStr"/>
      <c r="T482" s="21" t="n">
        <v>521273.61</v>
      </c>
      <c r="U482" s="30" t="inlineStr">
        <is>
          <t>?</t>
        </is>
      </c>
      <c r="V482" s="23">
        <f>IFERROR(VLOOKUP(U482,Assumptions!$A$7:$D$11,2,FALSE),0)</f>
        <v/>
      </c>
      <c r="W482" s="24">
        <f>MAX(0.5,IFERROR(VLOOKUP(U482,Assumptions!$A$7:$D$11,3,FALSE),3)+IFERROR(VLOOKUP(U482,Assumptions!$A$7:$D$11,4,FALSE),8)/2-IF(AN482="",0,YEAR(TODAY())-AN482))</f>
        <v/>
      </c>
      <c r="X482" s="21">
        <f>T482*V482/(1+Assumptions!$B$3)^W482</f>
        <v/>
      </c>
      <c r="Y482" s="25">
        <f>IF(T482=0,"",ROUND(X482/T482*100,1))</f>
        <v/>
      </c>
      <c r="Z482" s="26">
        <f>X482*Assumptions!$B$4</f>
        <v/>
      </c>
      <c r="AA482" s="25">
        <f>IF(T482=0,"",ROUND(Z482/T482*100,1))</f>
        <v/>
      </c>
      <c r="AB482" s="26">
        <f>X482-Z482</f>
        <v/>
      </c>
      <c r="AC482" s="25">
        <f>IF(T482=0,"",ROUND((X482-Z482)/T482*100,1))</f>
        <v/>
      </c>
      <c r="AD482" s="27" t="inlineStr">
        <is>
          <t>UNKNOWN</t>
        </is>
      </c>
      <c r="AE482" s="28" t="inlineStr">
        <is>
          <t>https://scalzilliaj.com.br/sgc/download.php?file=files/processo_documento/processo_documento09514021082025_1_.pdf&amp;nome=04 - Relação de credores das Recuperandas</t>
        </is>
      </c>
      <c r="AF482" s="27" t="inlineStr">
        <is>
          <t>p68 r8; p68 r9; p68 r10</t>
        </is>
      </c>
      <c r="AG482" s="27" t="inlineStr">
        <is>
          <t>p68: R$ 103.415,90; p68: R$ 36.620,21; p68: R$ 381.237,50</t>
        </is>
      </c>
      <c r="AH482" s="27" t="inlineStr">
        <is>
          <t>DEBTOR_LIST</t>
        </is>
      </c>
      <c r="AI482" s="27" t="inlineStr"/>
      <c r="AJ482" s="27" t="inlineStr">
        <is>
          <t>OK</t>
        </is>
      </c>
      <c r="AK482" s="29" t="inlineStr">
        <is>
          <t>(not printed)</t>
        </is>
      </c>
      <c r="AL482" s="29" t="inlineStr"/>
      <c r="AM482" s="29" t="inlineStr"/>
      <c r="AN482" s="29" t="inlineStr"/>
      <c r="AO482" s="29" t="inlineStr">
        <is>
          <t>RJ case number not identified on the document</t>
        </is>
      </c>
      <c r="AP482" s="29" t="inlineStr">
        <is>
          <t>RIO DE JANEIRO</t>
        </is>
      </c>
      <c r="AQ482" s="29" t="inlineStr">
        <is>
          <t>RJ</t>
        </is>
      </c>
      <c r="AR482" s="29" t="inlineStr">
        <is>
          <t>Comércio atacadista de álcool carburante, biodiesel, gasolina e demais derivados de petróleo, exceto lubrificantes, não realizado por transportador re</t>
        </is>
      </c>
      <c r="AS482" s="29" t="inlineStr">
        <is>
          <t>DEMAIS</t>
        </is>
      </c>
      <c r="AT482" s="29" t="inlineStr">
        <is>
          <t>LARGE CORP</t>
        </is>
      </c>
      <c r="AU482" s="29" t="inlineStr">
        <is>
          <t>33337122</t>
        </is>
      </c>
      <c r="AV482" s="29" t="n">
        <v>3</v>
      </c>
      <c r="AW482" s="29" t="inlineStr">
        <is>
          <t>ROWS:p68r8,p68r9,p68r10 VALUE_COL:Valor_Atualizado CASE_NUMBER_CORRECTED</t>
        </is>
      </c>
    </row>
    <row r="483">
      <c r="A483" s="15" t="inlineStr">
        <is>
          <t>LAMINADOS PROGRESSO LTDA</t>
        </is>
      </c>
      <c r="B483" s="16" t="n">
        <v>203412.12</v>
      </c>
      <c r="C483" s="17" t="inlineStr"/>
      <c r="D483" s="18" t="inlineStr">
        <is>
          <t>NEW</t>
        </is>
      </c>
      <c r="E483" s="19" t="inlineStr"/>
      <c r="F483" s="18" t="inlineStr"/>
      <c r="G483" s="19" t="inlineStr"/>
      <c r="H483" s="18" t="inlineStr"/>
      <c r="I483" s="20" t="inlineStr">
        <is>
          <t>JOAO CESAR BOBATO</t>
        </is>
      </c>
      <c r="J483" s="20" t="inlineStr">
        <is>
          <t>Sócio-Administrador</t>
        </is>
      </c>
      <c r="K483" s="20" t="inlineStr">
        <is>
          <t>000000000000</t>
        </is>
      </c>
      <c r="L483" s="20" t="inlineStr"/>
      <c r="M483" s="20" t="inlineStr"/>
      <c r="N483" s="20" t="inlineStr"/>
      <c r="O483" s="20" t="inlineStr"/>
      <c r="P483" s="20" t="inlineStr"/>
      <c r="Q483" s="20" t="inlineStr"/>
      <c r="R483" s="20" t="inlineStr"/>
      <c r="S483" s="20" t="inlineStr"/>
      <c r="T483" s="21" t="n">
        <v>203412.12</v>
      </c>
      <c r="U483" s="31" t="inlineStr">
        <is>
          <t>C</t>
        </is>
      </c>
      <c r="V483" s="23">
        <f>IFERROR(VLOOKUP(U483,Assumptions!$A$7:$D$11,2,FALSE),0)</f>
        <v/>
      </c>
      <c r="W483" s="24">
        <f>MAX(0.5,IFERROR(VLOOKUP(U483,Assumptions!$A$7:$D$11,3,FALSE),3)+IFERROR(VLOOKUP(U483,Assumptions!$A$7:$D$11,4,FALSE),8)/2-IF(AN483="",0,YEAR(TODAY())-AN483))</f>
        <v/>
      </c>
      <c r="X483" s="21">
        <f>T483*V483/(1+Assumptions!$B$3)^W483</f>
        <v/>
      </c>
      <c r="Y483" s="25">
        <f>IF(T483=0,"",ROUND(X483/T483*100,1))</f>
        <v/>
      </c>
      <c r="Z483" s="26">
        <f>X483*Assumptions!$B$4</f>
        <v/>
      </c>
      <c r="AA483" s="25">
        <f>IF(T483=0,"",ROUND(Z483/T483*100,1))</f>
        <v/>
      </c>
      <c r="AB483" s="26">
        <f>X483-Z483</f>
        <v/>
      </c>
      <c r="AC483" s="25">
        <f>IF(T483=0,"",ROUND((X483-Z483)/T483*100,1))</f>
        <v/>
      </c>
      <c r="AD483" s="27" t="inlineStr">
        <is>
          <t>UNKNOWN</t>
        </is>
      </c>
      <c r="AE483" s="28" t="inlineStr">
        <is>
          <t>https://administradorajudicialgs.com.br/wp-content/uploads/2024/12/relacao-de-credores-da-falida.pdf</t>
        </is>
      </c>
      <c r="AF483" s="27" t="inlineStr">
        <is>
          <t>p16 r5</t>
        </is>
      </c>
      <c r="AG483" s="27" t="inlineStr">
        <is>
          <t>p16: R$ 203.412,12</t>
        </is>
      </c>
      <c r="AH483" s="27" t="inlineStr">
        <is>
          <t>UNKNOWN</t>
        </is>
      </c>
      <c r="AI483" s="27" t="inlineStr">
        <is>
          <t>2025-03-25</t>
        </is>
      </c>
      <c r="AJ483" s="27" t="inlineStr">
        <is>
          <t>OK_NO_TOTALS</t>
        </is>
      </c>
      <c r="AK483" s="29" t="inlineStr">
        <is>
          <t>0005010-50.2013.8.24.0026</t>
        </is>
      </c>
      <c r="AL483" s="29" t="inlineStr">
        <is>
          <t>TJ</t>
        </is>
      </c>
      <c r="AM483" s="29" t="inlineStr"/>
      <c r="AN483" s="29" t="n">
        <v>2013</v>
      </c>
      <c r="AO483" s="29" t="inlineStr">
        <is>
          <t>13y since filing, no plan document</t>
        </is>
      </c>
      <c r="AP483" s="29" t="inlineStr">
        <is>
          <t>IMBITUVA</t>
        </is>
      </c>
      <c r="AQ483" s="29" t="inlineStr">
        <is>
          <t>PR</t>
        </is>
      </c>
      <c r="AR483" s="29" t="inlineStr">
        <is>
          <t>Fabricação de madeira laminada e de chapas de madeira compensada, prensada e aglomerada</t>
        </is>
      </c>
      <c r="AS483" s="29" t="inlineStr">
        <is>
          <t>EMPRESA DE PEQUENO PORTE</t>
        </is>
      </c>
      <c r="AT483" s="29" t="inlineStr">
        <is>
          <t>SMALL</t>
        </is>
      </c>
      <c r="AU483" s="29" t="inlineStr">
        <is>
          <t>86765971</t>
        </is>
      </c>
      <c r="AV483" s="29" t="n">
        <v>1</v>
      </c>
      <c r="AW483" s="29" t="inlineStr">
        <is>
          <t>ROWS:p16r5 UNRECONCILED_SOURCE</t>
        </is>
      </c>
    </row>
    <row r="484">
      <c r="A484" s="15" t="inlineStr">
        <is>
          <t>GOIAS DISTRIBUIDORA DE ALIMENTOS LTDA</t>
        </is>
      </c>
      <c r="B484" s="16" t="n">
        <v>260082.71</v>
      </c>
      <c r="C484" s="17" t="inlineStr">
        <is>
          <t>COMERCIO RACOES BEM BOM LTDA</t>
        </is>
      </c>
      <c r="D484" s="18" t="inlineStr">
        <is>
          <t>NEW</t>
        </is>
      </c>
      <c r="E484" s="19" t="inlineStr"/>
      <c r="F484" s="18" t="inlineStr"/>
      <c r="G484" s="19" t="inlineStr"/>
      <c r="H484" s="18" t="inlineStr"/>
      <c r="I484" s="20" t="inlineStr">
        <is>
          <t>CAROLYNE DAL BERTO ESPINDOLA DE QUEIROZ</t>
        </is>
      </c>
      <c r="J484" s="20" t="inlineStr">
        <is>
          <t>Administrador</t>
        </is>
      </c>
      <c r="K484" s="20" t="inlineStr">
        <is>
          <t>(69) 3293-0496</t>
        </is>
      </c>
      <c r="L484" s="20" t="inlineStr"/>
      <c r="M484" s="20" t="inlineStr"/>
      <c r="N484" s="20" t="inlineStr"/>
      <c r="O484" s="20" t="inlineStr"/>
      <c r="P484" s="20" t="inlineStr"/>
      <c r="Q484" s="20" t="inlineStr"/>
      <c r="R484" s="20" t="inlineStr"/>
      <c r="S484" s="20" t="inlineStr"/>
      <c r="T484" s="21" t="n">
        <v>260082.71</v>
      </c>
      <c r="U484" s="32" t="inlineStr">
        <is>
          <t>A</t>
        </is>
      </c>
      <c r="V484" s="23">
        <f>IFERROR(VLOOKUP(U484,Assumptions!$A$7:$D$11,2,FALSE),0)</f>
        <v/>
      </c>
      <c r="W484" s="24">
        <f>MAX(0.5,IFERROR(VLOOKUP(U484,Assumptions!$A$7:$D$11,3,FALSE),3)+IFERROR(VLOOKUP(U484,Assumptions!$A$7:$D$11,4,FALSE),8)/2-IF(AN484="",0,YEAR(TODAY())-AN484))</f>
        <v/>
      </c>
      <c r="X484" s="21">
        <f>T484*V484/(1+Assumptions!$B$3)^W484</f>
        <v/>
      </c>
      <c r="Y484" s="25">
        <f>IF(T484=0,"",ROUND(X484/T484*100,1))</f>
        <v/>
      </c>
      <c r="Z484" s="26">
        <f>X484*Assumptions!$B$4</f>
        <v/>
      </c>
      <c r="AA484" s="25">
        <f>IF(T484=0,"",ROUND(Z484/T484*100,1))</f>
        <v/>
      </c>
      <c r="AB484" s="26">
        <f>X484-Z484</f>
        <v/>
      </c>
      <c r="AC484" s="25">
        <f>IF(T484=0,"",ROUND((X484-Z484)/T484*100,1))</f>
        <v/>
      </c>
      <c r="AD484" s="27" t="inlineStr">
        <is>
          <t>CONFIRMED</t>
        </is>
      </c>
      <c r="AE484" s="28" t="inlineStr">
        <is>
          <t>https://stenius.com.br/wp-content/uploads/2026/06/EDITAL-GRUPO-3E.pdf</t>
        </is>
      </c>
      <c r="AF484" s="27" t="inlineStr">
        <is>
          <t>p12 r41</t>
        </is>
      </c>
      <c r="AG484" s="27" t="inlineStr">
        <is>
          <t>p12: R$ 260.082,71</t>
        </is>
      </c>
      <c r="AH484" s="27" t="inlineStr">
        <is>
          <t>DEBTOR_LIST</t>
        </is>
      </c>
      <c r="AI484" s="27" t="inlineStr">
        <is>
          <t>2026-06-22</t>
        </is>
      </c>
      <c r="AJ484" s="27" t="inlineStr">
        <is>
          <t>OK_NO_TOTALS</t>
        </is>
      </c>
      <c r="AK484" s="29" t="inlineStr">
        <is>
          <t>5341375-33.2026.8.09.0049</t>
        </is>
      </c>
      <c r="AL484" s="29" t="inlineStr">
        <is>
          <t>TJGO</t>
        </is>
      </c>
      <c r="AM484" s="29" t="inlineStr">
        <is>
          <t>ACTIVE</t>
        </is>
      </c>
      <c r="AN484" s="29" t="n">
        <v>2026</v>
      </c>
      <c r="AO484" s="29" t="inlineStr">
        <is>
          <t>plan/homologation document found</t>
        </is>
      </c>
      <c r="AP484" s="29" t="inlineStr">
        <is>
          <t>APARECIDA DE GOIANIA</t>
        </is>
      </c>
      <c r="AQ484" s="29" t="inlineStr">
        <is>
          <t>GO</t>
        </is>
      </c>
      <c r="AR484" s="29" t="inlineStr">
        <is>
          <t>Comércio atacadista de mercadorias em geral, com predominância de produtos alimentícios</t>
        </is>
      </c>
      <c r="AS484" s="29" t="inlineStr">
        <is>
          <t>DEMAIS</t>
        </is>
      </c>
      <c r="AT484" s="29" t="inlineStr">
        <is>
          <t>MID-MARKET</t>
        </is>
      </c>
      <c r="AU484" s="29" t="inlineStr">
        <is>
          <t>20750654</t>
        </is>
      </c>
      <c r="AV484" s="29" t="n">
        <v>1</v>
      </c>
      <c r="AW484" s="29" t="inlineStr">
        <is>
          <t>ROWS:p12r41 UNRECONCILED_SOURCE</t>
        </is>
      </c>
    </row>
    <row r="485">
      <c r="A485" s="15" t="inlineStr">
        <is>
          <t>NUTRANE NUTRICAO ANIMAL LTDA</t>
        </is>
      </c>
      <c r="B485" s="16" t="n">
        <v>201080.88</v>
      </c>
      <c r="C485" s="17" t="inlineStr">
        <is>
          <t>AGROPECUÁRIA SERROTE REDONDO – LRF Líderes em Recuperação Judicial e Falência</t>
        </is>
      </c>
      <c r="D485" s="18" t="inlineStr">
        <is>
          <t>NEW</t>
        </is>
      </c>
      <c r="E485" s="19" t="inlineStr"/>
      <c r="F485" s="18" t="inlineStr"/>
      <c r="G485" s="19" t="inlineStr"/>
      <c r="H485" s="18" t="inlineStr"/>
      <c r="I485" s="20" t="inlineStr">
        <is>
          <t>OTAVIO BEZERRA DO REGO BARROS</t>
        </is>
      </c>
      <c r="J485" s="20" t="inlineStr">
        <is>
          <t>Sócio-Administrador</t>
        </is>
      </c>
      <c r="K485" s="20" t="inlineStr">
        <is>
          <t>(87) 3835-3486</t>
        </is>
      </c>
      <c r="L485" s="20" t="inlineStr"/>
      <c r="M485" s="20" t="inlineStr"/>
      <c r="N485" s="20" t="inlineStr"/>
      <c r="O485" s="20" t="inlineStr"/>
      <c r="P485" s="20" t="inlineStr">
        <is>
          <t>ROBERTO MORCOURT DO REGO BARROS</t>
        </is>
      </c>
      <c r="Q485" s="20" t="inlineStr">
        <is>
          <t>Sócio-Administrador</t>
        </is>
      </c>
      <c r="R485" s="20" t="inlineStr">
        <is>
          <t>(87) 3835-3486</t>
        </is>
      </c>
      <c r="S485" s="20" t="inlineStr"/>
      <c r="T485" s="21" t="n">
        <v>201080.88</v>
      </c>
      <c r="U485" s="31" t="inlineStr">
        <is>
          <t>C</t>
        </is>
      </c>
      <c r="V485" s="23">
        <f>IFERROR(VLOOKUP(U485,Assumptions!$A$7:$D$11,2,FALSE),0)</f>
        <v/>
      </c>
      <c r="W485" s="24">
        <f>MAX(0.5,IFERROR(VLOOKUP(U485,Assumptions!$A$7:$D$11,3,FALSE),3)+IFERROR(VLOOKUP(U485,Assumptions!$A$7:$D$11,4,FALSE),8)/2-IF(AN485="",0,YEAR(TODAY())-AN485))</f>
        <v/>
      </c>
      <c r="X485" s="21">
        <f>T485*V485/(1+Assumptions!$B$3)^W485</f>
        <v/>
      </c>
      <c r="Y485" s="25">
        <f>IF(T485=0,"",ROUND(X485/T485*100,1))</f>
        <v/>
      </c>
      <c r="Z485" s="26">
        <f>X485*Assumptions!$B$4</f>
        <v/>
      </c>
      <c r="AA485" s="25">
        <f>IF(T485=0,"",ROUND(Z485/T485*100,1))</f>
        <v/>
      </c>
      <c r="AB485" s="26">
        <f>X485-Z485</f>
        <v/>
      </c>
      <c r="AC485" s="25">
        <f>IF(T485=0,"",ROUND((X485-Z485)/T485*100,1))</f>
        <v/>
      </c>
      <c r="AD485" s="27" t="inlineStr">
        <is>
          <t>UNKNOWN</t>
        </is>
      </c>
      <c r="AE485" s="28" t="inlineStr">
        <is>
          <t>https://lrflideres.com.br/wp-content/plugins/download-attachments/includes/download.php?id=5001</t>
        </is>
      </c>
      <c r="AF485" s="27" t="inlineStr">
        <is>
          <t>p2 r1</t>
        </is>
      </c>
      <c r="AG485" s="27" t="inlineStr">
        <is>
          <t>p2: R$ 201.080,88</t>
        </is>
      </c>
      <c r="AH485" s="27" t="inlineStr">
        <is>
          <t>UNKNOWN</t>
        </is>
      </c>
      <c r="AI485" s="27" t="inlineStr"/>
      <c r="AJ485" s="27" t="inlineStr">
        <is>
          <t>OK</t>
        </is>
      </c>
      <c r="AK485" s="29" t="inlineStr">
        <is>
          <t>0000206-69.2013.8.17.1340</t>
        </is>
      </c>
      <c r="AL485" s="29" t="inlineStr">
        <is>
          <t>TJ</t>
        </is>
      </c>
      <c r="AM485" s="29" t="inlineStr"/>
      <c r="AN485" s="29" t="n">
        <v>2013</v>
      </c>
      <c r="AO485" s="29" t="inlineStr">
        <is>
          <t>13y since filing, no plan document</t>
        </is>
      </c>
      <c r="AP485" s="29" t="inlineStr">
        <is>
          <t>PESQUEIRA</t>
        </is>
      </c>
      <c r="AQ485" s="29" t="inlineStr">
        <is>
          <t>PE</t>
        </is>
      </c>
      <c r="AR485" s="29" t="inlineStr">
        <is>
          <t>Fabricação de alimentos para animais</t>
        </is>
      </c>
      <c r="AS485" s="29" t="inlineStr">
        <is>
          <t>DEMAIS</t>
        </is>
      </c>
      <c r="AT485" s="29" t="inlineStr">
        <is>
          <t>LARGE CORP</t>
        </is>
      </c>
      <c r="AU485" s="29" t="inlineStr">
        <is>
          <t>04591114</t>
        </is>
      </c>
      <c r="AV485" s="29" t="n">
        <v>1</v>
      </c>
      <c r="AW485" s="29" t="inlineStr">
        <is>
          <t>ALT_VALUE:49.140,00 ROWS:p2r1</t>
        </is>
      </c>
    </row>
    <row r="486">
      <c r="A486" s="15" t="inlineStr">
        <is>
          <t>COOPERATIVA DE TRABALHO EM SAUDE E QUALIDADE - NUCLEO SAUDE PERNAMBUCO</t>
        </is>
      </c>
      <c r="B486" s="16" t="n">
        <v>341713.1</v>
      </c>
      <c r="C486" s="17" t="inlineStr">
        <is>
          <t>DIAGSON DIAGNOSTICO EM ULTRA SONOGRAFIA MED FETAL LTDA - EM RECUPERACAO JUDICIAL</t>
        </is>
      </c>
      <c r="D486" s="18" t="inlineStr">
        <is>
          <t>NEW</t>
        </is>
      </c>
      <c r="E486" s="19" t="inlineStr"/>
      <c r="F486" s="18" t="inlineStr"/>
      <c r="G486" s="19" t="inlineStr"/>
      <c r="H486" s="18" t="inlineStr"/>
      <c r="I486" s="20" t="inlineStr">
        <is>
          <t>DENISON PEREIRA DA SILVA</t>
        </is>
      </c>
      <c r="J486" s="20" t="inlineStr">
        <is>
          <t>Presidente</t>
        </is>
      </c>
      <c r="K486" s="20" t="inlineStr">
        <is>
          <t>(79) 9984-5042</t>
        </is>
      </c>
      <c r="L486" s="20" t="inlineStr"/>
      <c r="M486" s="20" t="inlineStr"/>
      <c r="N486" s="20" t="inlineStr"/>
      <c r="O486" s="20" t="inlineStr"/>
      <c r="P486" s="20" t="inlineStr">
        <is>
          <t>SUELY SOUZA DUARTE</t>
        </is>
      </c>
      <c r="Q486" s="20" t="inlineStr">
        <is>
          <t>Diretor</t>
        </is>
      </c>
      <c r="R486" s="20" t="inlineStr">
        <is>
          <t>(79) 9984-5042</t>
        </is>
      </c>
      <c r="S486" s="20" t="inlineStr"/>
      <c r="T486" s="21" t="n">
        <v>341713.1</v>
      </c>
      <c r="U486" s="22" t="inlineStr">
        <is>
          <t>B</t>
        </is>
      </c>
      <c r="V486" s="23">
        <f>IFERROR(VLOOKUP(U486,Assumptions!$A$7:$D$11,2,FALSE),0)</f>
        <v/>
      </c>
      <c r="W486" s="24">
        <f>MAX(0.5,IFERROR(VLOOKUP(U486,Assumptions!$A$7:$D$11,3,FALSE),3)+IFERROR(VLOOKUP(U486,Assumptions!$A$7:$D$11,4,FALSE),8)/2-IF(AN486="",0,YEAR(TODAY())-AN486))</f>
        <v/>
      </c>
      <c r="X486" s="21">
        <f>T486*V486/(1+Assumptions!$B$3)^W486</f>
        <v/>
      </c>
      <c r="Y486" s="25">
        <f>IF(T486=0,"",ROUND(X486/T486*100,1))</f>
        <v/>
      </c>
      <c r="Z486" s="26">
        <f>X486*Assumptions!$B$4</f>
        <v/>
      </c>
      <c r="AA486" s="25">
        <f>IF(T486=0,"",ROUND(Z486/T486*100,1))</f>
        <v/>
      </c>
      <c r="AB486" s="26">
        <f>X486-Z486</f>
        <v/>
      </c>
      <c r="AC486" s="25">
        <f>IF(T486=0,"",ROUND((X486-Z486)/T486*100,1))</f>
        <v/>
      </c>
      <c r="AD486" s="27" t="inlineStr">
        <is>
          <t>ESTIMATED</t>
        </is>
      </c>
      <c r="AE486" s="28" t="inlineStr">
        <is>
          <t>https://lrflideres.com.br/wp-content/plugins/download-attachments/includes/download.php?id=7418</t>
        </is>
      </c>
      <c r="AF486" s="27" t="inlineStr">
        <is>
          <t>p2 r51</t>
        </is>
      </c>
      <c r="AG486" s="27" t="inlineStr">
        <is>
          <t>p2: R$ 341.713,10</t>
        </is>
      </c>
      <c r="AH486" s="27" t="inlineStr">
        <is>
          <t>DEBTOR_LIST</t>
        </is>
      </c>
      <c r="AI486" s="27" t="inlineStr">
        <is>
          <t>2026-07-28</t>
        </is>
      </c>
      <c r="AJ486" s="27" t="inlineStr">
        <is>
          <t>QUARANTINED</t>
        </is>
      </c>
      <c r="AK486" s="29" t="inlineStr">
        <is>
          <t>0822279-56.2026.8.15.2001</t>
        </is>
      </c>
      <c r="AL486" s="29" t="inlineStr">
        <is>
          <t>TJPB</t>
        </is>
      </c>
      <c r="AM486" s="29" t="inlineStr">
        <is>
          <t>ACTIVE</t>
        </is>
      </c>
      <c r="AN486" s="29" t="n">
        <v>2026</v>
      </c>
      <c r="AO486" s="29" t="inlineStr">
        <is>
          <t>live case, no plan document yet</t>
        </is>
      </c>
      <c r="AP486" s="29" t="inlineStr">
        <is>
          <t>RECIFE</t>
        </is>
      </c>
      <c r="AQ486" s="29" t="inlineStr">
        <is>
          <t>PE</t>
        </is>
      </c>
      <c r="AR486" s="29" t="inlineStr">
        <is>
          <t>Atividades de enfermagem</t>
        </is>
      </c>
      <c r="AS486" s="29" t="inlineStr">
        <is>
          <t>DEMAIS</t>
        </is>
      </c>
      <c r="AT486" s="29" t="inlineStr">
        <is>
          <t>MID-MARKET</t>
        </is>
      </c>
      <c r="AU486" s="29" t="inlineStr">
        <is>
          <t>40422448</t>
        </is>
      </c>
      <c r="AV486" s="29" t="n">
        <v>1</v>
      </c>
      <c r="AW486" s="29" t="inlineStr">
        <is>
          <t>PARTIAL_DOC_CLASS_III_RECONCILED ROWS:p2r51</t>
        </is>
      </c>
    </row>
    <row r="487">
      <c r="A487" s="15" t="inlineStr">
        <is>
          <t>ARCELORMITTAL BRASIL S.A.</t>
        </is>
      </c>
      <c r="B487" s="16" t="n">
        <v>222839.19</v>
      </c>
      <c r="C487" s="17" t="inlineStr"/>
      <c r="D487" s="18" t="inlineStr">
        <is>
          <t>NEW</t>
        </is>
      </c>
      <c r="E487" s="19" t="inlineStr"/>
      <c r="F487" s="18" t="inlineStr"/>
      <c r="G487" s="19" t="inlineStr"/>
      <c r="H487" s="18" t="inlineStr"/>
      <c r="I487" s="20" t="inlineStr">
        <is>
          <t>ALEXANDRE AUGUSTO SILVA BARCELOS</t>
        </is>
      </c>
      <c r="J487" s="20" t="inlineStr">
        <is>
          <t>Diretor</t>
        </is>
      </c>
      <c r="K487" s="20" t="inlineStr">
        <is>
          <t>(31) 3219-1485</t>
        </is>
      </c>
      <c r="L487" s="20" t="inlineStr"/>
      <c r="M487" s="20" t="inlineStr"/>
      <c r="N487" s="20" t="inlineStr"/>
      <c r="O487" s="20" t="inlineStr"/>
      <c r="P487" s="20" t="inlineStr">
        <is>
          <t>ALEXANDRE KALIL HANNA</t>
        </is>
      </c>
      <c r="Q487" s="20" t="inlineStr">
        <is>
          <t>Diretor</t>
        </is>
      </c>
      <c r="R487" s="20" t="inlineStr">
        <is>
          <t>(31) 3219-1485</t>
        </is>
      </c>
      <c r="S487" s="20" t="inlineStr"/>
      <c r="T487" s="21" t="n">
        <v>222839.19</v>
      </c>
      <c r="U487" s="31" t="inlineStr">
        <is>
          <t>C</t>
        </is>
      </c>
      <c r="V487" s="23">
        <f>IFERROR(VLOOKUP(U487,Assumptions!$A$7:$D$11,2,FALSE),0)</f>
        <v/>
      </c>
      <c r="W487" s="24">
        <f>MAX(0.5,IFERROR(VLOOKUP(U487,Assumptions!$A$7:$D$11,3,FALSE),3)+IFERROR(VLOOKUP(U487,Assumptions!$A$7:$D$11,4,FALSE),8)/2-IF(AN487="",0,YEAR(TODAY())-AN487))</f>
        <v/>
      </c>
      <c r="X487" s="21">
        <f>T487*V487/(1+Assumptions!$B$3)^W487</f>
        <v/>
      </c>
      <c r="Y487" s="25">
        <f>IF(T487=0,"",ROUND(X487/T487*100,1))</f>
        <v/>
      </c>
      <c r="Z487" s="26">
        <f>X487*Assumptions!$B$4</f>
        <v/>
      </c>
      <c r="AA487" s="25">
        <f>IF(T487=0,"",ROUND(Z487/T487*100,1))</f>
        <v/>
      </c>
      <c r="AB487" s="26">
        <f>X487-Z487</f>
        <v/>
      </c>
      <c r="AC487" s="25">
        <f>IF(T487=0,"",ROUND((X487-Z487)/T487*100,1))</f>
        <v/>
      </c>
      <c r="AD487" s="27" t="inlineStr">
        <is>
          <t>UNKNOWN</t>
        </is>
      </c>
      <c r="AE487" s="28" t="inlineStr">
        <is>
          <t>https://realbrasil.com.br/wp-content/uploads/2018/06/2_LISTA-DE-CREDORES-DA-RECUPERANDA_ROQUE.pdf</t>
        </is>
      </c>
      <c r="AF487" s="27" t="inlineStr">
        <is>
          <t>p2 r9</t>
        </is>
      </c>
      <c r="AG487" s="27" t="inlineStr">
        <is>
          <t>p2: R$ 222.839,19</t>
        </is>
      </c>
      <c r="AH487" s="27" t="inlineStr">
        <is>
          <t>UNKNOWN</t>
        </is>
      </c>
      <c r="AI487" s="27" t="inlineStr"/>
      <c r="AJ487" s="27" t="inlineStr">
        <is>
          <t>OK</t>
        </is>
      </c>
      <c r="AK487" s="29" t="inlineStr">
        <is>
          <t>0802426-35.2019.8.10.0000</t>
        </is>
      </c>
      <c r="AL487" s="29" t="inlineStr">
        <is>
          <t>TJ</t>
        </is>
      </c>
      <c r="AM487" s="29" t="inlineStr"/>
      <c r="AN487" s="29" t="n">
        <v>2019</v>
      </c>
      <c r="AO487" s="29" t="inlineStr">
        <is>
          <t>7y since filing, no plan document</t>
        </is>
      </c>
      <c r="AP487" s="29" t="inlineStr">
        <is>
          <t>BELO HORIZONTE</t>
        </is>
      </c>
      <c r="AQ487" s="29" t="inlineStr">
        <is>
          <t>MG</t>
        </is>
      </c>
      <c r="AR487" s="29" t="inlineStr">
        <is>
          <t>Produção de laminados longos de aço, exceto tubos</t>
        </is>
      </c>
      <c r="AS487" s="29" t="inlineStr">
        <is>
          <t>DEMAIS</t>
        </is>
      </c>
      <c r="AT487" s="29" t="inlineStr">
        <is>
          <t>LARGE CORP</t>
        </is>
      </c>
      <c r="AU487" s="29" t="inlineStr">
        <is>
          <t>17469701</t>
        </is>
      </c>
      <c r="AV487" s="29" t="n">
        <v>1</v>
      </c>
      <c r="AW487" s="29" t="inlineStr">
        <is>
          <t>ROWS:p2r9 VALUE_COL:Saldo_Total</t>
        </is>
      </c>
    </row>
    <row r="488">
      <c r="A488" s="15" t="inlineStr">
        <is>
          <t>RECORD PARTICIPACOES LTDA</t>
        </is>
      </c>
      <c r="B488" s="16" t="n">
        <v>222369.09</v>
      </c>
      <c r="C488" s="17" t="inlineStr">
        <is>
          <t>Grupo Arnon de Mello — Lindoso e Araujo</t>
        </is>
      </c>
      <c r="D488" s="18" t="inlineStr">
        <is>
          <t>NEW</t>
        </is>
      </c>
      <c r="E488" s="19" t="inlineStr"/>
      <c r="F488" s="18" t="inlineStr"/>
      <c r="G488" s="19" t="inlineStr"/>
      <c r="H488" s="18" t="inlineStr"/>
      <c r="I488" s="20" t="inlineStr">
        <is>
          <t>CAETANO XIMENES DE ARAGAO FILHO</t>
        </is>
      </c>
      <c r="J488" s="20" t="inlineStr">
        <is>
          <t>Administrador</t>
        </is>
      </c>
      <c r="K488" s="20" t="inlineStr">
        <is>
          <t>(82) 3177-6500</t>
        </is>
      </c>
      <c r="L488" s="20" t="inlineStr"/>
      <c r="M488" s="20" t="inlineStr"/>
      <c r="N488" s="20" t="inlineStr"/>
      <c r="O488" s="20" t="inlineStr"/>
      <c r="P488" s="20" t="inlineStr">
        <is>
          <t>HELIO RIBEIRO DE ABREU</t>
        </is>
      </c>
      <c r="Q488" s="20" t="inlineStr">
        <is>
          <t>Administrador</t>
        </is>
      </c>
      <c r="R488" s="20" t="inlineStr">
        <is>
          <t>(82) 3177-6500</t>
        </is>
      </c>
      <c r="S488" s="20" t="inlineStr"/>
      <c r="T488" s="21" t="n">
        <v>222369.09</v>
      </c>
      <c r="U488" s="31" t="inlineStr">
        <is>
          <t>C</t>
        </is>
      </c>
      <c r="V488" s="23">
        <f>IFERROR(VLOOKUP(U488,Assumptions!$A$7:$D$11,2,FALSE),0)</f>
        <v/>
      </c>
      <c r="W488" s="24">
        <f>MAX(0.5,IFERROR(VLOOKUP(U488,Assumptions!$A$7:$D$11,3,FALSE),3)+IFERROR(VLOOKUP(U488,Assumptions!$A$7:$D$11,4,FALSE),8)/2-IF(AN488="",0,YEAR(TODAY())-AN488))</f>
        <v/>
      </c>
      <c r="X488" s="21">
        <f>T488*V488/(1+Assumptions!$B$3)^W488</f>
        <v/>
      </c>
      <c r="Y488" s="25">
        <f>IF(T488=0,"",ROUND(X488/T488*100,1))</f>
        <v/>
      </c>
      <c r="Z488" s="26">
        <f>X488*Assumptions!$B$4</f>
        <v/>
      </c>
      <c r="AA488" s="25">
        <f>IF(T488=0,"",ROUND(Z488/T488*100,1))</f>
        <v/>
      </c>
      <c r="AB488" s="26">
        <f>X488-Z488</f>
        <v/>
      </c>
      <c r="AC488" s="25">
        <f>IF(T488=0,"",ROUND((X488-Z488)/T488*100,1))</f>
        <v/>
      </c>
      <c r="AD488" s="27" t="inlineStr">
        <is>
          <t>UNKNOWN</t>
        </is>
      </c>
      <c r="AE488" s="28" t="inlineStr">
        <is>
          <t>https://recuperacaojudicial.squarespace.com/s/RJ-Grupo-Arnon-de-Melo-Lista-de-Credores-Consolidada-abril-2022.pdf</t>
        </is>
      </c>
      <c r="AF488" s="27" t="inlineStr">
        <is>
          <t>p9 r10</t>
        </is>
      </c>
      <c r="AG488" s="27" t="inlineStr">
        <is>
          <t>p9: R$ 222.369,09</t>
        </is>
      </c>
      <c r="AH488" s="27" t="inlineStr">
        <is>
          <t>AJ_LIST</t>
        </is>
      </c>
      <c r="AI488" s="27" t="inlineStr"/>
      <c r="AJ488" s="27" t="inlineStr">
        <is>
          <t>OK_NO_TOTALS</t>
        </is>
      </c>
      <c r="AK488" s="29" t="inlineStr">
        <is>
          <t>0700256-03.2019.8.02.0066</t>
        </is>
      </c>
      <c r="AL488" s="29" t="inlineStr">
        <is>
          <t>TJ</t>
        </is>
      </c>
      <c r="AM488" s="29" t="inlineStr"/>
      <c r="AN488" s="29" t="n">
        <v>2019</v>
      </c>
      <c r="AO488" s="29" t="inlineStr">
        <is>
          <t>7y since filing, no plan document</t>
        </is>
      </c>
      <c r="AP488" s="29" t="inlineStr">
        <is>
          <t>MACEIO</t>
        </is>
      </c>
      <c r="AQ488" s="29" t="inlineStr">
        <is>
          <t>AL</t>
        </is>
      </c>
      <c r="AR488" s="29" t="inlineStr">
        <is>
          <t>Incorporação de empreendimentos imobiliários</t>
        </is>
      </c>
      <c r="AS488" s="29" t="inlineStr">
        <is>
          <t>DEMAIS</t>
        </is>
      </c>
      <c r="AT488" s="29" t="inlineStr">
        <is>
          <t>MID-MARKET</t>
        </is>
      </c>
      <c r="AU488" s="29" t="inlineStr">
        <is>
          <t>09260643</t>
        </is>
      </c>
      <c r="AV488" s="29" t="n">
        <v>1</v>
      </c>
      <c r="AW488" s="29" t="inlineStr">
        <is>
          <t>ROWS:p9r10 UNRECONCILED_SOURCE</t>
        </is>
      </c>
    </row>
    <row r="489">
      <c r="A489" s="15" t="inlineStr">
        <is>
          <t>KIT S PARANA-INDUSTRIA E COMERCIO DE MOVEIS LTDA</t>
        </is>
      </c>
      <c r="B489" s="16" t="n">
        <v>277283.04</v>
      </c>
      <c r="C489" s="17" t="inlineStr">
        <is>
          <t>aludida empresa</t>
        </is>
      </c>
      <c r="D489" s="18" t="inlineStr">
        <is>
          <t>NEW</t>
        </is>
      </c>
      <c r="E489" s="19" t="inlineStr"/>
      <c r="F489" s="18" t="inlineStr"/>
      <c r="G489" s="19" t="inlineStr"/>
      <c r="H489" s="18" t="inlineStr"/>
      <c r="I489" s="20" t="inlineStr">
        <is>
          <t>EVALDO LUIS ARRUDA</t>
        </is>
      </c>
      <c r="J489" s="20" t="inlineStr">
        <is>
          <t>Sócio-Administrador</t>
        </is>
      </c>
      <c r="K489" s="20" t="inlineStr">
        <is>
          <t>(04) 3252-1633</t>
        </is>
      </c>
      <c r="L489" s="20" t="inlineStr"/>
      <c r="M489" s="20" t="inlineStr"/>
      <c r="N489" s="20" t="inlineStr"/>
      <c r="O489" s="20" t="inlineStr"/>
      <c r="P489" s="20" t="inlineStr"/>
      <c r="Q489" s="20" t="inlineStr"/>
      <c r="R489" s="20" t="inlineStr"/>
      <c r="S489" s="20" t="inlineStr"/>
      <c r="T489" s="21" t="n">
        <v>277283.04</v>
      </c>
      <c r="U489" s="31" t="inlineStr">
        <is>
          <t>C</t>
        </is>
      </c>
      <c r="V489" s="23">
        <f>IFERROR(VLOOKUP(U489,Assumptions!$A$7:$D$11,2,FALSE),0)</f>
        <v/>
      </c>
      <c r="W489" s="24">
        <f>MAX(0.5,IFERROR(VLOOKUP(U489,Assumptions!$A$7:$D$11,3,FALSE),3)+IFERROR(VLOOKUP(U489,Assumptions!$A$7:$D$11,4,FALSE),8)/2-IF(AN489="",0,YEAR(TODAY())-AN489))</f>
        <v/>
      </c>
      <c r="X489" s="21">
        <f>T489*V489/(1+Assumptions!$B$3)^W489</f>
        <v/>
      </c>
      <c r="Y489" s="25">
        <f>IF(T489=0,"",ROUND(X489/T489*100,1))</f>
        <v/>
      </c>
      <c r="Z489" s="26">
        <f>X489*Assumptions!$B$4</f>
        <v/>
      </c>
      <c r="AA489" s="25">
        <f>IF(T489=0,"",ROUND(Z489/T489*100,1))</f>
        <v/>
      </c>
      <c r="AB489" s="26">
        <f>X489-Z489</f>
        <v/>
      </c>
      <c r="AC489" s="25">
        <f>IF(T489=0,"",ROUND((X489-Z489)/T489*100,1))</f>
        <v/>
      </c>
      <c r="AD489" s="27" t="inlineStr">
        <is>
          <t>ESTIMATED</t>
        </is>
      </c>
      <c r="AE489" s="28" t="inlineStr">
        <is>
          <t>https://recuperacaojudicial.squarespace.com/s/RJ-Credimoveis-QGC-01082025.pdf</t>
        </is>
      </c>
      <c r="AF489" s="27" t="inlineStr">
        <is>
          <t>p16 r5</t>
        </is>
      </c>
      <c r="AG489" s="27" t="inlineStr">
        <is>
          <t>p16: R$ 277.283,04</t>
        </is>
      </c>
      <c r="AH489" s="27" t="inlineStr">
        <is>
          <t>QGC</t>
        </is>
      </c>
      <c r="AI489" s="27" t="inlineStr">
        <is>
          <t>2026-01-28</t>
        </is>
      </c>
      <c r="AJ489" s="27" t="inlineStr">
        <is>
          <t>OK</t>
        </is>
      </c>
      <c r="AK489" s="29" t="inlineStr">
        <is>
          <t>0007565-40.2020.8.17.2370</t>
        </is>
      </c>
      <c r="AL489" s="29" t="inlineStr">
        <is>
          <t>TJPE</t>
        </is>
      </c>
      <c r="AM489" s="29" t="inlineStr">
        <is>
          <t>ACTIVE</t>
        </is>
      </c>
      <c r="AN489" s="29" t="n">
        <v>2020</v>
      </c>
      <c r="AO489" s="29" t="inlineStr">
        <is>
          <t>6y since filing, no plan document</t>
        </is>
      </c>
      <c r="AP489" s="29" t="inlineStr">
        <is>
          <t>ARAPONGAS</t>
        </is>
      </c>
      <c r="AQ489" s="29" t="inlineStr">
        <is>
          <t>PR</t>
        </is>
      </c>
      <c r="AR489" s="29" t="inlineStr">
        <is>
          <t>Fabricação de móveis com predominância de madeira</t>
        </is>
      </c>
      <c r="AS489" s="29" t="inlineStr">
        <is>
          <t>DEMAIS</t>
        </is>
      </c>
      <c r="AT489" s="29" t="inlineStr">
        <is>
          <t>MID-MARKET</t>
        </is>
      </c>
      <c r="AU489" s="29" t="inlineStr">
        <is>
          <t>79460192</t>
        </is>
      </c>
      <c r="AV489" s="29" t="n">
        <v>1</v>
      </c>
      <c r="AW489" s="29" t="inlineStr">
        <is>
          <t>ROWS:p16r5</t>
        </is>
      </c>
    </row>
    <row r="490">
      <c r="A490" s="15" t="inlineStr">
        <is>
          <t>TETO PLANEJAMENTO E INCORPORACOES LTDA</t>
        </is>
      </c>
      <c r="B490" s="16" t="n">
        <v>217484.26</v>
      </c>
      <c r="C490" s="17" t="inlineStr">
        <is>
          <t>Grupo Arnon de Mello — Lindoso e Araujo</t>
        </is>
      </c>
      <c r="D490" s="18" t="inlineStr">
        <is>
          <t>NEW</t>
        </is>
      </c>
      <c r="E490" s="19" t="inlineStr"/>
      <c r="F490" s="18" t="inlineStr"/>
      <c r="G490" s="19" t="inlineStr"/>
      <c r="H490" s="18" t="inlineStr"/>
      <c r="I490" s="20" t="inlineStr">
        <is>
          <t>ANGELA MARIA DE ALBUQUERQUE SANTANA</t>
        </is>
      </c>
      <c r="J490" s="20" t="inlineStr">
        <is>
          <t>Sócio-Administrador</t>
        </is>
      </c>
      <c r="K490" s="20" t="inlineStr">
        <is>
          <t>(82) 3313-7983</t>
        </is>
      </c>
      <c r="L490" s="20" t="inlineStr"/>
      <c r="M490" s="20" t="inlineStr"/>
      <c r="N490" s="20" t="inlineStr"/>
      <c r="O490" s="20" t="inlineStr"/>
      <c r="P490" s="20" t="inlineStr">
        <is>
          <t>JOSE JOAQUIM DA CUNHA SANTANA</t>
        </is>
      </c>
      <c r="Q490" s="20" t="inlineStr">
        <is>
          <t>Sócio-Administrador</t>
        </is>
      </c>
      <c r="R490" s="20" t="inlineStr">
        <is>
          <t>(82) 3313-7983</t>
        </is>
      </c>
      <c r="S490" s="20" t="inlineStr"/>
      <c r="T490" s="21" t="n">
        <v>217484.26</v>
      </c>
      <c r="U490" s="31" t="inlineStr">
        <is>
          <t>C</t>
        </is>
      </c>
      <c r="V490" s="23">
        <f>IFERROR(VLOOKUP(U490,Assumptions!$A$7:$D$11,2,FALSE),0)</f>
        <v/>
      </c>
      <c r="W490" s="24">
        <f>MAX(0.5,IFERROR(VLOOKUP(U490,Assumptions!$A$7:$D$11,3,FALSE),3)+IFERROR(VLOOKUP(U490,Assumptions!$A$7:$D$11,4,FALSE),8)/2-IF(AN490="",0,YEAR(TODAY())-AN490))</f>
        <v/>
      </c>
      <c r="X490" s="21">
        <f>T490*V490/(1+Assumptions!$B$3)^W490</f>
        <v/>
      </c>
      <c r="Y490" s="25">
        <f>IF(T490=0,"",ROUND(X490/T490*100,1))</f>
        <v/>
      </c>
      <c r="Z490" s="26">
        <f>X490*Assumptions!$B$4</f>
        <v/>
      </c>
      <c r="AA490" s="25">
        <f>IF(T490=0,"",ROUND(Z490/T490*100,1))</f>
        <v/>
      </c>
      <c r="AB490" s="26">
        <f>X490-Z490</f>
        <v/>
      </c>
      <c r="AC490" s="25">
        <f>IF(T490=0,"",ROUND((X490-Z490)/T490*100,1))</f>
        <v/>
      </c>
      <c r="AD490" s="27" t="inlineStr">
        <is>
          <t>UNKNOWN</t>
        </is>
      </c>
      <c r="AE490" s="28" t="inlineStr">
        <is>
          <t>https://recuperacaojudicial.squarespace.com/s/RJ-Grupo-Arnon-de-Melo-Lista-de-Credores-Consolidada-abril-2022.pdf</t>
        </is>
      </c>
      <c r="AF490" s="27" t="inlineStr">
        <is>
          <t>p9 r36</t>
        </is>
      </c>
      <c r="AG490" s="27" t="inlineStr">
        <is>
          <t>p9: R$ 217.484,26</t>
        </is>
      </c>
      <c r="AH490" s="27" t="inlineStr">
        <is>
          <t>AJ_LIST</t>
        </is>
      </c>
      <c r="AI490" s="27" t="inlineStr"/>
      <c r="AJ490" s="27" t="inlineStr">
        <is>
          <t>OK_NO_TOTALS</t>
        </is>
      </c>
      <c r="AK490" s="29" t="inlineStr">
        <is>
          <t>0700256-03.2019.8.02.0066</t>
        </is>
      </c>
      <c r="AL490" s="29" t="inlineStr">
        <is>
          <t>TJ</t>
        </is>
      </c>
      <c r="AM490" s="29" t="inlineStr"/>
      <c r="AN490" s="29" t="n">
        <v>2019</v>
      </c>
      <c r="AO490" s="29" t="inlineStr">
        <is>
          <t>7y since filing, no plan document</t>
        </is>
      </c>
      <c r="AP490" s="29" t="inlineStr">
        <is>
          <t>MACEIO</t>
        </is>
      </c>
      <c r="AQ490" s="29" t="inlineStr">
        <is>
          <t>AL</t>
        </is>
      </c>
      <c r="AR490" s="29" t="inlineStr">
        <is>
          <t>Construção de edifícios</t>
        </is>
      </c>
      <c r="AS490" s="29" t="inlineStr">
        <is>
          <t>DEMAIS</t>
        </is>
      </c>
      <c r="AT490" s="29" t="inlineStr">
        <is>
          <t>MID-MARKET</t>
        </is>
      </c>
      <c r="AU490" s="29" t="inlineStr">
        <is>
          <t>10811586</t>
        </is>
      </c>
      <c r="AV490" s="29" t="n">
        <v>1</v>
      </c>
      <c r="AW490" s="29" t="inlineStr">
        <is>
          <t>ROWS:p9r36 UNRECONCILED_SOURCE</t>
        </is>
      </c>
    </row>
    <row r="491">
      <c r="A491" s="15" t="inlineStr">
        <is>
          <t>GOLDEN DISTRIBUIDORA LTDA.</t>
        </is>
      </c>
      <c r="B491" s="16" t="n">
        <v>271484.12</v>
      </c>
      <c r="C491" s="17" t="inlineStr">
        <is>
          <t>aludida empresa</t>
        </is>
      </c>
      <c r="D491" s="18" t="inlineStr">
        <is>
          <t>NEW</t>
        </is>
      </c>
      <c r="E491" s="19" t="inlineStr"/>
      <c r="F491" s="18" t="inlineStr"/>
      <c r="G491" s="19" t="inlineStr"/>
      <c r="H491" s="18" t="inlineStr"/>
      <c r="I491" s="20" t="inlineStr">
        <is>
          <t>DAVI ALBERTO SAADIA</t>
        </is>
      </c>
      <c r="J491" s="20" t="inlineStr">
        <is>
          <t>Sócio-Administrador</t>
        </is>
      </c>
      <c r="K491" s="20" t="inlineStr">
        <is>
          <t>(11) 3646-6600</t>
        </is>
      </c>
      <c r="L491" s="20" t="inlineStr"/>
      <c r="M491" s="20" t="inlineStr"/>
      <c r="N491" s="20" t="inlineStr"/>
      <c r="O491" s="20" t="inlineStr"/>
      <c r="P491" s="20" t="inlineStr">
        <is>
          <t>EDIR JORDAO DUARTE SAADIA</t>
        </is>
      </c>
      <c r="Q491" s="20" t="inlineStr">
        <is>
          <t>Administrador</t>
        </is>
      </c>
      <c r="R491" s="20" t="inlineStr">
        <is>
          <t>(11) 3646-6600</t>
        </is>
      </c>
      <c r="S491" s="20" t="inlineStr"/>
      <c r="T491" s="21" t="n">
        <v>271484.12</v>
      </c>
      <c r="U491" s="31" t="inlineStr">
        <is>
          <t>C</t>
        </is>
      </c>
      <c r="V491" s="23">
        <f>IFERROR(VLOOKUP(U491,Assumptions!$A$7:$D$11,2,FALSE),0)</f>
        <v/>
      </c>
      <c r="W491" s="24">
        <f>MAX(0.5,IFERROR(VLOOKUP(U491,Assumptions!$A$7:$D$11,3,FALSE),3)+IFERROR(VLOOKUP(U491,Assumptions!$A$7:$D$11,4,FALSE),8)/2-IF(AN491="",0,YEAR(TODAY())-AN491))</f>
        <v/>
      </c>
      <c r="X491" s="21">
        <f>T491*V491/(1+Assumptions!$B$3)^W491</f>
        <v/>
      </c>
      <c r="Y491" s="25">
        <f>IF(T491=0,"",ROUND(X491/T491*100,1))</f>
        <v/>
      </c>
      <c r="Z491" s="26">
        <f>X491*Assumptions!$B$4</f>
        <v/>
      </c>
      <c r="AA491" s="25">
        <f>IF(T491=0,"",ROUND(Z491/T491*100,1))</f>
        <v/>
      </c>
      <c r="AB491" s="26">
        <f>X491-Z491</f>
        <v/>
      </c>
      <c r="AC491" s="25">
        <f>IF(T491=0,"",ROUND((X491-Z491)/T491*100,1))</f>
        <v/>
      </c>
      <c r="AD491" s="27" t="inlineStr">
        <is>
          <t>ESTIMATED</t>
        </is>
      </c>
      <c r="AE491" s="28" t="inlineStr">
        <is>
          <t>https://recuperacaojudicial.squarespace.com/s/RJ-Credimoveis-QGC-01082025.pdf</t>
        </is>
      </c>
      <c r="AF491" s="27" t="inlineStr">
        <is>
          <t>p15 r48</t>
        </is>
      </c>
      <c r="AG491" s="27" t="inlineStr">
        <is>
          <t>p15: R$ 271.484,12</t>
        </is>
      </c>
      <c r="AH491" s="27" t="inlineStr">
        <is>
          <t>QGC</t>
        </is>
      </c>
      <c r="AI491" s="27" t="inlineStr">
        <is>
          <t>2026-01-28</t>
        </is>
      </c>
      <c r="AJ491" s="27" t="inlineStr">
        <is>
          <t>OK</t>
        </is>
      </c>
      <c r="AK491" s="29" t="inlineStr">
        <is>
          <t>0007565-40.2020.8.17.2370</t>
        </is>
      </c>
      <c r="AL491" s="29" t="inlineStr">
        <is>
          <t>TJPE</t>
        </is>
      </c>
      <c r="AM491" s="29" t="inlineStr">
        <is>
          <t>ACTIVE</t>
        </is>
      </c>
      <c r="AN491" s="29" t="n">
        <v>2020</v>
      </c>
      <c r="AO491" s="29" t="inlineStr">
        <is>
          <t>6y since filing, no plan document</t>
        </is>
      </c>
      <c r="AP491" s="29" t="inlineStr">
        <is>
          <t>SERRA</t>
        </is>
      </c>
      <c r="AQ491" s="29" t="inlineStr">
        <is>
          <t>ES</t>
        </is>
      </c>
      <c r="AR491" s="29" t="inlineStr">
        <is>
          <t>Comércio atacadista de papel e papelão em bruto</t>
        </is>
      </c>
      <c r="AS491" s="29" t="inlineStr">
        <is>
          <t>DEMAIS</t>
        </is>
      </c>
      <c r="AT491" s="29" t="inlineStr">
        <is>
          <t>MID-MARKET</t>
        </is>
      </c>
      <c r="AU491" s="29" t="inlineStr">
        <is>
          <t>04196935</t>
        </is>
      </c>
      <c r="AV491" s="29" t="n">
        <v>1</v>
      </c>
      <c r="AW491" s="29" t="inlineStr">
        <is>
          <t>ROWS:p15r48</t>
        </is>
      </c>
    </row>
    <row r="492">
      <c r="A492" s="15" t="inlineStr">
        <is>
          <t>DE HEUS INDUSTRIA E COMERCIO DE NUTRICAO ANIMAL LTDA</t>
        </is>
      </c>
      <c r="B492" s="16" t="n">
        <v>246779.9</v>
      </c>
      <c r="C492" s="17" t="inlineStr">
        <is>
          <t>COMERCIO RACOES BEM BOM LTDA</t>
        </is>
      </c>
      <c r="D492" s="18" t="inlineStr">
        <is>
          <t>NEW</t>
        </is>
      </c>
      <c r="E492" s="19" t="inlineStr"/>
      <c r="F492" s="18" t="inlineStr"/>
      <c r="G492" s="19" t="inlineStr"/>
      <c r="H492" s="18" t="inlineStr"/>
      <c r="I492" s="20" t="inlineStr">
        <is>
          <t>MARINUS MARTINUS JOZEF DONKERS</t>
        </is>
      </c>
      <c r="J492" s="20" t="inlineStr">
        <is>
          <t>Administrador</t>
        </is>
      </c>
      <c r="K492" s="20" t="inlineStr">
        <is>
          <t>(19) 3046-7109</t>
        </is>
      </c>
      <c r="L492" s="20" t="inlineStr">
        <is>
          <t>(19) 3046-7108</t>
        </is>
      </c>
      <c r="M492" s="20" t="inlineStr"/>
      <c r="N492" s="20" t="inlineStr"/>
      <c r="O492" s="20" t="inlineStr"/>
      <c r="P492" s="20" t="inlineStr">
        <is>
          <t>THIAGO DA SILVA FERREIRA</t>
        </is>
      </c>
      <c r="Q492" s="20" t="inlineStr">
        <is>
          <t>Administrador</t>
        </is>
      </c>
      <c r="R492" s="20" t="inlineStr">
        <is>
          <t>(19) 3046-7108</t>
        </is>
      </c>
      <c r="S492" s="20" t="inlineStr"/>
      <c r="T492" s="21" t="n">
        <v>246779.9</v>
      </c>
      <c r="U492" s="32" t="inlineStr">
        <is>
          <t>A</t>
        </is>
      </c>
      <c r="V492" s="23">
        <f>IFERROR(VLOOKUP(U492,Assumptions!$A$7:$D$11,2,FALSE),0)</f>
        <v/>
      </c>
      <c r="W492" s="24">
        <f>MAX(0.5,IFERROR(VLOOKUP(U492,Assumptions!$A$7:$D$11,3,FALSE),3)+IFERROR(VLOOKUP(U492,Assumptions!$A$7:$D$11,4,FALSE),8)/2-IF(AN492="",0,YEAR(TODAY())-AN492))</f>
        <v/>
      </c>
      <c r="X492" s="21">
        <f>T492*V492/(1+Assumptions!$B$3)^W492</f>
        <v/>
      </c>
      <c r="Y492" s="25">
        <f>IF(T492=0,"",ROUND(X492/T492*100,1))</f>
        <v/>
      </c>
      <c r="Z492" s="26">
        <f>X492*Assumptions!$B$4</f>
        <v/>
      </c>
      <c r="AA492" s="25">
        <f>IF(T492=0,"",ROUND(Z492/T492*100,1))</f>
        <v/>
      </c>
      <c r="AB492" s="26">
        <f>X492-Z492</f>
        <v/>
      </c>
      <c r="AC492" s="25">
        <f>IF(T492=0,"",ROUND((X492-Z492)/T492*100,1))</f>
        <v/>
      </c>
      <c r="AD492" s="27" t="inlineStr">
        <is>
          <t>CONFIRMED</t>
        </is>
      </c>
      <c r="AE492" s="28" t="inlineStr">
        <is>
          <t>https://stenius.com.br/wp-content/uploads/2026/06/EDITAL-GRUPO-3E.pdf</t>
        </is>
      </c>
      <c r="AF492" s="27" t="inlineStr">
        <is>
          <t>p12 r28</t>
        </is>
      </c>
      <c r="AG492" s="27" t="inlineStr">
        <is>
          <t>p12: R$ 246.779,90</t>
        </is>
      </c>
      <c r="AH492" s="27" t="inlineStr">
        <is>
          <t>DEBTOR_LIST</t>
        </is>
      </c>
      <c r="AI492" s="27" t="inlineStr">
        <is>
          <t>2026-06-22</t>
        </is>
      </c>
      <c r="AJ492" s="27" t="inlineStr">
        <is>
          <t>OK_NO_TOTALS</t>
        </is>
      </c>
      <c r="AK492" s="29" t="inlineStr">
        <is>
          <t>5341375-33.2026.8.09.0049</t>
        </is>
      </c>
      <c r="AL492" s="29" t="inlineStr">
        <is>
          <t>TJGO</t>
        </is>
      </c>
      <c r="AM492" s="29" t="inlineStr">
        <is>
          <t>ACTIVE</t>
        </is>
      </c>
      <c r="AN492" s="29" t="n">
        <v>2026</v>
      </c>
      <c r="AO492" s="29" t="inlineStr">
        <is>
          <t>plan/homologation document found</t>
        </is>
      </c>
      <c r="AP492" s="29" t="inlineStr">
        <is>
          <t>RIO CLARO</t>
        </is>
      </c>
      <c r="AQ492" s="29" t="inlineStr">
        <is>
          <t>SP</t>
        </is>
      </c>
      <c r="AR492" s="29" t="inlineStr">
        <is>
          <t>Fabricação de alimentos para animais</t>
        </is>
      </c>
      <c r="AS492" s="29" t="inlineStr">
        <is>
          <t>DEMAIS</t>
        </is>
      </c>
      <c r="AT492" s="29" t="inlineStr">
        <is>
          <t>LARGE CORP</t>
        </is>
      </c>
      <c r="AU492" s="29" t="inlineStr">
        <is>
          <t>02513991</t>
        </is>
      </c>
      <c r="AV492" s="29" t="n">
        <v>1</v>
      </c>
      <c r="AW492" s="29" t="inlineStr">
        <is>
          <t>ROWS:p12r28 UNRECONCILED_SOURCE</t>
        </is>
      </c>
    </row>
    <row r="493">
      <c r="A493" s="15" t="inlineStr">
        <is>
          <t>MASUT COMBUSTIVEIS LTDA</t>
        </is>
      </c>
      <c r="B493" s="16" t="n">
        <v>245850</v>
      </c>
      <c r="C493" s="17" t="inlineStr">
        <is>
          <t>COMERCIO RACOES BEM BOM LTDA</t>
        </is>
      </c>
      <c r="D493" s="18" t="inlineStr">
        <is>
          <t>NEW</t>
        </is>
      </c>
      <c r="E493" s="19" t="inlineStr"/>
      <c r="F493" s="18" t="inlineStr"/>
      <c r="G493" s="19" t="inlineStr"/>
      <c r="H493" s="18" t="inlineStr"/>
      <c r="I493" s="20" t="inlineStr">
        <is>
          <t>SULAIMEN BITTAR</t>
        </is>
      </c>
      <c r="J493" s="20" t="inlineStr">
        <is>
          <t>Administrador</t>
        </is>
      </c>
      <c r="K493" s="20" t="inlineStr">
        <is>
          <t>(62) 3321-9100</t>
        </is>
      </c>
      <c r="L493" s="20" t="inlineStr"/>
      <c r="M493" s="20" t="inlineStr"/>
      <c r="N493" s="20" t="inlineStr"/>
      <c r="O493" s="20" t="inlineStr"/>
      <c r="P493" s="20" t="inlineStr"/>
      <c r="Q493" s="20" t="inlineStr"/>
      <c r="R493" s="20" t="inlineStr"/>
      <c r="S493" s="20" t="inlineStr"/>
      <c r="T493" s="21" t="n">
        <v>245850</v>
      </c>
      <c r="U493" s="32" t="inlineStr">
        <is>
          <t>A</t>
        </is>
      </c>
      <c r="V493" s="23">
        <f>IFERROR(VLOOKUP(U493,Assumptions!$A$7:$D$11,2,FALSE),0)</f>
        <v/>
      </c>
      <c r="W493" s="24">
        <f>MAX(0.5,IFERROR(VLOOKUP(U493,Assumptions!$A$7:$D$11,3,FALSE),3)+IFERROR(VLOOKUP(U493,Assumptions!$A$7:$D$11,4,FALSE),8)/2-IF(AN493="",0,YEAR(TODAY())-AN493))</f>
        <v/>
      </c>
      <c r="X493" s="21">
        <f>T493*V493/(1+Assumptions!$B$3)^W493</f>
        <v/>
      </c>
      <c r="Y493" s="25">
        <f>IF(T493=0,"",ROUND(X493/T493*100,1))</f>
        <v/>
      </c>
      <c r="Z493" s="26">
        <f>X493*Assumptions!$B$4</f>
        <v/>
      </c>
      <c r="AA493" s="25">
        <f>IF(T493=0,"",ROUND(Z493/T493*100,1))</f>
        <v/>
      </c>
      <c r="AB493" s="26">
        <f>X493-Z493</f>
        <v/>
      </c>
      <c r="AC493" s="25">
        <f>IF(T493=0,"",ROUND((X493-Z493)/T493*100,1))</f>
        <v/>
      </c>
      <c r="AD493" s="27" t="inlineStr">
        <is>
          <t>CONFIRMED</t>
        </is>
      </c>
      <c r="AE493" s="28" t="inlineStr">
        <is>
          <t>https://stenius.com.br/wp-content/uploads/2026/06/EDITAL-GRUPO-3E.pdf</t>
        </is>
      </c>
      <c r="AF493" s="27" t="inlineStr">
        <is>
          <t>p15 r57</t>
        </is>
      </c>
      <c r="AG493" s="27" t="inlineStr">
        <is>
          <t>p15: R$ 245.850,00</t>
        </is>
      </c>
      <c r="AH493" s="27" t="inlineStr">
        <is>
          <t>DEBTOR_LIST</t>
        </is>
      </c>
      <c r="AI493" s="27" t="inlineStr">
        <is>
          <t>2026-06-22</t>
        </is>
      </c>
      <c r="AJ493" s="27" t="inlineStr">
        <is>
          <t>OK_NO_TOTALS</t>
        </is>
      </c>
      <c r="AK493" s="29" t="inlineStr">
        <is>
          <t>5341375-33.2026.8.09.0049</t>
        </is>
      </c>
      <c r="AL493" s="29" t="inlineStr">
        <is>
          <t>TJGO</t>
        </is>
      </c>
      <c r="AM493" s="29" t="inlineStr">
        <is>
          <t>ACTIVE</t>
        </is>
      </c>
      <c r="AN493" s="29" t="n">
        <v>2026</v>
      </c>
      <c r="AO493" s="29" t="inlineStr">
        <is>
          <t>plan/homologation document found</t>
        </is>
      </c>
      <c r="AP493" s="29" t="inlineStr">
        <is>
          <t>SENADOR CANEDO</t>
        </is>
      </c>
      <c r="AQ493" s="29" t="inlineStr">
        <is>
          <t>GO</t>
        </is>
      </c>
      <c r="AR493" s="29" t="inlineStr">
        <is>
          <t>Comércio atacadista de combustíveis realizado por transportador retalhista (T.R.R.)</t>
        </is>
      </c>
      <c r="AS493" s="29" t="inlineStr">
        <is>
          <t>DEMAIS</t>
        </is>
      </c>
      <c r="AT493" s="29" t="inlineStr">
        <is>
          <t>MID-MARKET</t>
        </is>
      </c>
      <c r="AU493" s="29" t="inlineStr">
        <is>
          <t>37350519</t>
        </is>
      </c>
      <c r="AV493" s="29" t="n">
        <v>1</v>
      </c>
      <c r="AW493" s="29" t="inlineStr">
        <is>
          <t>ROWS:p15r57 UNRECONCILED_SOURCE</t>
        </is>
      </c>
    </row>
    <row r="494">
      <c r="A494" s="15" t="inlineStr">
        <is>
          <t>HUESKER LTDA</t>
        </is>
      </c>
      <c r="B494" s="16" t="n">
        <v>483478.41</v>
      </c>
      <c r="C494" s="17" t="inlineStr">
        <is>
          <t>EGESA ENGENHARIA S/A (Consórcio ETDI)</t>
        </is>
      </c>
      <c r="D494" s="18" t="inlineStr">
        <is>
          <t>NEW</t>
        </is>
      </c>
      <c r="E494" s="19" t="inlineStr"/>
      <c r="F494" s="18" t="inlineStr"/>
      <c r="G494" s="19" t="inlineStr"/>
      <c r="H494" s="18" t="inlineStr"/>
      <c r="I494" s="20" t="inlineStr">
        <is>
          <t>Fernando Wickert</t>
        </is>
      </c>
      <c r="J494" s="20" t="inlineStr">
        <is>
          <t>Commercial Director</t>
        </is>
      </c>
      <c r="K494" s="20" t="inlineStr">
        <is>
          <t>(12) 3903-9300</t>
        </is>
      </c>
      <c r="L494" s="20" t="inlineStr">
        <is>
          <t>(12) 2138-8200</t>
        </is>
      </c>
      <c r="M494" s="20" t="inlineStr"/>
      <c r="N494" s="20" t="inlineStr">
        <is>
          <t>fernando.wickert@huesker.com.br</t>
        </is>
      </c>
      <c r="O494" s="20" t="inlineStr"/>
      <c r="P494" s="20" t="inlineStr">
        <is>
          <t>Jose Pandolpho</t>
        </is>
      </c>
      <c r="Q494" s="20" t="inlineStr">
        <is>
          <t>Director</t>
        </is>
      </c>
      <c r="R494" s="20" t="inlineStr"/>
      <c r="S494" s="20" t="inlineStr"/>
      <c r="T494" s="21" t="n">
        <v>483478.41</v>
      </c>
      <c r="U494" s="30" t="inlineStr">
        <is>
          <t>?</t>
        </is>
      </c>
      <c r="V494" s="23">
        <f>IFERROR(VLOOKUP(U494,Assumptions!$A$7:$D$11,2,FALSE),0)</f>
        <v/>
      </c>
      <c r="W494" s="24">
        <f>MAX(0.5,IFERROR(VLOOKUP(U494,Assumptions!$A$7:$D$11,3,FALSE),3)+IFERROR(VLOOKUP(U494,Assumptions!$A$7:$D$11,4,FALSE),8)/2-IF(AN494="",0,YEAR(TODAY())-AN494))</f>
        <v/>
      </c>
      <c r="X494" s="21">
        <f>T494*V494/(1+Assumptions!$B$3)^W494</f>
        <v/>
      </c>
      <c r="Y494" s="25">
        <f>IF(T494=0,"",ROUND(X494/T494*100,1))</f>
        <v/>
      </c>
      <c r="Z494" s="26">
        <f>X494*Assumptions!$B$4</f>
        <v/>
      </c>
      <c r="AA494" s="25">
        <f>IF(T494=0,"",ROUND(Z494/T494*100,1))</f>
        <v/>
      </c>
      <c r="AB494" s="26">
        <f>X494-Z494</f>
        <v/>
      </c>
      <c r="AC494" s="25">
        <f>IF(T494=0,"",ROUND((X494-Z494)/T494*100,1))</f>
        <v/>
      </c>
      <c r="AD494" s="27" t="inlineStr">
        <is>
          <t>UNKNOWN</t>
        </is>
      </c>
      <c r="AE494" s="28" t="inlineStr">
        <is>
          <t>https://scalzilliaj.com.br/sgc/download.php?file=files/processo_documento/processo_documento09514021082025_1_.pdf&amp;nome=04 - Relação de credores das Recuperandas</t>
        </is>
      </c>
      <c r="AF494" s="27" t="inlineStr">
        <is>
          <t>p68 r2</t>
        </is>
      </c>
      <c r="AG494" s="27" t="inlineStr">
        <is>
          <t>p68: R$ 483.478,41</t>
        </is>
      </c>
      <c r="AH494" s="27" t="inlineStr">
        <is>
          <t>DEBTOR_LIST</t>
        </is>
      </c>
      <c r="AI494" s="27" t="inlineStr"/>
      <c r="AJ494" s="27" t="inlineStr">
        <is>
          <t>OK</t>
        </is>
      </c>
      <c r="AK494" s="29" t="inlineStr">
        <is>
          <t>(not printed)</t>
        </is>
      </c>
      <c r="AL494" s="29" t="inlineStr"/>
      <c r="AM494" s="29" t="inlineStr"/>
      <c r="AN494" s="29" t="inlineStr"/>
      <c r="AO494" s="29" t="inlineStr">
        <is>
          <t>RJ case number not identified on the document</t>
        </is>
      </c>
      <c r="AP494" s="29" t="inlineStr">
        <is>
          <t>SAO JOSE DOS CAMPOS</t>
        </is>
      </c>
      <c r="AQ494" s="29" t="inlineStr">
        <is>
          <t>SP</t>
        </is>
      </c>
      <c r="AR494" s="29" t="inlineStr">
        <is>
          <t>Comércio atacadista especializado de materiais de construção não especificados anteriormente</t>
        </is>
      </c>
      <c r="AS494" s="29" t="inlineStr">
        <is>
          <t>DEMAIS</t>
        </is>
      </c>
      <c r="AT494" s="29" t="inlineStr">
        <is>
          <t>MID-MARKET</t>
        </is>
      </c>
      <c r="AU494" s="29" t="inlineStr">
        <is>
          <t>02565876</t>
        </is>
      </c>
      <c r="AV494" s="29" t="n">
        <v>1</v>
      </c>
      <c r="AW494" s="29" t="inlineStr">
        <is>
          <t>ROWS:p68r2 VALUE_COL:Valor_Atualizado CASE_NUMBER_CORRECTED</t>
        </is>
      </c>
    </row>
    <row r="495">
      <c r="A495" s="15" t="inlineStr">
        <is>
          <t>AEROMECANICA LTDA</t>
        </is>
      </c>
      <c r="B495" s="16" t="n">
        <v>205080.7</v>
      </c>
      <c r="C495" s="17" t="inlineStr">
        <is>
          <t>AEGRO INFORMATICA LIMITADA</t>
        </is>
      </c>
      <c r="D495" s="18" t="inlineStr">
        <is>
          <t>NEW</t>
        </is>
      </c>
      <c r="E495" s="19" t="inlineStr"/>
      <c r="F495" s="18" t="inlineStr"/>
      <c r="G495" s="19" t="inlineStr"/>
      <c r="H495" s="18" t="inlineStr"/>
      <c r="I495" s="20" t="inlineStr">
        <is>
          <t>JOAOMAR NASCIMENTO DE AZEVEDO JUNIOR</t>
        </is>
      </c>
      <c r="J495" s="20" t="inlineStr">
        <is>
          <t>Sócio-Administrador</t>
        </is>
      </c>
      <c r="K495" s="20" t="inlineStr">
        <is>
          <t>(41) 3888-3200</t>
        </is>
      </c>
      <c r="L495" s="20" t="inlineStr"/>
      <c r="M495" s="20" t="inlineStr"/>
      <c r="N495" s="20" t="inlineStr"/>
      <c r="O495" s="20" t="inlineStr"/>
      <c r="P495" s="20" t="inlineStr">
        <is>
          <t>JOSE MARCOS PINTO</t>
        </is>
      </c>
      <c r="Q495" s="20" t="inlineStr">
        <is>
          <t>Sócio-Administrador</t>
        </is>
      </c>
      <c r="R495" s="20" t="inlineStr">
        <is>
          <t>(41) 3888-3200</t>
        </is>
      </c>
      <c r="S495" s="20" t="inlineStr"/>
      <c r="T495" s="21" t="n">
        <v>205080.7</v>
      </c>
      <c r="U495" s="22" t="inlineStr">
        <is>
          <t>B</t>
        </is>
      </c>
      <c r="V495" s="23">
        <f>IFERROR(VLOOKUP(U495,Assumptions!$A$7:$D$11,2,FALSE),0)</f>
        <v/>
      </c>
      <c r="W495" s="24">
        <f>MAX(0.5,IFERROR(VLOOKUP(U495,Assumptions!$A$7:$D$11,3,FALSE),3)+IFERROR(VLOOKUP(U495,Assumptions!$A$7:$D$11,4,FALSE),8)/2-IF(AN495="",0,YEAR(TODAY())-AN495))</f>
        <v/>
      </c>
      <c r="X495" s="21">
        <f>T495*V495/(1+Assumptions!$B$3)^W495</f>
        <v/>
      </c>
      <c r="Y495" s="25">
        <f>IF(T495=0,"",ROUND(X495/T495*100,1))</f>
        <v/>
      </c>
      <c r="Z495" s="26">
        <f>X495*Assumptions!$B$4</f>
        <v/>
      </c>
      <c r="AA495" s="25">
        <f>IF(T495=0,"",ROUND(Z495/T495*100,1))</f>
        <v/>
      </c>
      <c r="AB495" s="26">
        <f>X495-Z495</f>
        <v/>
      </c>
      <c r="AC495" s="25">
        <f>IF(T495=0,"",ROUND((X495-Z495)/T495*100,1))</f>
        <v/>
      </c>
      <c r="AD495" s="27" t="inlineStr">
        <is>
          <t>ESTIMATED</t>
        </is>
      </c>
      <c r="AE495" s="28" t="inlineStr">
        <is>
          <t>https://scalzilliaj.com.br/sgc/download.php?file=files/processo_documento/processo_documento15542620022025_1_.pdf&amp;nome=11 - Relação de credores - art. 7º, §2º, da LREF</t>
        </is>
      </c>
      <c r="AF495" s="27" t="inlineStr">
        <is>
          <t>p1 r8</t>
        </is>
      </c>
      <c r="AG495" s="27" t="inlineStr">
        <is>
          <t>p1: R$ 205.080,70</t>
        </is>
      </c>
      <c r="AH495" s="27" t="inlineStr">
        <is>
          <t>AJ_LIST</t>
        </is>
      </c>
      <c r="AI495" s="27" t="inlineStr">
        <is>
          <t>2025-02-19</t>
        </is>
      </c>
      <c r="AJ495" s="27" t="inlineStr">
        <is>
          <t>OK_NO_TOTALS</t>
        </is>
      </c>
      <c r="AK495" s="29" t="inlineStr">
        <is>
          <t>0028131-73.2024.8.16.0017</t>
        </is>
      </c>
      <c r="AL495" s="29" t="inlineStr">
        <is>
          <t>TJPR</t>
        </is>
      </c>
      <c r="AM495" s="29" t="inlineStr">
        <is>
          <t>ACTIVE</t>
        </is>
      </c>
      <c r="AN495" s="29" t="n">
        <v>2024</v>
      </c>
      <c r="AO495" s="29" t="inlineStr">
        <is>
          <t>live case, no plan document yet</t>
        </is>
      </c>
      <c r="AP495" s="29" t="inlineStr">
        <is>
          <t>CURITIBA</t>
        </is>
      </c>
      <c r="AQ495" s="29" t="inlineStr">
        <is>
          <t>PR</t>
        </is>
      </c>
      <c r="AR495" s="29" t="inlineStr">
        <is>
          <t>Manutenção e reparação de aeronaves, exceto a manutenção na pista</t>
        </is>
      </c>
      <c r="AS495" s="29" t="inlineStr">
        <is>
          <t>DEMAIS</t>
        </is>
      </c>
      <c r="AT495" s="29" t="inlineStr">
        <is>
          <t>MID-MARKET</t>
        </is>
      </c>
      <c r="AU495" s="29" t="inlineStr">
        <is>
          <t>03609434</t>
        </is>
      </c>
      <c r="AV495" s="29" t="n">
        <v>1</v>
      </c>
      <c r="AW495" s="29" t="inlineStr">
        <is>
          <t>ROWS:p1r8 UNRECONCILED_SOURCE</t>
        </is>
      </c>
    </row>
    <row r="496">
      <c r="A496" s="15" t="inlineStr">
        <is>
          <t>CARGILL NOVOS HORIZONTES LTDA</t>
        </is>
      </c>
      <c r="B496" s="16" t="n">
        <v>239695</v>
      </c>
      <c r="C496" s="17" t="inlineStr">
        <is>
          <t>COMERCIO RACOES BEM BOM LTDA</t>
        </is>
      </c>
      <c r="D496" s="18" t="inlineStr">
        <is>
          <t>NEW</t>
        </is>
      </c>
      <c r="E496" s="19" t="inlineStr"/>
      <c r="F496" s="18" t="inlineStr"/>
      <c r="G496" s="19" t="inlineStr"/>
      <c r="H496" s="18" t="inlineStr"/>
      <c r="I496" s="20" t="inlineStr">
        <is>
          <t>ANDREA WANDERLEY DOS ANJOS</t>
        </is>
      </c>
      <c r="J496" s="20" t="inlineStr">
        <is>
          <t>Administrador</t>
        </is>
      </c>
      <c r="K496" s="20" t="inlineStr">
        <is>
          <t>(11) 5099-3311</t>
        </is>
      </c>
      <c r="L496" s="20" t="inlineStr"/>
      <c r="M496" s="20" t="inlineStr"/>
      <c r="N496" s="20" t="inlineStr"/>
      <c r="O496" s="20" t="inlineStr"/>
      <c r="P496" s="20" t="inlineStr">
        <is>
          <t>MARIA CRISTINA FAGANELLO</t>
        </is>
      </c>
      <c r="Q496" s="20" t="inlineStr">
        <is>
          <t>Administrador</t>
        </is>
      </c>
      <c r="R496" s="20" t="inlineStr">
        <is>
          <t>(11) 5099-3311</t>
        </is>
      </c>
      <c r="S496" s="20" t="inlineStr"/>
      <c r="T496" s="21" t="n">
        <v>239695</v>
      </c>
      <c r="U496" s="32" t="inlineStr">
        <is>
          <t>A</t>
        </is>
      </c>
      <c r="V496" s="23">
        <f>IFERROR(VLOOKUP(U496,Assumptions!$A$7:$D$11,2,FALSE),0)</f>
        <v/>
      </c>
      <c r="W496" s="24">
        <f>MAX(0.5,IFERROR(VLOOKUP(U496,Assumptions!$A$7:$D$11,3,FALSE),3)+IFERROR(VLOOKUP(U496,Assumptions!$A$7:$D$11,4,FALSE),8)/2-IF(AN496="",0,YEAR(TODAY())-AN496))</f>
        <v/>
      </c>
      <c r="X496" s="21">
        <f>T496*V496/(1+Assumptions!$B$3)^W496</f>
        <v/>
      </c>
      <c r="Y496" s="25">
        <f>IF(T496=0,"",ROUND(X496/T496*100,1))</f>
        <v/>
      </c>
      <c r="Z496" s="26">
        <f>X496*Assumptions!$B$4</f>
        <v/>
      </c>
      <c r="AA496" s="25">
        <f>IF(T496=0,"",ROUND(Z496/T496*100,1))</f>
        <v/>
      </c>
      <c r="AB496" s="26">
        <f>X496-Z496</f>
        <v/>
      </c>
      <c r="AC496" s="25">
        <f>IF(T496=0,"",ROUND((X496-Z496)/T496*100,1))</f>
        <v/>
      </c>
      <c r="AD496" s="27" t="inlineStr">
        <is>
          <t>CONFIRMED</t>
        </is>
      </c>
      <c r="AE496" s="28" t="inlineStr">
        <is>
          <t>https://stenius.com.br/wp-content/uploads/2026/06/EDITAL-GRUPO-3E.pdf</t>
        </is>
      </c>
      <c r="AF496" s="27" t="inlineStr">
        <is>
          <t>p11 r34</t>
        </is>
      </c>
      <c r="AG496" s="27" t="inlineStr">
        <is>
          <t>p11: R$ 239.695,00</t>
        </is>
      </c>
      <c r="AH496" s="27" t="inlineStr">
        <is>
          <t>DEBTOR_LIST</t>
        </is>
      </c>
      <c r="AI496" s="27" t="inlineStr">
        <is>
          <t>2026-06-22</t>
        </is>
      </c>
      <c r="AJ496" s="27" t="inlineStr">
        <is>
          <t>OK_NO_TOTALS</t>
        </is>
      </c>
      <c r="AK496" s="29" t="inlineStr">
        <is>
          <t>5341375-33.2026.8.09.0049</t>
        </is>
      </c>
      <c r="AL496" s="29" t="inlineStr">
        <is>
          <t>TJGO</t>
        </is>
      </c>
      <c r="AM496" s="29" t="inlineStr">
        <is>
          <t>ACTIVE</t>
        </is>
      </c>
      <c r="AN496" s="29" t="n">
        <v>2026</v>
      </c>
      <c r="AO496" s="29" t="inlineStr">
        <is>
          <t>plan/homologation document found</t>
        </is>
      </c>
      <c r="AP496" s="29" t="inlineStr">
        <is>
          <t>SAO PAULO</t>
        </is>
      </c>
      <c r="AQ496" s="29" t="inlineStr">
        <is>
          <t>SP</t>
        </is>
      </c>
      <c r="AR496" s="29" t="inlineStr">
        <is>
          <t>Fabricação de óleos vegetais em bruto, exceto óleo de milho</t>
        </is>
      </c>
      <c r="AS496" s="29" t="inlineStr">
        <is>
          <t>DEMAIS</t>
        </is>
      </c>
      <c r="AT496" s="29" t="inlineStr">
        <is>
          <t>LARGE CORP</t>
        </is>
      </c>
      <c r="AU496" s="29" t="inlineStr">
        <is>
          <t>50290329</t>
        </is>
      </c>
      <c r="AV496" s="29" t="n">
        <v>1</v>
      </c>
      <c r="AW496" s="29" t="inlineStr">
        <is>
          <t>ROWS:p11r34 UNRECONCILED_SOURCE</t>
        </is>
      </c>
    </row>
    <row r="497">
      <c r="A497" s="15" t="inlineStr">
        <is>
          <t>SERASA S.A.</t>
        </is>
      </c>
      <c r="B497" s="16" t="n">
        <v>254832.18</v>
      </c>
      <c r="C497" s="17" t="inlineStr"/>
      <c r="D497" s="18" t="inlineStr">
        <is>
          <t>NEW</t>
        </is>
      </c>
      <c r="E497" s="19" t="inlineStr"/>
      <c r="F497" s="18" t="inlineStr"/>
      <c r="G497" s="19" t="inlineStr"/>
      <c r="H497" s="18" t="inlineStr"/>
      <c r="I497" s="20" t="inlineStr">
        <is>
          <t>VALDEMIR BERTOLO</t>
        </is>
      </c>
      <c r="J497" s="20" t="inlineStr">
        <is>
          <t>Presidente</t>
        </is>
      </c>
      <c r="K497" s="20" t="inlineStr">
        <is>
          <t>(11) 2847-9061</t>
        </is>
      </c>
      <c r="L497" s="20" t="inlineStr"/>
      <c r="M497" s="20" t="inlineStr"/>
      <c r="N497" s="20" t="inlineStr"/>
      <c r="O497" s="20" t="inlineStr"/>
      <c r="P497" s="20" t="inlineStr">
        <is>
          <t>FABIANO JOSE LOUSADA PACHECO</t>
        </is>
      </c>
      <c r="Q497" s="20" t="inlineStr">
        <is>
          <t>Diretor</t>
        </is>
      </c>
      <c r="R497" s="20" t="inlineStr">
        <is>
          <t>(11) 2847-9061</t>
        </is>
      </c>
      <c r="S497" s="20" t="inlineStr"/>
      <c r="T497" s="21" t="n">
        <v>254832.18</v>
      </c>
      <c r="U497" s="22" t="inlineStr">
        <is>
          <t>B</t>
        </is>
      </c>
      <c r="V497" s="23">
        <f>IFERROR(VLOOKUP(U497,Assumptions!$A$7:$D$11,2,FALSE),0)</f>
        <v/>
      </c>
      <c r="W497" s="24">
        <f>MAX(0.5,IFERROR(VLOOKUP(U497,Assumptions!$A$7:$D$11,3,FALSE),3)+IFERROR(VLOOKUP(U497,Assumptions!$A$7:$D$11,4,FALSE),8)/2-IF(AN497="",0,YEAR(TODAY())-AN497))</f>
        <v/>
      </c>
      <c r="X497" s="21">
        <f>T497*V497/(1+Assumptions!$B$3)^W497</f>
        <v/>
      </c>
      <c r="Y497" s="25">
        <f>IF(T497=0,"",ROUND(X497/T497*100,1))</f>
        <v/>
      </c>
      <c r="Z497" s="26">
        <f>X497*Assumptions!$B$4</f>
        <v/>
      </c>
      <c r="AA497" s="25">
        <f>IF(T497=0,"",ROUND(Z497/T497*100,1))</f>
        <v/>
      </c>
      <c r="AB497" s="26">
        <f>X497-Z497</f>
        <v/>
      </c>
      <c r="AC497" s="25">
        <f>IF(T497=0,"",ROUND((X497-Z497)/T497*100,1))</f>
        <v/>
      </c>
      <c r="AD497" s="27" t="inlineStr">
        <is>
          <t>UNKNOWN</t>
        </is>
      </c>
      <c r="AE497" s="28" t="inlineStr">
        <is>
          <t>https://credibilita.com.br/wp-content/uploads/2025/09/Relacao-Credores-29.04.2026.pdf</t>
        </is>
      </c>
      <c r="AF497" s="27" t="inlineStr">
        <is>
          <t>p2 r17</t>
        </is>
      </c>
      <c r="AG497" s="27" t="inlineStr">
        <is>
          <t>p2: R$ 254.832,18</t>
        </is>
      </c>
      <c r="AH497" s="27" t="inlineStr">
        <is>
          <t>UNKNOWN</t>
        </is>
      </c>
      <c r="AI497" s="27" t="inlineStr"/>
      <c r="AJ497" s="27" t="inlineStr">
        <is>
          <t>OK_NO_TOTALS</t>
        </is>
      </c>
      <c r="AK497" s="29" t="inlineStr">
        <is>
          <t>5057720-48.2025.8.24.0023</t>
        </is>
      </c>
      <c r="AL497" s="29" t="inlineStr">
        <is>
          <t>TJ</t>
        </is>
      </c>
      <c r="AM497" s="29" t="inlineStr"/>
      <c r="AN497" s="29" t="n">
        <v>2025</v>
      </c>
      <c r="AO497" s="29" t="inlineStr">
        <is>
          <t>live case, no plan document yet</t>
        </is>
      </c>
      <c r="AP497" s="29" t="inlineStr">
        <is>
          <t>SAO PAULO</t>
        </is>
      </c>
      <c r="AQ497" s="29" t="inlineStr">
        <is>
          <t>SP</t>
        </is>
      </c>
      <c r="AR497" s="29" t="inlineStr">
        <is>
          <t>Atividades de consultoria em gestão empresarial, exceto consultoria técnica específica</t>
        </is>
      </c>
      <c r="AS497" s="29" t="inlineStr">
        <is>
          <t>DEMAIS</t>
        </is>
      </c>
      <c r="AT497" s="29" t="inlineStr">
        <is>
          <t>LARGE CORP</t>
        </is>
      </c>
      <c r="AU497" s="29" t="inlineStr">
        <is>
          <t>62173620</t>
        </is>
      </c>
      <c r="AV497" s="29" t="n">
        <v>1</v>
      </c>
      <c r="AW497" s="29" t="inlineStr">
        <is>
          <t>ROWS:p2r17 UNRECONCILED_SOURCE VALUE_COL:Valor_Após_Analise</t>
        </is>
      </c>
    </row>
    <row r="498">
      <c r="A498" s="15" t="inlineStr">
        <is>
          <t>CONSULTAR ASSIST TEC EM DOCUMENTACAO E INFORMACAO LTDA</t>
        </is>
      </c>
      <c r="B498" s="16" t="n">
        <v>207006.28</v>
      </c>
      <c r="C498" s="17" t="inlineStr">
        <is>
          <t>Grupo Arnon de Mello — Lindoso e Araujo</t>
        </is>
      </c>
      <c r="D498" s="18" t="inlineStr">
        <is>
          <t>NEW</t>
        </is>
      </c>
      <c r="E498" s="19" t="inlineStr"/>
      <c r="F498" s="18" t="inlineStr"/>
      <c r="G498" s="19" t="inlineStr"/>
      <c r="H498" s="18" t="inlineStr"/>
      <c r="I498" s="20" t="inlineStr">
        <is>
          <t>ANDRE LUIZ SILVA DOS SANTOS</t>
        </is>
      </c>
      <c r="J498" s="20" t="inlineStr">
        <is>
          <t>Sócio-Administrador</t>
        </is>
      </c>
      <c r="K498" s="20" t="inlineStr">
        <is>
          <t>(82) 9941-0392</t>
        </is>
      </c>
      <c r="L498" s="20" t="inlineStr"/>
      <c r="M498" s="20" t="inlineStr"/>
      <c r="N498" s="20" t="inlineStr"/>
      <c r="O498" s="20" t="inlineStr"/>
      <c r="P498" s="20" t="inlineStr"/>
      <c r="Q498" s="20" t="inlineStr"/>
      <c r="R498" s="20" t="inlineStr"/>
      <c r="S498" s="20" t="inlineStr"/>
      <c r="T498" s="21" t="n">
        <v>207006.28</v>
      </c>
      <c r="U498" s="31" t="inlineStr">
        <is>
          <t>C</t>
        </is>
      </c>
      <c r="V498" s="23">
        <f>IFERROR(VLOOKUP(U498,Assumptions!$A$7:$D$11,2,FALSE),0)</f>
        <v/>
      </c>
      <c r="W498" s="24">
        <f>MAX(0.5,IFERROR(VLOOKUP(U498,Assumptions!$A$7:$D$11,3,FALSE),3)+IFERROR(VLOOKUP(U498,Assumptions!$A$7:$D$11,4,FALSE),8)/2-IF(AN498="",0,YEAR(TODAY())-AN498))</f>
        <v/>
      </c>
      <c r="X498" s="21">
        <f>T498*V498/(1+Assumptions!$B$3)^W498</f>
        <v/>
      </c>
      <c r="Y498" s="25">
        <f>IF(T498=0,"",ROUND(X498/T498*100,1))</f>
        <v/>
      </c>
      <c r="Z498" s="26">
        <f>X498*Assumptions!$B$4</f>
        <v/>
      </c>
      <c r="AA498" s="25">
        <f>IF(T498=0,"",ROUND(Z498/T498*100,1))</f>
        <v/>
      </c>
      <c r="AB498" s="26">
        <f>X498-Z498</f>
        <v/>
      </c>
      <c r="AC498" s="25">
        <f>IF(T498=0,"",ROUND((X498-Z498)/T498*100,1))</f>
        <v/>
      </c>
      <c r="AD498" s="27" t="inlineStr">
        <is>
          <t>UNKNOWN</t>
        </is>
      </c>
      <c r="AE498" s="28" t="inlineStr">
        <is>
          <t>https://recuperacaojudicial.squarespace.com/s/RJ-Grupo-Arnon-de-Melo-Lista-de-Credores-Consolidada-abril-2022.pdf</t>
        </is>
      </c>
      <c r="AF498" s="27" t="inlineStr">
        <is>
          <t>p7 r53</t>
        </is>
      </c>
      <c r="AG498" s="27" t="inlineStr">
        <is>
          <t>p7: R$ 207.006,28</t>
        </is>
      </c>
      <c r="AH498" s="27" t="inlineStr">
        <is>
          <t>AJ_LIST</t>
        </is>
      </c>
      <c r="AI498" s="27" t="inlineStr"/>
      <c r="AJ498" s="27" t="inlineStr">
        <is>
          <t>OK_NO_TOTALS</t>
        </is>
      </c>
      <c r="AK498" s="29" t="inlineStr">
        <is>
          <t>0700256-03.2019.8.02.0066</t>
        </is>
      </c>
      <c r="AL498" s="29" t="inlineStr">
        <is>
          <t>TJ</t>
        </is>
      </c>
      <c r="AM498" s="29" t="inlineStr"/>
      <c r="AN498" s="29" t="n">
        <v>2019</v>
      </c>
      <c r="AO498" s="29" t="inlineStr">
        <is>
          <t>7y since filing, no plan document</t>
        </is>
      </c>
      <c r="AP498" s="29" t="inlineStr">
        <is>
          <t>MACEIO</t>
        </is>
      </c>
      <c r="AQ498" s="29" t="inlineStr">
        <is>
          <t>AL</t>
        </is>
      </c>
      <c r="AR498" s="29" t="inlineStr">
        <is>
          <t>Preparação de documentos e serviços especializados de apoio administrativo não especificados anteriormente</t>
        </is>
      </c>
      <c r="AS498" s="29" t="inlineStr">
        <is>
          <t>MICRO EMPRESA</t>
        </is>
      </c>
      <c r="AT498" s="29" t="inlineStr">
        <is>
          <t>SMALL</t>
        </is>
      </c>
      <c r="AU498" s="29" t="inlineStr">
        <is>
          <t>69975530</t>
        </is>
      </c>
      <c r="AV498" s="29" t="n">
        <v>1</v>
      </c>
      <c r="AW498" s="29" t="inlineStr">
        <is>
          <t>ROWS:p7r53 UNRECONCILED_SOURCE</t>
        </is>
      </c>
    </row>
    <row r="499">
      <c r="A499" s="15" t="inlineStr">
        <is>
          <t>SUPERMIX CONCRETO S/A</t>
        </is>
      </c>
      <c r="B499" s="16" t="n">
        <v>470287.72</v>
      </c>
      <c r="C499" s="17" t="inlineStr">
        <is>
          <t>EGESA ENGENHARIA S/A (Consórcio ETDI)</t>
        </is>
      </c>
      <c r="D499" s="18" t="inlineStr">
        <is>
          <t>NEW</t>
        </is>
      </c>
      <c r="E499" s="19" t="inlineStr"/>
      <c r="F499" s="18" t="inlineStr"/>
      <c r="G499" s="19" t="inlineStr"/>
      <c r="H499" s="18" t="inlineStr"/>
      <c r="I499" s="20" t="inlineStr">
        <is>
          <t>ALESSANDRO VERISSIMO SOUZA</t>
        </is>
      </c>
      <c r="J499" s="20" t="inlineStr">
        <is>
          <t>Diretor</t>
        </is>
      </c>
      <c r="K499" s="20" t="inlineStr"/>
      <c r="L499" s="20" t="inlineStr"/>
      <c r="M499" s="20" t="inlineStr"/>
      <c r="N499" s="20" t="inlineStr"/>
      <c r="O499" s="20" t="inlineStr"/>
      <c r="P499" s="20" t="inlineStr">
        <is>
          <t>FERNANDO AZEREDO DINIZ</t>
        </is>
      </c>
      <c r="Q499" s="20" t="inlineStr">
        <is>
          <t>Diretor</t>
        </is>
      </c>
      <c r="R499" s="20" t="inlineStr"/>
      <c r="S499" s="20" t="inlineStr"/>
      <c r="T499" s="21" t="n">
        <v>470287.72</v>
      </c>
      <c r="U499" s="30" t="inlineStr">
        <is>
          <t>?</t>
        </is>
      </c>
      <c r="V499" s="23">
        <f>IFERROR(VLOOKUP(U499,Assumptions!$A$7:$D$11,2,FALSE),0)</f>
        <v/>
      </c>
      <c r="W499" s="24">
        <f>MAX(0.5,IFERROR(VLOOKUP(U499,Assumptions!$A$7:$D$11,3,FALSE),3)+IFERROR(VLOOKUP(U499,Assumptions!$A$7:$D$11,4,FALSE),8)/2-IF(AN499="",0,YEAR(TODAY())-AN499))</f>
        <v/>
      </c>
      <c r="X499" s="21">
        <f>T499*V499/(1+Assumptions!$B$3)^W499</f>
        <v/>
      </c>
      <c r="Y499" s="25">
        <f>IF(T499=0,"",ROUND(X499/T499*100,1))</f>
        <v/>
      </c>
      <c r="Z499" s="26">
        <f>X499*Assumptions!$B$4</f>
        <v/>
      </c>
      <c r="AA499" s="25">
        <f>IF(T499=0,"",ROUND(Z499/T499*100,1))</f>
        <v/>
      </c>
      <c r="AB499" s="26">
        <f>X499-Z499</f>
        <v/>
      </c>
      <c r="AC499" s="25">
        <f>IF(T499=0,"",ROUND((X499-Z499)/T499*100,1))</f>
        <v/>
      </c>
      <c r="AD499" s="27" t="inlineStr">
        <is>
          <t>UNKNOWN</t>
        </is>
      </c>
      <c r="AE499" s="28" t="inlineStr">
        <is>
          <t>https://scalzilliaj.com.br/sgc/download.php?file=files/processo_documento/processo_documento09514021082025_1_.pdf&amp;nome=04 - Relação de credores das Recuperandas</t>
        </is>
      </c>
      <c r="AF499" s="27" t="inlineStr">
        <is>
          <t>p73 r14; p73 r15</t>
        </is>
      </c>
      <c r="AG499" s="27" t="inlineStr">
        <is>
          <t>p73: R$ 381.839,83; p73: R$ 88.447,89</t>
        </is>
      </c>
      <c r="AH499" s="27" t="inlineStr">
        <is>
          <t>DEBTOR_LIST</t>
        </is>
      </c>
      <c r="AI499" s="27" t="inlineStr"/>
      <c r="AJ499" s="27" t="inlineStr">
        <is>
          <t>OK</t>
        </is>
      </c>
      <c r="AK499" s="29" t="inlineStr">
        <is>
          <t>(not printed)</t>
        </is>
      </c>
      <c r="AL499" s="29" t="inlineStr"/>
      <c r="AM499" s="29" t="inlineStr"/>
      <c r="AN499" s="29" t="inlineStr"/>
      <c r="AO499" s="29" t="inlineStr">
        <is>
          <t>RJ case number not identified on the document</t>
        </is>
      </c>
      <c r="AP499" s="29" t="inlineStr">
        <is>
          <t>BELO HORIZONTE</t>
        </is>
      </c>
      <c r="AQ499" s="29" t="inlineStr">
        <is>
          <t>MG</t>
        </is>
      </c>
      <c r="AR499" s="29" t="inlineStr">
        <is>
          <t>Outras obras de engenharia civil não especificadas anteriormente</t>
        </is>
      </c>
      <c r="AS499" s="29" t="inlineStr">
        <is>
          <t>DEMAIS</t>
        </is>
      </c>
      <c r="AT499" s="29" t="inlineStr">
        <is>
          <t>LARGE CORP</t>
        </is>
      </c>
      <c r="AU499" s="29" t="inlineStr">
        <is>
          <t>34230979</t>
        </is>
      </c>
      <c r="AV499" s="29" t="n">
        <v>2</v>
      </c>
      <c r="AW499" s="29" t="inlineStr">
        <is>
          <t>ROWS:p73r14,p73r15 VALUE_COL:Valor_Atualizado CASE_NUMBER_CORRECTED</t>
        </is>
      </c>
    </row>
    <row r="500">
      <c r="A500" s="15" t="inlineStr">
        <is>
          <t>CONSENCO EDIFICACOES E INCORPORACOES TUCCI CAVALCANTE LTDA</t>
        </is>
      </c>
      <c r="B500" s="16" t="n">
        <v>203452.29</v>
      </c>
      <c r="C500" s="17" t="inlineStr">
        <is>
          <t>Grupo Arnon de Mello — Lindoso e Araujo</t>
        </is>
      </c>
      <c r="D500" s="18" t="inlineStr">
        <is>
          <t>NEW</t>
        </is>
      </c>
      <c r="E500" s="19" t="inlineStr"/>
      <c r="F500" s="18" t="inlineStr"/>
      <c r="G500" s="19" t="inlineStr"/>
      <c r="H500" s="18" t="inlineStr"/>
      <c r="I500" s="20" t="inlineStr">
        <is>
          <t>DIEGO TUCCI CAVALCANTE OLIVEIRA</t>
        </is>
      </c>
      <c r="J500" s="20" t="inlineStr">
        <is>
          <t>Sócio-Administrador</t>
        </is>
      </c>
      <c r="K500" s="20" t="inlineStr">
        <is>
          <t>(82) 3355-8557</t>
        </is>
      </c>
      <c r="L500" s="20" t="inlineStr"/>
      <c r="M500" s="20" t="inlineStr"/>
      <c r="N500" s="20" t="inlineStr"/>
      <c r="O500" s="20" t="inlineStr"/>
      <c r="P500" s="20" t="inlineStr">
        <is>
          <t>JOSE CAVALCANTE OLIVEIRA</t>
        </is>
      </c>
      <c r="Q500" s="20" t="inlineStr">
        <is>
          <t>Sócio-Administrador</t>
        </is>
      </c>
      <c r="R500" s="20" t="inlineStr">
        <is>
          <t>(82) 3355-8557</t>
        </is>
      </c>
      <c r="S500" s="20" t="inlineStr"/>
      <c r="T500" s="21" t="n">
        <v>203452.29</v>
      </c>
      <c r="U500" s="31" t="inlineStr">
        <is>
          <t>C</t>
        </is>
      </c>
      <c r="V500" s="23">
        <f>IFERROR(VLOOKUP(U500,Assumptions!$A$7:$D$11,2,FALSE),0)</f>
        <v/>
      </c>
      <c r="W500" s="24">
        <f>MAX(0.5,IFERROR(VLOOKUP(U500,Assumptions!$A$7:$D$11,3,FALSE),3)+IFERROR(VLOOKUP(U500,Assumptions!$A$7:$D$11,4,FALSE),8)/2-IF(AN500="",0,YEAR(TODAY())-AN500))</f>
        <v/>
      </c>
      <c r="X500" s="21">
        <f>T500*V500/(1+Assumptions!$B$3)^W500</f>
        <v/>
      </c>
      <c r="Y500" s="25">
        <f>IF(T500=0,"",ROUND(X500/T500*100,1))</f>
        <v/>
      </c>
      <c r="Z500" s="26">
        <f>X500*Assumptions!$B$4</f>
        <v/>
      </c>
      <c r="AA500" s="25">
        <f>IF(T500=0,"",ROUND(Z500/T500*100,1))</f>
        <v/>
      </c>
      <c r="AB500" s="26">
        <f>X500-Z500</f>
        <v/>
      </c>
      <c r="AC500" s="25">
        <f>IF(T500=0,"",ROUND((X500-Z500)/T500*100,1))</f>
        <v/>
      </c>
      <c r="AD500" s="27" t="inlineStr">
        <is>
          <t>UNKNOWN</t>
        </is>
      </c>
      <c r="AE500" s="28" t="inlineStr">
        <is>
          <t>https://recuperacaojudicial.squarespace.com/s/RJ-Grupo-Arnon-de-Melo-Lista-de-Credores-Consolidada-abril-2022.pdf</t>
        </is>
      </c>
      <c r="AF500" s="27" t="inlineStr">
        <is>
          <t>p7 r51</t>
        </is>
      </c>
      <c r="AG500" s="27" t="inlineStr">
        <is>
          <t>p7: R$ 203.452,29</t>
        </is>
      </c>
      <c r="AH500" s="27" t="inlineStr">
        <is>
          <t>AJ_LIST</t>
        </is>
      </c>
      <c r="AI500" s="27" t="inlineStr"/>
      <c r="AJ500" s="27" t="inlineStr">
        <is>
          <t>OK_NO_TOTALS</t>
        </is>
      </c>
      <c r="AK500" s="29" t="inlineStr">
        <is>
          <t>0700256-03.2019.8.02.0066</t>
        </is>
      </c>
      <c r="AL500" s="29" t="inlineStr">
        <is>
          <t>TJ</t>
        </is>
      </c>
      <c r="AM500" s="29" t="inlineStr"/>
      <c r="AN500" s="29" t="n">
        <v>2019</v>
      </c>
      <c r="AO500" s="29" t="inlineStr">
        <is>
          <t>7y since filing, no plan document</t>
        </is>
      </c>
      <c r="AP500" s="29" t="inlineStr">
        <is>
          <t>MACEIO</t>
        </is>
      </c>
      <c r="AQ500" s="29" t="inlineStr">
        <is>
          <t>AL</t>
        </is>
      </c>
      <c r="AR500" s="29" t="inlineStr">
        <is>
          <t>Construção de edifícios</t>
        </is>
      </c>
      <c r="AS500" s="29" t="inlineStr">
        <is>
          <t>DEMAIS</t>
        </is>
      </c>
      <c r="AT500" s="29" t="inlineStr">
        <is>
          <t>MID-MARKET</t>
        </is>
      </c>
      <c r="AU500" s="29" t="inlineStr">
        <is>
          <t>14898243</t>
        </is>
      </c>
      <c r="AV500" s="29" t="n">
        <v>1</v>
      </c>
      <c r="AW500" s="29" t="inlineStr">
        <is>
          <t>ROWS:p7r51 UNRECONCILED_SOURCE</t>
        </is>
      </c>
    </row>
    <row r="501">
      <c r="A501" s="15" t="inlineStr">
        <is>
          <t>KASPER INDUSTRIA DE MOVEIS LTDA</t>
        </is>
      </c>
      <c r="B501" s="16" t="n">
        <v>253853.5</v>
      </c>
      <c r="C501" s="17" t="inlineStr">
        <is>
          <t>aludida empresa</t>
        </is>
      </c>
      <c r="D501" s="18" t="inlineStr">
        <is>
          <t>NEW</t>
        </is>
      </c>
      <c r="E501" s="19" t="inlineStr"/>
      <c r="F501" s="18" t="inlineStr"/>
      <c r="G501" s="19" t="inlineStr"/>
      <c r="H501" s="18" t="inlineStr"/>
      <c r="I501" s="20" t="inlineStr">
        <is>
          <t>INGRID PAULINA KASPER DEDECO</t>
        </is>
      </c>
      <c r="J501" s="20" t="inlineStr">
        <is>
          <t>Sócio-Administrador</t>
        </is>
      </c>
      <c r="K501" s="20" t="inlineStr">
        <is>
          <t>496430133</t>
        </is>
      </c>
      <c r="L501" s="20" t="inlineStr"/>
      <c r="M501" s="20" t="inlineStr"/>
      <c r="N501" s="20" t="inlineStr"/>
      <c r="O501" s="20" t="inlineStr"/>
      <c r="P501" s="20" t="inlineStr">
        <is>
          <t>JORGE LUIZ SALLES DEDECO</t>
        </is>
      </c>
      <c r="Q501" s="20" t="inlineStr">
        <is>
          <t>Sócio-Administrador</t>
        </is>
      </c>
      <c r="R501" s="20" t="inlineStr">
        <is>
          <t>496430133</t>
        </is>
      </c>
      <c r="S501" s="20" t="inlineStr"/>
      <c r="T501" s="21" t="n">
        <v>253853.5</v>
      </c>
      <c r="U501" s="31" t="inlineStr">
        <is>
          <t>C</t>
        </is>
      </c>
      <c r="V501" s="23">
        <f>IFERROR(VLOOKUP(U501,Assumptions!$A$7:$D$11,2,FALSE),0)</f>
        <v/>
      </c>
      <c r="W501" s="24">
        <f>MAX(0.5,IFERROR(VLOOKUP(U501,Assumptions!$A$7:$D$11,3,FALSE),3)+IFERROR(VLOOKUP(U501,Assumptions!$A$7:$D$11,4,FALSE),8)/2-IF(AN501="",0,YEAR(TODAY())-AN501))</f>
        <v/>
      </c>
      <c r="X501" s="21">
        <f>T501*V501/(1+Assumptions!$B$3)^W501</f>
        <v/>
      </c>
      <c r="Y501" s="25">
        <f>IF(T501=0,"",ROUND(X501/T501*100,1))</f>
        <v/>
      </c>
      <c r="Z501" s="26">
        <f>X501*Assumptions!$B$4</f>
        <v/>
      </c>
      <c r="AA501" s="25">
        <f>IF(T501=0,"",ROUND(Z501/T501*100,1))</f>
        <v/>
      </c>
      <c r="AB501" s="26">
        <f>X501-Z501</f>
        <v/>
      </c>
      <c r="AC501" s="25">
        <f>IF(T501=0,"",ROUND((X501-Z501)/T501*100,1))</f>
        <v/>
      </c>
      <c r="AD501" s="27" t="inlineStr">
        <is>
          <t>ESTIMATED</t>
        </is>
      </c>
      <c r="AE501" s="28" t="inlineStr">
        <is>
          <t>https://recuperacaojudicial.squarespace.com/s/RJ-Credimoveis-QGC-01082025.pdf</t>
        </is>
      </c>
      <c r="AF501" s="27" t="inlineStr">
        <is>
          <t>p16 r3</t>
        </is>
      </c>
      <c r="AG501" s="27" t="inlineStr">
        <is>
          <t>p16: R$ 253.853,50</t>
        </is>
      </c>
      <c r="AH501" s="27" t="inlineStr">
        <is>
          <t>QGC</t>
        </is>
      </c>
      <c r="AI501" s="27" t="inlineStr">
        <is>
          <t>2026-01-28</t>
        </is>
      </c>
      <c r="AJ501" s="27" t="inlineStr">
        <is>
          <t>OK</t>
        </is>
      </c>
      <c r="AK501" s="29" t="inlineStr">
        <is>
          <t>0007565-40.2020.8.17.2370</t>
        </is>
      </c>
      <c r="AL501" s="29" t="inlineStr">
        <is>
          <t>TJPE</t>
        </is>
      </c>
      <c r="AM501" s="29" t="inlineStr">
        <is>
          <t>ACTIVE</t>
        </is>
      </c>
      <c r="AN501" s="29" t="n">
        <v>2020</v>
      </c>
      <c r="AO501" s="29" t="inlineStr">
        <is>
          <t>6y since filing, no plan document</t>
        </is>
      </c>
      <c r="AP501" s="29" t="inlineStr">
        <is>
          <t>SAO JOSE DO CEDRO</t>
        </is>
      </c>
      <c r="AQ501" s="29" t="inlineStr">
        <is>
          <t>SC</t>
        </is>
      </c>
      <c r="AR501" s="29" t="inlineStr">
        <is>
          <t>Fabricação de móveis com predominância de madeira</t>
        </is>
      </c>
      <c r="AS501" s="29" t="inlineStr">
        <is>
          <t>DEMAIS</t>
        </is>
      </c>
      <c r="AT501" s="29" t="inlineStr">
        <is>
          <t>MID-MARKET</t>
        </is>
      </c>
      <c r="AU501" s="29" t="inlineStr">
        <is>
          <t>86205416</t>
        </is>
      </c>
      <c r="AV501" s="29" t="n">
        <v>1</v>
      </c>
      <c r="AW501" s="29" t="inlineStr">
        <is>
          <t>ROWS:p16r3</t>
        </is>
      </c>
    </row>
    <row r="502">
      <c r="A502" s="15" t="inlineStr">
        <is>
          <t>FLUMINENSE FOOTBALL CLUB</t>
        </is>
      </c>
      <c r="B502" s="16" t="n">
        <v>309484.78</v>
      </c>
      <c r="C502" s="17" t="inlineStr"/>
      <c r="D502" s="18" t="inlineStr">
        <is>
          <t>NEW</t>
        </is>
      </c>
      <c r="E502" s="19" t="inlineStr"/>
      <c r="F502" s="18" t="inlineStr"/>
      <c r="G502" s="19" t="inlineStr"/>
      <c r="H502" s="18" t="inlineStr"/>
      <c r="I502" s="20" t="inlineStr">
        <is>
          <t>Leonardo Iunes</t>
        </is>
      </c>
      <c r="J502" s="20" t="inlineStr">
        <is>
          <t>Diretor Executivo Financeiro - CFO</t>
        </is>
      </c>
      <c r="K502" s="20" t="inlineStr"/>
      <c r="L502" s="20" t="inlineStr"/>
      <c r="M502" s="20" t="inlineStr"/>
      <c r="N502" s="20" t="inlineStr">
        <is>
          <t>leonardo.iunes@fluminense.com.br</t>
        </is>
      </c>
      <c r="O502" s="20" t="inlineStr"/>
      <c r="P502" s="20" t="inlineStr"/>
      <c r="Q502" s="20" t="inlineStr"/>
      <c r="R502" s="20" t="inlineStr"/>
      <c r="S502" s="20" t="inlineStr"/>
      <c r="T502" s="21" t="n">
        <v>309484.78</v>
      </c>
      <c r="U502" s="22" t="inlineStr">
        <is>
          <t>B</t>
        </is>
      </c>
      <c r="V502" s="23">
        <f>IFERROR(VLOOKUP(U502,Assumptions!$A$7:$D$11,2,FALSE),0)</f>
        <v/>
      </c>
      <c r="W502" s="24">
        <f>MAX(0.5,IFERROR(VLOOKUP(U502,Assumptions!$A$7:$D$11,3,FALSE),3)+IFERROR(VLOOKUP(U502,Assumptions!$A$7:$D$11,4,FALSE),8)/2-IF(AN502="",0,YEAR(TODAY())-AN502))</f>
        <v/>
      </c>
      <c r="X502" s="21">
        <f>T502*V502/(1+Assumptions!$B$3)^W502</f>
        <v/>
      </c>
      <c r="Y502" s="25">
        <f>IF(T502=0,"",ROUND(X502/T502*100,1))</f>
        <v/>
      </c>
      <c r="Z502" s="26">
        <f>X502*Assumptions!$B$4</f>
        <v/>
      </c>
      <c r="AA502" s="25">
        <f>IF(T502=0,"",ROUND(Z502/T502*100,1))</f>
        <v/>
      </c>
      <c r="AB502" s="26">
        <f>X502-Z502</f>
        <v/>
      </c>
      <c r="AC502" s="25">
        <f>IF(T502=0,"",ROUND((X502-Z502)/T502*100,1))</f>
        <v/>
      </c>
      <c r="AD502" s="27" t="inlineStr">
        <is>
          <t>ESTIMATED</t>
        </is>
      </c>
      <c r="AE502" s="28" t="inlineStr">
        <is>
          <t>https://cdn.dol.com.br/img/attachmentinline/940000/6publicacao-2-edital-art-7-parag-2-da-lei-11101-20009467060.pdf?xid=3272528</t>
        </is>
      </c>
      <c r="AF502" s="27" t="inlineStr">
        <is>
          <t>p3 r19</t>
        </is>
      </c>
      <c r="AG502" s="27" t="inlineStr">
        <is>
          <t>p3: R$ 309.484,78</t>
        </is>
      </c>
      <c r="AH502" s="27" t="inlineStr">
        <is>
          <t>AJ_LIST</t>
        </is>
      </c>
      <c r="AI502" s="27" t="inlineStr">
        <is>
          <t>2026-07-07</t>
        </is>
      </c>
      <c r="AJ502" s="27" t="inlineStr">
        <is>
          <t>QUARANTINED</t>
        </is>
      </c>
      <c r="AK502" s="29" t="inlineStr">
        <is>
          <t>0820780-23.2026.8.14.0301</t>
        </is>
      </c>
      <c r="AL502" s="29" t="inlineStr">
        <is>
          <t>TJPA</t>
        </is>
      </c>
      <c r="AM502" s="29" t="inlineStr">
        <is>
          <t>ACTIVE</t>
        </is>
      </c>
      <c r="AN502" s="29" t="n">
        <v>2026</v>
      </c>
      <c r="AO502" s="29" t="inlineStr">
        <is>
          <t>live case, no plan document yet</t>
        </is>
      </c>
      <c r="AP502" s="29" t="inlineStr">
        <is>
          <t>RIO DE JANEIRO</t>
        </is>
      </c>
      <c r="AQ502" s="29" t="inlineStr">
        <is>
          <t>RJ</t>
        </is>
      </c>
      <c r="AR502" s="29" t="inlineStr">
        <is>
          <t>Clubes sociais, esportivos e similares</t>
        </is>
      </c>
      <c r="AS502" s="29" t="inlineStr">
        <is>
          <t>DEMAIS</t>
        </is>
      </c>
      <c r="AT502" s="29" t="inlineStr">
        <is>
          <t>MID-MARKET</t>
        </is>
      </c>
      <c r="AU502" s="29" t="inlineStr">
        <is>
          <t>33647553</t>
        </is>
      </c>
      <c r="AV502" s="29" t="n">
        <v>1</v>
      </c>
      <c r="AW502" s="29" t="inlineStr">
        <is>
          <t>PARTIAL_DOC_CLASS_III_RECONCILED ROWS:p3r19</t>
        </is>
      </c>
    </row>
    <row r="503">
      <c r="A503" s="15" t="inlineStr">
        <is>
          <t>SANTOS ANDIRA INDUSTRIA DE MOVEIS LTDA</t>
        </is>
      </c>
      <c r="B503" s="16" t="n">
        <v>252798.81</v>
      </c>
      <c r="C503" s="17" t="inlineStr">
        <is>
          <t>aludida empresa</t>
        </is>
      </c>
      <c r="D503" s="18" t="inlineStr">
        <is>
          <t>NEW</t>
        </is>
      </c>
      <c r="E503" s="19" t="inlineStr"/>
      <c r="F503" s="18" t="inlineStr"/>
      <c r="G503" s="19" t="inlineStr"/>
      <c r="H503" s="18" t="inlineStr"/>
      <c r="I503" s="20" t="inlineStr">
        <is>
          <t>ANDRE BIANCARDI DOS SANTOS</t>
        </is>
      </c>
      <c r="J503" s="20" t="inlineStr">
        <is>
          <t>Sócio-Administrador</t>
        </is>
      </c>
      <c r="K503" s="20" t="inlineStr">
        <is>
          <t>(43) 3538-8304</t>
        </is>
      </c>
      <c r="L503" s="20" t="inlineStr">
        <is>
          <t>(43) 3638-8300</t>
        </is>
      </c>
      <c r="M503" s="20" t="inlineStr"/>
      <c r="N503" s="20" t="inlineStr"/>
      <c r="O503" s="20" t="inlineStr"/>
      <c r="P503" s="20" t="inlineStr">
        <is>
          <t>JOSE ROBERTO DOS SANTOS</t>
        </is>
      </c>
      <c r="Q503" s="20" t="inlineStr">
        <is>
          <t>Sócio-Administrador</t>
        </is>
      </c>
      <c r="R503" s="20" t="inlineStr">
        <is>
          <t>(43) 3638-8300</t>
        </is>
      </c>
      <c r="S503" s="20" t="inlineStr"/>
      <c r="T503" s="21" t="n">
        <v>252798.81</v>
      </c>
      <c r="U503" s="31" t="inlineStr">
        <is>
          <t>C</t>
        </is>
      </c>
      <c r="V503" s="23">
        <f>IFERROR(VLOOKUP(U503,Assumptions!$A$7:$D$11,2,FALSE),0)</f>
        <v/>
      </c>
      <c r="W503" s="24">
        <f>MAX(0.5,IFERROR(VLOOKUP(U503,Assumptions!$A$7:$D$11,3,FALSE),3)+IFERROR(VLOOKUP(U503,Assumptions!$A$7:$D$11,4,FALSE),8)/2-IF(AN503="",0,YEAR(TODAY())-AN503))</f>
        <v/>
      </c>
      <c r="X503" s="21">
        <f>T503*V503/(1+Assumptions!$B$3)^W503</f>
        <v/>
      </c>
      <c r="Y503" s="25">
        <f>IF(T503=0,"",ROUND(X503/T503*100,1))</f>
        <v/>
      </c>
      <c r="Z503" s="26">
        <f>X503*Assumptions!$B$4</f>
        <v/>
      </c>
      <c r="AA503" s="25">
        <f>IF(T503=0,"",ROUND(Z503/T503*100,1))</f>
        <v/>
      </c>
      <c r="AB503" s="26">
        <f>X503-Z503</f>
        <v/>
      </c>
      <c r="AC503" s="25">
        <f>IF(T503=0,"",ROUND((X503-Z503)/T503*100,1))</f>
        <v/>
      </c>
      <c r="AD503" s="27" t="inlineStr">
        <is>
          <t>ESTIMATED</t>
        </is>
      </c>
      <c r="AE503" s="28" t="inlineStr">
        <is>
          <t>https://recuperacaojudicial.squarespace.com/s/RJ-Credimoveis-QGC-01082025.pdf</t>
        </is>
      </c>
      <c r="AF503" s="27" t="inlineStr">
        <is>
          <t>p16 r55</t>
        </is>
      </c>
      <c r="AG503" s="27" t="inlineStr">
        <is>
          <t>p16: R$ 252.798,81</t>
        </is>
      </c>
      <c r="AH503" s="27" t="inlineStr">
        <is>
          <t>QGC</t>
        </is>
      </c>
      <c r="AI503" s="27" t="inlineStr">
        <is>
          <t>2026-01-28</t>
        </is>
      </c>
      <c r="AJ503" s="27" t="inlineStr">
        <is>
          <t>OK</t>
        </is>
      </c>
      <c r="AK503" s="29" t="inlineStr">
        <is>
          <t>0007565-40.2020.8.17.2370</t>
        </is>
      </c>
      <c r="AL503" s="29" t="inlineStr">
        <is>
          <t>TJPE</t>
        </is>
      </c>
      <c r="AM503" s="29" t="inlineStr">
        <is>
          <t>ACTIVE</t>
        </is>
      </c>
      <c r="AN503" s="29" t="n">
        <v>2020</v>
      </c>
      <c r="AO503" s="29" t="inlineStr">
        <is>
          <t>6y since filing, no plan document</t>
        </is>
      </c>
      <c r="AP503" s="29" t="inlineStr">
        <is>
          <t>ANDIRA</t>
        </is>
      </c>
      <c r="AQ503" s="29" t="inlineStr">
        <is>
          <t>PR</t>
        </is>
      </c>
      <c r="AR503" s="29" t="inlineStr">
        <is>
          <t>Fabricação de móveis com predominância de madeira</t>
        </is>
      </c>
      <c r="AS503" s="29" t="inlineStr">
        <is>
          <t>DEMAIS</t>
        </is>
      </c>
      <c r="AT503" s="29" t="inlineStr">
        <is>
          <t>MID-MARKET</t>
        </is>
      </c>
      <c r="AU503" s="29" t="inlineStr">
        <is>
          <t>75205831</t>
        </is>
      </c>
      <c r="AV503" s="29" t="n">
        <v>1</v>
      </c>
      <c r="AW503" s="29" t="inlineStr">
        <is>
          <t>ROWS:p16r55</t>
        </is>
      </c>
    </row>
    <row r="504">
      <c r="A504" s="15" t="inlineStr">
        <is>
          <t>TOP50 LOCADORA DE EQUIPAMENTOS LTDA</t>
        </is>
      </c>
      <c r="B504" s="16" t="n">
        <v>462152.49</v>
      </c>
      <c r="C504" s="17" t="inlineStr">
        <is>
          <t>EGESA ENGENHARIA S/A (Consórcio ETDI)</t>
        </is>
      </c>
      <c r="D504" s="18" t="inlineStr">
        <is>
          <t>NEW</t>
        </is>
      </c>
      <c r="E504" s="19" t="inlineStr"/>
      <c r="F504" s="18" t="inlineStr"/>
      <c r="G504" s="19" t="inlineStr"/>
      <c r="H504" s="18" t="inlineStr"/>
      <c r="I504" s="20" t="inlineStr">
        <is>
          <t>FERNANDO GODOY BUZOLIN</t>
        </is>
      </c>
      <c r="J504" s="20" t="inlineStr">
        <is>
          <t>Administrador</t>
        </is>
      </c>
      <c r="K504" s="20" t="inlineStr">
        <is>
          <t>(11) 3116-5050</t>
        </is>
      </c>
      <c r="L504" s="20" t="inlineStr"/>
      <c r="M504" s="20" t="inlineStr"/>
      <c r="N504" s="20" t="inlineStr"/>
      <c r="O504" s="20" t="inlineStr"/>
      <c r="P504" s="20" t="inlineStr">
        <is>
          <t>REINALDO FRANCISCO DE MESQUITA</t>
        </is>
      </c>
      <c r="Q504" s="20" t="inlineStr">
        <is>
          <t>Administrador</t>
        </is>
      </c>
      <c r="R504" s="20" t="inlineStr">
        <is>
          <t>(11) 3116-5050</t>
        </is>
      </c>
      <c r="S504" s="20" t="inlineStr"/>
      <c r="T504" s="21" t="n">
        <v>462152.49</v>
      </c>
      <c r="U504" s="30" t="inlineStr">
        <is>
          <t>?</t>
        </is>
      </c>
      <c r="V504" s="23">
        <f>IFERROR(VLOOKUP(U504,Assumptions!$A$7:$D$11,2,FALSE),0)</f>
        <v/>
      </c>
      <c r="W504" s="24">
        <f>MAX(0.5,IFERROR(VLOOKUP(U504,Assumptions!$A$7:$D$11,3,FALSE),3)+IFERROR(VLOOKUP(U504,Assumptions!$A$7:$D$11,4,FALSE),8)/2-IF(AN504="",0,YEAR(TODAY())-AN504))</f>
        <v/>
      </c>
      <c r="X504" s="21">
        <f>T504*V504/(1+Assumptions!$B$3)^W504</f>
        <v/>
      </c>
      <c r="Y504" s="25">
        <f>IF(T504=0,"",ROUND(X504/T504*100,1))</f>
        <v/>
      </c>
      <c r="Z504" s="26">
        <f>X504*Assumptions!$B$4</f>
        <v/>
      </c>
      <c r="AA504" s="25">
        <f>IF(T504=0,"",ROUND(Z504/T504*100,1))</f>
        <v/>
      </c>
      <c r="AB504" s="26">
        <f>X504-Z504</f>
        <v/>
      </c>
      <c r="AC504" s="25">
        <f>IF(T504=0,"",ROUND((X504-Z504)/T504*100,1))</f>
        <v/>
      </c>
      <c r="AD504" s="27" t="inlineStr">
        <is>
          <t>UNKNOWN</t>
        </is>
      </c>
      <c r="AE504" s="28" t="inlineStr">
        <is>
          <t>https://scalzilliaj.com.br/sgc/download.php?file=files/processo_documento/processo_documento09514021082025_1_.pdf&amp;nome=04 - Relação de credores das Recuperandas</t>
        </is>
      </c>
      <c r="AF504" s="27" t="inlineStr">
        <is>
          <t>p65 r7</t>
        </is>
      </c>
      <c r="AG504" s="27" t="inlineStr">
        <is>
          <t>p65: R$ 462.152,49</t>
        </is>
      </c>
      <c r="AH504" s="27" t="inlineStr">
        <is>
          <t>DEBTOR_LIST</t>
        </is>
      </c>
      <c r="AI504" s="27" t="inlineStr"/>
      <c r="AJ504" s="27" t="inlineStr">
        <is>
          <t>OK</t>
        </is>
      </c>
      <c r="AK504" s="29" t="inlineStr">
        <is>
          <t>(not printed)</t>
        </is>
      </c>
      <c r="AL504" s="29" t="inlineStr"/>
      <c r="AM504" s="29" t="inlineStr"/>
      <c r="AN504" s="29" t="inlineStr"/>
      <c r="AO504" s="29" t="inlineStr">
        <is>
          <t>RJ case number not identified on the document</t>
        </is>
      </c>
      <c r="AP504" s="29" t="inlineStr">
        <is>
          <t>GUARULHOS</t>
        </is>
      </c>
      <c r="AQ504" s="29" t="inlineStr">
        <is>
          <t>SP</t>
        </is>
      </c>
      <c r="AR504" s="29" t="inlineStr">
        <is>
          <t>Aluguel de máquinas e equipamentos para construção sem operador, exceto andaimes</t>
        </is>
      </c>
      <c r="AS504" s="29" t="inlineStr">
        <is>
          <t>DEMAIS</t>
        </is>
      </c>
      <c r="AT504" s="29" t="inlineStr">
        <is>
          <t>MID-MARKET</t>
        </is>
      </c>
      <c r="AU504" s="29" t="inlineStr">
        <is>
          <t>29958527</t>
        </is>
      </c>
      <c r="AV504" s="29" t="n">
        <v>1</v>
      </c>
      <c r="AW504" s="29" t="inlineStr">
        <is>
          <t>ROWS:p65r7 VALUE_COL:Valor_Atualizado CASE_NUMBER_CORRECTED</t>
        </is>
      </c>
    </row>
    <row r="505">
      <c r="A505" s="15" t="inlineStr">
        <is>
          <t>JOAO DE DEUS TRANSPORTES E COMERCIO LTDA</t>
        </is>
      </c>
      <c r="B505" s="16" t="n">
        <v>458601.25</v>
      </c>
      <c r="C505" s="17" t="inlineStr">
        <is>
          <t>EGESA ENGENHARIA S/A (Consórcio ETDI)</t>
        </is>
      </c>
      <c r="D505" s="18" t="inlineStr">
        <is>
          <t>NEW</t>
        </is>
      </c>
      <c r="E505" s="19" t="inlineStr"/>
      <c r="F505" s="18" t="inlineStr"/>
      <c r="G505" s="19" t="inlineStr"/>
      <c r="H505" s="18" t="inlineStr"/>
      <c r="I505" s="20" t="inlineStr">
        <is>
          <t>JOAO DE DEUS BARBOSA ALVES</t>
        </is>
      </c>
      <c r="J505" s="20" t="inlineStr">
        <is>
          <t>Sócio-Administrador</t>
        </is>
      </c>
      <c r="K505" s="20" t="inlineStr">
        <is>
          <t>(31) 3417-3964</t>
        </is>
      </c>
      <c r="L505" s="20" t="inlineStr">
        <is>
          <t>(31) 9972-3745</t>
        </is>
      </c>
      <c r="M505" s="20" t="inlineStr"/>
      <c r="N505" s="20" t="inlineStr"/>
      <c r="O505" s="20" t="inlineStr"/>
      <c r="P505" s="20" t="inlineStr"/>
      <c r="Q505" s="20" t="inlineStr"/>
      <c r="R505" s="20" t="inlineStr"/>
      <c r="S505" s="20" t="inlineStr"/>
      <c r="T505" s="21" t="n">
        <v>458601.25</v>
      </c>
      <c r="U505" s="30" t="inlineStr">
        <is>
          <t>?</t>
        </is>
      </c>
      <c r="V505" s="23">
        <f>IFERROR(VLOOKUP(U505,Assumptions!$A$7:$D$11,2,FALSE),0)</f>
        <v/>
      </c>
      <c r="W505" s="24">
        <f>MAX(0.5,IFERROR(VLOOKUP(U505,Assumptions!$A$7:$D$11,3,FALSE),3)+IFERROR(VLOOKUP(U505,Assumptions!$A$7:$D$11,4,FALSE),8)/2-IF(AN505="",0,YEAR(TODAY())-AN505))</f>
        <v/>
      </c>
      <c r="X505" s="21">
        <f>T505*V505/(1+Assumptions!$B$3)^W505</f>
        <v/>
      </c>
      <c r="Y505" s="25">
        <f>IF(T505=0,"",ROUND(X505/T505*100,1))</f>
        <v/>
      </c>
      <c r="Z505" s="26">
        <f>X505*Assumptions!$B$4</f>
        <v/>
      </c>
      <c r="AA505" s="25">
        <f>IF(T505=0,"",ROUND(Z505/T505*100,1))</f>
        <v/>
      </c>
      <c r="AB505" s="26">
        <f>X505-Z505</f>
        <v/>
      </c>
      <c r="AC505" s="25">
        <f>IF(T505=0,"",ROUND((X505-Z505)/T505*100,1))</f>
        <v/>
      </c>
      <c r="AD505" s="27" t="inlineStr">
        <is>
          <t>UNKNOWN</t>
        </is>
      </c>
      <c r="AE505" s="28" t="inlineStr">
        <is>
          <t>https://scalzilliaj.com.br/sgc/download.php?file=files/processo_documento/processo_documento09514021082025_1_.pdf&amp;nome=04 - Relação de credores das Recuperandas</t>
        </is>
      </c>
      <c r="AF505" s="27" t="inlineStr">
        <is>
          <t>p68 r14</t>
        </is>
      </c>
      <c r="AG505" s="27" t="inlineStr">
        <is>
          <t>p68: R$ 458.601,25</t>
        </is>
      </c>
      <c r="AH505" s="27" t="inlineStr">
        <is>
          <t>DEBTOR_LIST</t>
        </is>
      </c>
      <c r="AI505" s="27" t="inlineStr"/>
      <c r="AJ505" s="27" t="inlineStr">
        <is>
          <t>OK</t>
        </is>
      </c>
      <c r="AK505" s="29" t="inlineStr">
        <is>
          <t>(not printed)</t>
        </is>
      </c>
      <c r="AL505" s="29" t="inlineStr"/>
      <c r="AM505" s="29" t="inlineStr"/>
      <c r="AN505" s="29" t="inlineStr"/>
      <c r="AO505" s="29" t="inlineStr">
        <is>
          <t>RJ case number not identified on the document</t>
        </is>
      </c>
      <c r="AP505" s="29" t="inlineStr">
        <is>
          <t>BELO HORIZONTE</t>
        </is>
      </c>
      <c r="AQ505" s="29" t="inlineStr">
        <is>
          <t>MG</t>
        </is>
      </c>
      <c r="AR505" s="29" t="inlineStr">
        <is>
          <t>Transporte rodoviário de carga, exceto produtos perigosos e mudanças, municipal.</t>
        </is>
      </c>
      <c r="AS505" s="29" t="inlineStr">
        <is>
          <t>MICRO EMPRESA</t>
        </is>
      </c>
      <c r="AT505" s="29" t="inlineStr">
        <is>
          <t>SMALL</t>
        </is>
      </c>
      <c r="AU505" s="29" t="inlineStr">
        <is>
          <t>09236766</t>
        </is>
      </c>
      <c r="AV505" s="29" t="n">
        <v>1</v>
      </c>
      <c r="AW505" s="29" t="inlineStr">
        <is>
          <t>ROWS:p68r14 VALUE_COL:Valor_Atualizado CASE_NUMBER_CORRECTED</t>
        </is>
      </c>
    </row>
    <row r="506">
      <c r="A506" s="15" t="inlineStr">
        <is>
          <t>CICLO CAIRU LTDA</t>
        </is>
      </c>
      <c r="B506" s="16" t="n">
        <v>249307.74</v>
      </c>
      <c r="C506" s="17" t="inlineStr">
        <is>
          <t>aludida empresa</t>
        </is>
      </c>
      <c r="D506" s="18" t="inlineStr">
        <is>
          <t>NEW</t>
        </is>
      </c>
      <c r="E506" s="19" t="inlineStr"/>
      <c r="F506" s="18" t="inlineStr"/>
      <c r="G506" s="19" t="inlineStr"/>
      <c r="H506" s="18" t="inlineStr"/>
      <c r="I506" s="20" t="inlineStr">
        <is>
          <t>EUFLAVIO ODILON RIBEIRO</t>
        </is>
      </c>
      <c r="J506" s="20" t="inlineStr">
        <is>
          <t>Sócio-Administrador</t>
        </is>
      </c>
      <c r="K506" s="20" t="inlineStr">
        <is>
          <t>(69) 3451-0500</t>
        </is>
      </c>
      <c r="L506" s="20" t="inlineStr"/>
      <c r="M506" s="20" t="inlineStr"/>
      <c r="N506" s="20" t="inlineStr"/>
      <c r="O506" s="20" t="inlineStr"/>
      <c r="P506" s="20" t="inlineStr">
        <is>
          <t>EUGENIO ODILON RIBEIRO</t>
        </is>
      </c>
      <c r="Q506" s="20" t="inlineStr">
        <is>
          <t>Sócio-Administrador</t>
        </is>
      </c>
      <c r="R506" s="20" t="inlineStr">
        <is>
          <t>(69) 3451-0500</t>
        </is>
      </c>
      <c r="S506" s="20" t="inlineStr"/>
      <c r="T506" s="21" t="n">
        <v>249307.74</v>
      </c>
      <c r="U506" s="31" t="inlineStr">
        <is>
          <t>C</t>
        </is>
      </c>
      <c r="V506" s="23">
        <f>IFERROR(VLOOKUP(U506,Assumptions!$A$7:$D$11,2,FALSE),0)</f>
        <v/>
      </c>
      <c r="W506" s="24">
        <f>MAX(0.5,IFERROR(VLOOKUP(U506,Assumptions!$A$7:$D$11,3,FALSE),3)+IFERROR(VLOOKUP(U506,Assumptions!$A$7:$D$11,4,FALSE),8)/2-IF(AN506="",0,YEAR(TODAY())-AN506))</f>
        <v/>
      </c>
      <c r="X506" s="21">
        <f>T506*V506/(1+Assumptions!$B$3)^W506</f>
        <v/>
      </c>
      <c r="Y506" s="25">
        <f>IF(T506=0,"",ROUND(X506/T506*100,1))</f>
        <v/>
      </c>
      <c r="Z506" s="26">
        <f>X506*Assumptions!$B$4</f>
        <v/>
      </c>
      <c r="AA506" s="25">
        <f>IF(T506=0,"",ROUND(Z506/T506*100,1))</f>
        <v/>
      </c>
      <c r="AB506" s="26">
        <f>X506-Z506</f>
        <v/>
      </c>
      <c r="AC506" s="25">
        <f>IF(T506=0,"",ROUND((X506-Z506)/T506*100,1))</f>
        <v/>
      </c>
      <c r="AD506" s="27" t="inlineStr">
        <is>
          <t>ESTIMATED</t>
        </is>
      </c>
      <c r="AE506" s="28" t="inlineStr">
        <is>
          <t>https://recuperacaojudicial.squarespace.com/s/RJ-Credimoveis-QGC-01082025.pdf</t>
        </is>
      </c>
      <c r="AF506" s="27" t="inlineStr">
        <is>
          <t>p15 r30</t>
        </is>
      </c>
      <c r="AG506" s="27" t="inlineStr">
        <is>
          <t>p15: R$ 249.307,74</t>
        </is>
      </c>
      <c r="AH506" s="27" t="inlineStr">
        <is>
          <t>QGC</t>
        </is>
      </c>
      <c r="AI506" s="27" t="inlineStr">
        <is>
          <t>2026-01-28</t>
        </is>
      </c>
      <c r="AJ506" s="27" t="inlineStr">
        <is>
          <t>OK</t>
        </is>
      </c>
      <c r="AK506" s="29" t="inlineStr">
        <is>
          <t>0007565-40.2020.8.17.2370</t>
        </is>
      </c>
      <c r="AL506" s="29" t="inlineStr">
        <is>
          <t>TJPE</t>
        </is>
      </c>
      <c r="AM506" s="29" t="inlineStr">
        <is>
          <t>ACTIVE</t>
        </is>
      </c>
      <c r="AN506" s="29" t="n">
        <v>2020</v>
      </c>
      <c r="AO506" s="29" t="inlineStr">
        <is>
          <t>6y since filing, no plan document</t>
        </is>
      </c>
      <c r="AP506" s="29" t="inlineStr">
        <is>
          <t>PIMENTA BUENO</t>
        </is>
      </c>
      <c r="AQ506" s="29" t="inlineStr">
        <is>
          <t>RO</t>
        </is>
      </c>
      <c r="AR506" s="29" t="inlineStr">
        <is>
          <t>Comércio por atacado de peças e acessórios para motocicletas e motonetas</t>
        </is>
      </c>
      <c r="AS506" s="29" t="inlineStr">
        <is>
          <t>DEMAIS</t>
        </is>
      </c>
      <c r="AT506" s="29" t="inlineStr">
        <is>
          <t>MID-MARKET</t>
        </is>
      </c>
      <c r="AU506" s="29" t="inlineStr">
        <is>
          <t>02513526</t>
        </is>
      </c>
      <c r="AV506" s="29" t="n">
        <v>1</v>
      </c>
      <c r="AW506" s="29" t="inlineStr">
        <is>
          <t>ROWS:p15r30</t>
        </is>
      </c>
    </row>
    <row r="507">
      <c r="A507" s="15" t="inlineStr">
        <is>
          <t>SARAIVA EQUIPAMENTOS LTDA</t>
        </is>
      </c>
      <c r="B507" s="16" t="n">
        <v>455807.91</v>
      </c>
      <c r="C507" s="17" t="inlineStr">
        <is>
          <t>EGESA ENGENHARIA S/A (Consórcio ETDI)</t>
        </is>
      </c>
      <c r="D507" s="18" t="inlineStr">
        <is>
          <t>NEW</t>
        </is>
      </c>
      <c r="E507" s="19" t="inlineStr"/>
      <c r="F507" s="18" t="inlineStr"/>
      <c r="G507" s="19" t="inlineStr"/>
      <c r="H507" s="18" t="inlineStr"/>
      <c r="I507" s="20" t="inlineStr">
        <is>
          <t>Nivaldo Fidelis</t>
        </is>
      </c>
      <c r="J507" s="20" t="inlineStr">
        <is>
          <t>Commercial Director</t>
        </is>
      </c>
      <c r="K507" s="20" t="inlineStr"/>
      <c r="L507" s="20" t="inlineStr"/>
      <c r="M507" s="20" t="inlineStr"/>
      <c r="N507" s="20" t="inlineStr"/>
      <c r="O507" s="20" t="inlineStr">
        <is>
          <t>elvis_sales@saraivaequipamentos.com.br</t>
        </is>
      </c>
      <c r="P507" s="20" t="inlineStr">
        <is>
          <t>Elvis Sales</t>
        </is>
      </c>
      <c r="Q507" s="20" t="inlineStr">
        <is>
          <t>IT Manager</t>
        </is>
      </c>
      <c r="R507" s="20" t="inlineStr"/>
      <c r="S507" s="20" t="inlineStr">
        <is>
          <t>elvis_sales@saraivaequipamentos.com.br</t>
        </is>
      </c>
      <c r="T507" s="21" t="n">
        <v>455807.91</v>
      </c>
      <c r="U507" s="30" t="inlineStr">
        <is>
          <t>?</t>
        </is>
      </c>
      <c r="V507" s="23">
        <f>IFERROR(VLOOKUP(U507,Assumptions!$A$7:$D$11,2,FALSE),0)</f>
        <v/>
      </c>
      <c r="W507" s="24">
        <f>MAX(0.5,IFERROR(VLOOKUP(U507,Assumptions!$A$7:$D$11,3,FALSE),3)+IFERROR(VLOOKUP(U507,Assumptions!$A$7:$D$11,4,FALSE),8)/2-IF(AN507="",0,YEAR(TODAY())-AN507))</f>
        <v/>
      </c>
      <c r="X507" s="21">
        <f>T507*V507/(1+Assumptions!$B$3)^W507</f>
        <v/>
      </c>
      <c r="Y507" s="25">
        <f>IF(T507=0,"",ROUND(X507/T507*100,1))</f>
        <v/>
      </c>
      <c r="Z507" s="26">
        <f>X507*Assumptions!$B$4</f>
        <v/>
      </c>
      <c r="AA507" s="25">
        <f>IF(T507=0,"",ROUND(Z507/T507*100,1))</f>
        <v/>
      </c>
      <c r="AB507" s="26">
        <f>X507-Z507</f>
        <v/>
      </c>
      <c r="AC507" s="25">
        <f>IF(T507=0,"",ROUND((X507-Z507)/T507*100,1))</f>
        <v/>
      </c>
      <c r="AD507" s="27" t="inlineStr">
        <is>
          <t>UNKNOWN</t>
        </is>
      </c>
      <c r="AE507" s="28" t="inlineStr">
        <is>
          <t>https://scalzilliaj.com.br/sgc/download.php?file=files/processo_documento/processo_documento09514021082025_1_.pdf&amp;nome=04 - Relação de credores das Recuperandas</t>
        </is>
      </c>
      <c r="AF507" s="27" t="inlineStr">
        <is>
          <t>p72 r17; p73 r1; p73 r2; p73 r3; p73 r4</t>
        </is>
      </c>
      <c r="AG507" s="27" t="inlineStr">
        <is>
          <t>p72: R$ 181.478,29; p73: R$ 169.249,60; p73: R$ 86.086,47; p73: R$ 14.323,56; p73: R$ 4.669,99</t>
        </is>
      </c>
      <c r="AH507" s="27" t="inlineStr">
        <is>
          <t>DEBTOR_LIST</t>
        </is>
      </c>
      <c r="AI507" s="27" t="inlineStr"/>
      <c r="AJ507" s="27" t="inlineStr">
        <is>
          <t>OK</t>
        </is>
      </c>
      <c r="AK507" s="29" t="inlineStr">
        <is>
          <t>(not printed)</t>
        </is>
      </c>
      <c r="AL507" s="29" t="inlineStr"/>
      <c r="AM507" s="29" t="inlineStr"/>
      <c r="AN507" s="29" t="inlineStr"/>
      <c r="AO507" s="29" t="inlineStr">
        <is>
          <t>RJ case number not identified on the document</t>
        </is>
      </c>
      <c r="AP507" s="29" t="inlineStr">
        <is>
          <t>RECIFE</t>
        </is>
      </c>
      <c r="AQ507" s="29" t="inlineStr">
        <is>
          <t>PE</t>
        </is>
      </c>
      <c r="AR507" s="29" t="inlineStr">
        <is>
          <t>Carga e descarga</t>
        </is>
      </c>
      <c r="AS507" s="29" t="inlineStr">
        <is>
          <t>DEMAIS</t>
        </is>
      </c>
      <c r="AT507" s="29" t="inlineStr">
        <is>
          <t>MID-MARKET</t>
        </is>
      </c>
      <c r="AU507" s="29" t="inlineStr">
        <is>
          <t>41024712</t>
        </is>
      </c>
      <c r="AV507" s="29" t="n">
        <v>5</v>
      </c>
      <c r="AW507" s="29" t="inlineStr">
        <is>
          <t>ROWS:p72r17,p73r1,p73r2,p73r3,p73r4 VALUE_COL:Valor_Atualizado CASE_NUMBER_CORRECTED</t>
        </is>
      </c>
    </row>
    <row r="508">
      <c r="A508" s="15" t="inlineStr">
        <is>
          <t>MTC INCORPORACOES IMOBILIARIAS LTDA</t>
        </is>
      </c>
      <c r="B508" s="16" t="n">
        <v>309000</v>
      </c>
      <c r="C508" s="17" t="inlineStr">
        <is>
          <t>VECTOR INDUSTRIA DE PRODUTOS METALURGICOS LTDA - EM RECUPERACAO JUDICIAL</t>
        </is>
      </c>
      <c r="D508" s="18" t="inlineStr">
        <is>
          <t>NEW</t>
        </is>
      </c>
      <c r="E508" s="19" t="inlineStr"/>
      <c r="F508" s="18" t="inlineStr"/>
      <c r="G508" s="19" t="inlineStr"/>
      <c r="H508" s="18" t="inlineStr"/>
      <c r="I508" s="20" t="inlineStr">
        <is>
          <t>IVAN LUIZ CHEMELLO</t>
        </is>
      </c>
      <c r="J508" s="20" t="inlineStr">
        <is>
          <t>Sócio-Administrador</t>
        </is>
      </c>
      <c r="K508" s="20" t="inlineStr">
        <is>
          <t>(54) 3028-1551</t>
        </is>
      </c>
      <c r="L508" s="20" t="inlineStr"/>
      <c r="M508" s="20" t="inlineStr"/>
      <c r="N508" s="20" t="inlineStr"/>
      <c r="O508" s="20" t="inlineStr"/>
      <c r="P508" s="20" t="inlineStr">
        <is>
          <t>LIANA MARIA GOMES CHEMELLO</t>
        </is>
      </c>
      <c r="Q508" s="20" t="inlineStr">
        <is>
          <t>Administrador</t>
        </is>
      </c>
      <c r="R508" s="20" t="inlineStr">
        <is>
          <t>(54) 3028-1551</t>
        </is>
      </c>
      <c r="S508" s="20" t="inlineStr"/>
      <c r="T508" s="21" t="n">
        <v>309000</v>
      </c>
      <c r="U508" s="31" t="inlineStr">
        <is>
          <t>C</t>
        </is>
      </c>
      <c r="V508" s="23">
        <f>IFERROR(VLOOKUP(U508,Assumptions!$A$7:$D$11,2,FALSE),0)</f>
        <v/>
      </c>
      <c r="W508" s="24">
        <f>MAX(0.5,IFERROR(VLOOKUP(U508,Assumptions!$A$7:$D$11,3,FALSE),3)+IFERROR(VLOOKUP(U508,Assumptions!$A$7:$D$11,4,FALSE),8)/2-IF(AN508="",0,YEAR(TODAY())-AN508))</f>
        <v/>
      </c>
      <c r="X508" s="21">
        <f>T508*V508/(1+Assumptions!$B$3)^W508</f>
        <v/>
      </c>
      <c r="Y508" s="25">
        <f>IF(T508=0,"",ROUND(X508/T508*100,1))</f>
        <v/>
      </c>
      <c r="Z508" s="26">
        <f>X508*Assumptions!$B$4</f>
        <v/>
      </c>
      <c r="AA508" s="25">
        <f>IF(T508=0,"",ROUND(Z508/T508*100,1))</f>
        <v/>
      </c>
      <c r="AB508" s="26">
        <f>X508-Z508</f>
        <v/>
      </c>
      <c r="AC508" s="25">
        <f>IF(T508=0,"",ROUND((X508-Z508)/T508*100,1))</f>
        <v/>
      </c>
      <c r="AD508" s="27" t="inlineStr">
        <is>
          <t>ESTIMATED</t>
        </is>
      </c>
      <c r="AE508" s="28" t="inlineStr">
        <is>
          <t>https://scalzilliaj.com.br/sgc/download.php?file=files/processo_documento/processo_documento15513401112022_1_.pdf&amp;nome=15 - Edital do art. 7º, §2º (segunda lista de credores) e do art. 53 da Lei 11.101/2005 (recebimento do plano)</t>
        </is>
      </c>
      <c r="AF508" s="27" t="inlineStr">
        <is>
          <t>p8 r26</t>
        </is>
      </c>
      <c r="AG508" s="27" t="inlineStr">
        <is>
          <t>p8: R$ 309.000,00</t>
        </is>
      </c>
      <c r="AH508" s="27" t="inlineStr">
        <is>
          <t>AJ_LIST</t>
        </is>
      </c>
      <c r="AI508" s="27" t="inlineStr">
        <is>
          <t>2022-11-01</t>
        </is>
      </c>
      <c r="AJ508" s="27" t="inlineStr">
        <is>
          <t>OK_NO_TOTALS</t>
        </is>
      </c>
      <c r="AK508" s="29" t="inlineStr">
        <is>
          <t>5014104-85.2021.8.21.0010</t>
        </is>
      </c>
      <c r="AL508" s="29" t="inlineStr">
        <is>
          <t>TJRS</t>
        </is>
      </c>
      <c r="AM508" s="29" t="inlineStr">
        <is>
          <t>ACTIVE</t>
        </is>
      </c>
      <c r="AN508" s="29" t="n">
        <v>2021</v>
      </c>
      <c r="AO508" s="29" t="inlineStr">
        <is>
          <t>5y since filing, no plan document</t>
        </is>
      </c>
      <c r="AP508" s="29" t="inlineStr">
        <is>
          <t>CAXIAS DO SUL</t>
        </is>
      </c>
      <c r="AQ508" s="29" t="inlineStr">
        <is>
          <t>RS</t>
        </is>
      </c>
      <c r="AR508" s="29" t="inlineStr">
        <is>
          <t>Incorporação de empreendimentos imobiliários</t>
        </is>
      </c>
      <c r="AS508" s="29" t="inlineStr">
        <is>
          <t>DEMAIS</t>
        </is>
      </c>
      <c r="AT508" s="29" t="inlineStr">
        <is>
          <t>MID-MARKET</t>
        </is>
      </c>
      <c r="AU508" s="29" t="inlineStr">
        <is>
          <t>12749549</t>
        </is>
      </c>
      <c r="AV508" s="29" t="n">
        <v>1</v>
      </c>
      <c r="AW508" s="29" t="inlineStr">
        <is>
          <t>ROWS:p8r26 UNRECONCILED_SOURCE</t>
        </is>
      </c>
    </row>
    <row r="509">
      <c r="A509" s="15" t="inlineStr">
        <is>
          <t>PELOZATO HENRIQUE SOCIEDADE INDIVIDUAL DE ADVOCACIA</t>
        </is>
      </c>
      <c r="B509" s="16" t="n">
        <v>240000</v>
      </c>
      <c r="C509" s="17" t="inlineStr">
        <is>
          <t>BIGOLIN MATERIAIS DE CONSTRUCAO LTDA</t>
        </is>
      </c>
      <c r="D509" s="18" t="inlineStr">
        <is>
          <t>NEW</t>
        </is>
      </c>
      <c r="E509" s="19" t="inlineStr"/>
      <c r="F509" s="18" t="inlineStr"/>
      <c r="G509" s="19" t="inlineStr"/>
      <c r="H509" s="18" t="inlineStr"/>
      <c r="I509" s="20" t="inlineStr">
        <is>
          <t>MARCOS PELOZATO HENRIQUE</t>
        </is>
      </c>
      <c r="J509" s="20" t="inlineStr">
        <is>
          <t>Sócio-Administrador</t>
        </is>
      </c>
      <c r="K509" s="20" t="inlineStr">
        <is>
          <t>(11) 2198-4677</t>
        </is>
      </c>
      <c r="L509" s="20" t="inlineStr"/>
      <c r="M509" s="20" t="inlineStr"/>
      <c r="N509" s="20" t="inlineStr"/>
      <c r="O509" s="20" t="inlineStr"/>
      <c r="P509" s="20" t="inlineStr"/>
      <c r="Q509" s="20" t="inlineStr"/>
      <c r="R509" s="20" t="inlineStr"/>
      <c r="S509" s="20" t="inlineStr"/>
      <c r="T509" s="21" t="n">
        <v>240000</v>
      </c>
      <c r="U509" s="22" t="inlineStr">
        <is>
          <t>B</t>
        </is>
      </c>
      <c r="V509" s="23">
        <f>IFERROR(VLOOKUP(U509,Assumptions!$A$7:$D$11,2,FALSE),0)</f>
        <v/>
      </c>
      <c r="W509" s="24">
        <f>MAX(0.5,IFERROR(VLOOKUP(U509,Assumptions!$A$7:$D$11,3,FALSE),3)+IFERROR(VLOOKUP(U509,Assumptions!$A$7:$D$11,4,FALSE),8)/2-IF(AN509="",0,YEAR(TODAY())-AN509))</f>
        <v/>
      </c>
      <c r="X509" s="21">
        <f>T509*V509/(1+Assumptions!$B$3)^W509</f>
        <v/>
      </c>
      <c r="Y509" s="25">
        <f>IF(T509=0,"",ROUND(X509/T509*100,1))</f>
        <v/>
      </c>
      <c r="Z509" s="26">
        <f>X509*Assumptions!$B$4</f>
        <v/>
      </c>
      <c r="AA509" s="25">
        <f>IF(T509=0,"",ROUND(Z509/T509*100,1))</f>
        <v/>
      </c>
      <c r="AB509" s="26">
        <f>X509-Z509</f>
        <v/>
      </c>
      <c r="AC509" s="25">
        <f>IF(T509=0,"",ROUND((X509-Z509)/T509*100,1))</f>
        <v/>
      </c>
      <c r="AD509" s="27" t="inlineStr">
        <is>
          <t>ESTIMATED</t>
        </is>
      </c>
      <c r="AE509" s="28" t="inlineStr">
        <is>
          <t>https://ativosajce.com.br/admin/download.php?file=files/processo_documento/processo_documento16022716122025_1_.pdf&amp;nome=Relação de credores - art. 52, §1º da Lei 11.101/05 - 15/12/2025</t>
        </is>
      </c>
      <c r="AF509" s="27" t="inlineStr">
        <is>
          <t>p4 r2</t>
        </is>
      </c>
      <c r="AG509" s="27" t="inlineStr">
        <is>
          <t>p4: R$ 240.000,00</t>
        </is>
      </c>
      <c r="AH509" s="27" t="inlineStr">
        <is>
          <t>UNKNOWN</t>
        </is>
      </c>
      <c r="AI509" s="27" t="inlineStr"/>
      <c r="AJ509" s="27" t="inlineStr">
        <is>
          <t>OK_NO_TOTALS</t>
        </is>
      </c>
      <c r="AK509" s="29" t="inlineStr">
        <is>
          <t>4054599-35.2025.8.26.0100</t>
        </is>
      </c>
      <c r="AL509" s="29" t="inlineStr">
        <is>
          <t>TJSP</t>
        </is>
      </c>
      <c r="AM509" s="29" t="inlineStr">
        <is>
          <t>ACTIVE</t>
        </is>
      </c>
      <c r="AN509" s="29" t="n">
        <v>2025</v>
      </c>
      <c r="AO509" s="29" t="inlineStr">
        <is>
          <t>live case, no plan document yet</t>
        </is>
      </c>
      <c r="AP509" s="29" t="inlineStr">
        <is>
          <t>BARUERI</t>
        </is>
      </c>
      <c r="AQ509" s="29" t="inlineStr">
        <is>
          <t>SP</t>
        </is>
      </c>
      <c r="AR509" s="29" t="inlineStr">
        <is>
          <t>Serviços advocatícios</t>
        </is>
      </c>
      <c r="AS509" s="29" t="inlineStr">
        <is>
          <t>DEMAIS</t>
        </is>
      </c>
      <c r="AT509" s="29" t="inlineStr">
        <is>
          <t>MID-MARKET</t>
        </is>
      </c>
      <c r="AU509" s="29" t="inlineStr">
        <is>
          <t>28929686</t>
        </is>
      </c>
      <c r="AV509" s="29" t="n">
        <v>1</v>
      </c>
      <c r="AW509" s="29" t="inlineStr">
        <is>
          <t>ROWS:p4r2 UNRECONCILED_SOURCE</t>
        </is>
      </c>
    </row>
    <row r="510">
      <c r="A510" s="15" t="inlineStr">
        <is>
          <t>UNICAP RENOVADORA DE PNEUS LTDA</t>
        </is>
      </c>
      <c r="B510" s="16" t="n">
        <v>448731</v>
      </c>
      <c r="C510" s="17" t="inlineStr"/>
      <c r="D510" s="18" t="inlineStr">
        <is>
          <t>NEW</t>
        </is>
      </c>
      <c r="E510" s="19" t="inlineStr"/>
      <c r="F510" s="18" t="inlineStr"/>
      <c r="G510" s="19" t="inlineStr"/>
      <c r="H510" s="18" t="inlineStr"/>
      <c r="I510" s="20" t="inlineStr">
        <is>
          <t>Jeferson Ferezini</t>
        </is>
      </c>
      <c r="J510" s="20" t="inlineStr">
        <is>
          <t>Gerente de Desenvolvimento de Negócios de Vendas</t>
        </is>
      </c>
      <c r="K510" s="20" t="inlineStr">
        <is>
          <t>(19) 3341-3700</t>
        </is>
      </c>
      <c r="L510" s="20" t="inlineStr"/>
      <c r="M510" s="20" t="inlineStr"/>
      <c r="N510" s="20" t="inlineStr">
        <is>
          <t>jeferson@unicapradial.com.br</t>
        </is>
      </c>
      <c r="O510" s="20" t="inlineStr">
        <is>
          <t>aformaggio@unicapradial.com.br</t>
        </is>
      </c>
      <c r="P510" s="20" t="inlineStr">
        <is>
          <t>Anderson Formaggio</t>
        </is>
      </c>
      <c r="Q510" s="20" t="inlineStr">
        <is>
          <t>Project Administrator</t>
        </is>
      </c>
      <c r="R510" s="20" t="inlineStr"/>
      <c r="S510" s="20" t="inlineStr">
        <is>
          <t>aformaggio@unicapradial.com.br</t>
        </is>
      </c>
      <c r="T510" s="21" t="n">
        <v>448731</v>
      </c>
      <c r="U510" s="30" t="inlineStr">
        <is>
          <t>?</t>
        </is>
      </c>
      <c r="V510" s="23">
        <f>IFERROR(VLOOKUP(U510,Assumptions!$A$7:$D$11,2,FALSE),0)</f>
        <v/>
      </c>
      <c r="W510" s="24">
        <f>MAX(0.5,IFERROR(VLOOKUP(U510,Assumptions!$A$7:$D$11,3,FALSE),3)+IFERROR(VLOOKUP(U510,Assumptions!$A$7:$D$11,4,FALSE),8)/2-IF(AN510="",0,YEAR(TODAY())-AN510))</f>
        <v/>
      </c>
      <c r="X510" s="21">
        <f>T510*V510/(1+Assumptions!$B$3)^W510</f>
        <v/>
      </c>
      <c r="Y510" s="25">
        <f>IF(T510=0,"",ROUND(X510/T510*100,1))</f>
        <v/>
      </c>
      <c r="Z510" s="26">
        <f>X510*Assumptions!$B$4</f>
        <v/>
      </c>
      <c r="AA510" s="25">
        <f>IF(T510=0,"",ROUND(Z510/T510*100,1))</f>
        <v/>
      </c>
      <c r="AB510" s="26">
        <f>X510-Z510</f>
        <v/>
      </c>
      <c r="AC510" s="25">
        <f>IF(T510=0,"",ROUND((X510-Z510)/T510*100,1))</f>
        <v/>
      </c>
      <c r="AD510" s="27" t="inlineStr">
        <is>
          <t>UNKNOWN</t>
        </is>
      </c>
      <c r="AE510" s="28" t="inlineStr">
        <is>
          <t>https://ajruiz.com.br/sites/default/files/public/arquivos-processos/2023-11/4_relacao_de_credores_analitica_art._51_iii_da_lre.pdf</t>
        </is>
      </c>
      <c r="AF510" s="27" t="inlineStr">
        <is>
          <t>p4 r20</t>
        </is>
      </c>
      <c r="AG510" s="27" t="inlineStr">
        <is>
          <t>p4: R$ 448.731,00</t>
        </is>
      </c>
      <c r="AH510" s="27" t="inlineStr">
        <is>
          <t>UNKNOWN</t>
        </is>
      </c>
      <c r="AI510" s="27" t="inlineStr"/>
      <c r="AJ510" s="27" t="inlineStr">
        <is>
          <t>OK</t>
        </is>
      </c>
      <c r="AK510" s="29" t="inlineStr">
        <is>
          <t>(not printed)</t>
        </is>
      </c>
      <c r="AL510" s="29" t="inlineStr"/>
      <c r="AM510" s="29" t="inlineStr"/>
      <c r="AN510" s="29" t="inlineStr"/>
      <c r="AO510" s="29" t="inlineStr">
        <is>
          <t>RJ case number not identified on the document</t>
        </is>
      </c>
      <c r="AP510" s="29" t="inlineStr">
        <is>
          <t>NOVA ODESSA</t>
        </is>
      </c>
      <c r="AQ510" s="29" t="inlineStr">
        <is>
          <t>SP</t>
        </is>
      </c>
      <c r="AR510" s="29" t="inlineStr">
        <is>
          <t>Reforma de pneumáticos usados</t>
        </is>
      </c>
      <c r="AS510" s="29" t="inlineStr">
        <is>
          <t>DEMAIS</t>
        </is>
      </c>
      <c r="AT510" s="29" t="inlineStr">
        <is>
          <t>MID-MARKET</t>
        </is>
      </c>
      <c r="AU510" s="29" t="inlineStr">
        <is>
          <t>67943738</t>
        </is>
      </c>
      <c r="AV510" s="29" t="n">
        <v>1</v>
      </c>
      <c r="AW510" s="29" t="inlineStr">
        <is>
          <t>ROWS:p4r20 CASE_NUMBER_CORRECTED</t>
        </is>
      </c>
    </row>
    <row r="511">
      <c r="A511" s="15" t="inlineStr">
        <is>
          <t>EBEG EMBALAGENS E DESCARTAVEIS LTDA</t>
        </is>
      </c>
      <c r="B511" s="16" t="n">
        <v>222911.78</v>
      </c>
      <c r="C511" s="17" t="inlineStr">
        <is>
          <t>COMERCIO RACOES BEM BOM LTDA</t>
        </is>
      </c>
      <c r="D511" s="18" t="inlineStr">
        <is>
          <t>NEW</t>
        </is>
      </c>
      <c r="E511" s="19" t="inlineStr"/>
      <c r="F511" s="18" t="inlineStr"/>
      <c r="G511" s="19" t="inlineStr"/>
      <c r="H511" s="18" t="inlineStr"/>
      <c r="I511" s="20" t="inlineStr">
        <is>
          <t>RICARDO SILVA ELEUTERIO</t>
        </is>
      </c>
      <c r="J511" s="20" t="inlineStr">
        <is>
          <t>Sócio-Administrador</t>
        </is>
      </c>
      <c r="K511" s="20" t="inlineStr">
        <is>
          <t>(16) 3512-3000</t>
        </is>
      </c>
      <c r="L511" s="20" t="inlineStr"/>
      <c r="M511" s="20" t="inlineStr"/>
      <c r="N511" s="20" t="inlineStr"/>
      <c r="O511" s="20" t="inlineStr"/>
      <c r="P511" s="20" t="inlineStr">
        <is>
          <t>ROBERTO SILVA ELEUTERIO</t>
        </is>
      </c>
      <c r="Q511" s="20" t="inlineStr">
        <is>
          <t>Sócio-Administrador</t>
        </is>
      </c>
      <c r="R511" s="20" t="inlineStr">
        <is>
          <t>(16) 3512-3000</t>
        </is>
      </c>
      <c r="S511" s="20" t="inlineStr"/>
      <c r="T511" s="21" t="n">
        <v>222911.78</v>
      </c>
      <c r="U511" s="32" t="inlineStr">
        <is>
          <t>A</t>
        </is>
      </c>
      <c r="V511" s="23">
        <f>IFERROR(VLOOKUP(U511,Assumptions!$A$7:$D$11,2,FALSE),0)</f>
        <v/>
      </c>
      <c r="W511" s="24">
        <f>MAX(0.5,IFERROR(VLOOKUP(U511,Assumptions!$A$7:$D$11,3,FALSE),3)+IFERROR(VLOOKUP(U511,Assumptions!$A$7:$D$11,4,FALSE),8)/2-IF(AN511="",0,YEAR(TODAY())-AN511))</f>
        <v/>
      </c>
      <c r="X511" s="21">
        <f>T511*V511/(1+Assumptions!$B$3)^W511</f>
        <v/>
      </c>
      <c r="Y511" s="25">
        <f>IF(T511=0,"",ROUND(X511/T511*100,1))</f>
        <v/>
      </c>
      <c r="Z511" s="26">
        <f>X511*Assumptions!$B$4</f>
        <v/>
      </c>
      <c r="AA511" s="25">
        <f>IF(T511=0,"",ROUND(Z511/T511*100,1))</f>
        <v/>
      </c>
      <c r="AB511" s="26">
        <f>X511-Z511</f>
        <v/>
      </c>
      <c r="AC511" s="25">
        <f>IF(T511=0,"",ROUND((X511-Z511)/T511*100,1))</f>
        <v/>
      </c>
      <c r="AD511" s="27" t="inlineStr">
        <is>
          <t>CONFIRMED</t>
        </is>
      </c>
      <c r="AE511" s="28" t="inlineStr">
        <is>
          <t>https://stenius.com.br/wp-content/uploads/2026/06/EDITAL-GRUPO-3E.pdf</t>
        </is>
      </c>
      <c r="AF511" s="27" t="inlineStr">
        <is>
          <t>p12 r58</t>
        </is>
      </c>
      <c r="AG511" s="27" t="inlineStr">
        <is>
          <t>p12: R$ 222.911,78</t>
        </is>
      </c>
      <c r="AH511" s="27" t="inlineStr">
        <is>
          <t>DEBTOR_LIST</t>
        </is>
      </c>
      <c r="AI511" s="27" t="inlineStr">
        <is>
          <t>2026-06-22</t>
        </is>
      </c>
      <c r="AJ511" s="27" t="inlineStr">
        <is>
          <t>OK_NO_TOTALS</t>
        </is>
      </c>
      <c r="AK511" s="29" t="inlineStr">
        <is>
          <t>5341375-33.2026.8.09.0049</t>
        </is>
      </c>
      <c r="AL511" s="29" t="inlineStr">
        <is>
          <t>TJGO</t>
        </is>
      </c>
      <c r="AM511" s="29" t="inlineStr">
        <is>
          <t>ACTIVE</t>
        </is>
      </c>
      <c r="AN511" s="29" t="n">
        <v>2026</v>
      </c>
      <c r="AO511" s="29" t="inlineStr">
        <is>
          <t>plan/homologation document found</t>
        </is>
      </c>
      <c r="AP511" s="29" t="inlineStr">
        <is>
          <t>RIBEIRAO PRETO</t>
        </is>
      </c>
      <c r="AQ511" s="29" t="inlineStr">
        <is>
          <t>SP</t>
        </is>
      </c>
      <c r="AR511" s="29" t="inlineStr">
        <is>
          <t>Fabricação de embalagens de papel</t>
        </is>
      </c>
      <c r="AS511" s="29" t="inlineStr">
        <is>
          <t>DEMAIS</t>
        </is>
      </c>
      <c r="AT511" s="29" t="inlineStr">
        <is>
          <t>MID-MARKET</t>
        </is>
      </c>
      <c r="AU511" s="29" t="inlineStr">
        <is>
          <t>03498812</t>
        </is>
      </c>
      <c r="AV511" s="29" t="n">
        <v>1</v>
      </c>
      <c r="AW511" s="29" t="inlineStr">
        <is>
          <t>ROWS:p12r58 UNRECONCILED_SOURCE</t>
        </is>
      </c>
    </row>
    <row r="512">
      <c r="A512" s="15" t="inlineStr">
        <is>
          <t>ACOTUBO SOLUCOES EM ACOS LTDA</t>
        </is>
      </c>
      <c r="B512" s="16" t="n">
        <v>303544.67</v>
      </c>
      <c r="C512" s="17" t="inlineStr">
        <is>
          <t>VECTOR INDUSTRIA DE PRODUTOS METALURGICOS LTDA - EM RECUPERACAO JUDICIAL</t>
        </is>
      </c>
      <c r="D512" s="18" t="inlineStr">
        <is>
          <t>NEW</t>
        </is>
      </c>
      <c r="E512" s="19" t="inlineStr"/>
      <c r="F512" s="18" t="inlineStr"/>
      <c r="G512" s="19" t="inlineStr"/>
      <c r="H512" s="18" t="inlineStr"/>
      <c r="I512" s="20" t="inlineStr">
        <is>
          <t>Wilson Bassi</t>
        </is>
      </c>
      <c r="J512" s="20" t="inlineStr">
        <is>
          <t>Financial Director</t>
        </is>
      </c>
      <c r="K512" s="20" t="inlineStr">
        <is>
          <t>(11) 2413-2000</t>
        </is>
      </c>
      <c r="L512" s="20" t="inlineStr"/>
      <c r="M512" s="20" t="inlineStr"/>
      <c r="N512" s="20" t="inlineStr">
        <is>
          <t>wilsonbassi@acotubo.com.br</t>
        </is>
      </c>
      <c r="O512" s="20" t="inlineStr">
        <is>
          <t>leonardo.reys@acotubo.com.br</t>
        </is>
      </c>
      <c r="P512" s="20" t="inlineStr">
        <is>
          <t>Leonardo Reys</t>
        </is>
      </c>
      <c r="Q512" s="20" t="inlineStr">
        <is>
          <t>Financial Manager</t>
        </is>
      </c>
      <c r="R512" s="20" t="inlineStr"/>
      <c r="S512" s="20" t="inlineStr">
        <is>
          <t>leonardo.reys@acotubo.com.br</t>
        </is>
      </c>
      <c r="T512" s="21" t="n">
        <v>303544.67</v>
      </c>
      <c r="U512" s="31" t="inlineStr">
        <is>
          <t>C</t>
        </is>
      </c>
      <c r="V512" s="23">
        <f>IFERROR(VLOOKUP(U512,Assumptions!$A$7:$D$11,2,FALSE),0)</f>
        <v/>
      </c>
      <c r="W512" s="24">
        <f>MAX(0.5,IFERROR(VLOOKUP(U512,Assumptions!$A$7:$D$11,3,FALSE),3)+IFERROR(VLOOKUP(U512,Assumptions!$A$7:$D$11,4,FALSE),8)/2-IF(AN512="",0,YEAR(TODAY())-AN512))</f>
        <v/>
      </c>
      <c r="X512" s="21">
        <f>T512*V512/(1+Assumptions!$B$3)^W512</f>
        <v/>
      </c>
      <c r="Y512" s="25">
        <f>IF(T512=0,"",ROUND(X512/T512*100,1))</f>
        <v/>
      </c>
      <c r="Z512" s="26">
        <f>X512*Assumptions!$B$4</f>
        <v/>
      </c>
      <c r="AA512" s="25">
        <f>IF(T512=0,"",ROUND(Z512/T512*100,1))</f>
        <v/>
      </c>
      <c r="AB512" s="26">
        <f>X512-Z512</f>
        <v/>
      </c>
      <c r="AC512" s="25">
        <f>IF(T512=0,"",ROUND((X512-Z512)/T512*100,1))</f>
        <v/>
      </c>
      <c r="AD512" s="27" t="inlineStr">
        <is>
          <t>ESTIMATED</t>
        </is>
      </c>
      <c r="AE512" s="28" t="inlineStr">
        <is>
          <t>https://scalzilliaj.com.br/sgc/download.php?file=files/processo_documento/processo_documento15513401112022_1_.pdf&amp;nome=15 - Edital do art. 7º, §2º (segunda lista de credores) e do art. 53 da Lei 11.101/2005 (recebimento do plano)</t>
        </is>
      </c>
      <c r="AF512" s="27" t="inlineStr">
        <is>
          <t>p5 r18</t>
        </is>
      </c>
      <c r="AG512" s="27" t="inlineStr">
        <is>
          <t>p5: R$ 303.544,67</t>
        </is>
      </c>
      <c r="AH512" s="27" t="inlineStr">
        <is>
          <t>AJ_LIST</t>
        </is>
      </c>
      <c r="AI512" s="27" t="inlineStr">
        <is>
          <t>2022-11-01</t>
        </is>
      </c>
      <c r="AJ512" s="27" t="inlineStr">
        <is>
          <t>OK_NO_TOTALS</t>
        </is>
      </c>
      <c r="AK512" s="29" t="inlineStr">
        <is>
          <t>5014104-85.2021.8.21.0010</t>
        </is>
      </c>
      <c r="AL512" s="29" t="inlineStr">
        <is>
          <t>TJRS</t>
        </is>
      </c>
      <c r="AM512" s="29" t="inlineStr">
        <is>
          <t>ACTIVE</t>
        </is>
      </c>
      <c r="AN512" s="29" t="n">
        <v>2021</v>
      </c>
      <c r="AO512" s="29" t="inlineStr">
        <is>
          <t>5y since filing, no plan document</t>
        </is>
      </c>
      <c r="AP512" s="29" t="inlineStr">
        <is>
          <t>GUARULHOS</t>
        </is>
      </c>
      <c r="AQ512" s="29" t="inlineStr">
        <is>
          <t>SP</t>
        </is>
      </c>
      <c r="AR512" s="29" t="inlineStr">
        <is>
          <t>Comércio atacadista de produtos siderúrgicos e metalúrgicos, exceto para construção</t>
        </is>
      </c>
      <c r="AS512" s="29" t="inlineStr">
        <is>
          <t>DEMAIS</t>
        </is>
      </c>
      <c r="AT512" s="29" t="inlineStr">
        <is>
          <t>LARGE CORP</t>
        </is>
      </c>
      <c r="AU512" s="29" t="inlineStr">
        <is>
          <t>33150053</t>
        </is>
      </c>
      <c r="AV512" s="29" t="n">
        <v>1</v>
      </c>
      <c r="AW512" s="29" t="inlineStr">
        <is>
          <t>ROWS:p5r18 UNRECONCILED_SOURCE</t>
        </is>
      </c>
    </row>
    <row r="513">
      <c r="A513" s="15" t="inlineStr">
        <is>
          <t>IRMAOS D AGOSTO LTDA</t>
        </is>
      </c>
      <c r="B513" s="16" t="n">
        <v>236603.51</v>
      </c>
      <c r="C513" s="17" t="inlineStr">
        <is>
          <t>BIGOLIN MATERIAIS DE CONSTRUCAO LTDA</t>
        </is>
      </c>
      <c r="D513" s="18" t="inlineStr">
        <is>
          <t>NEW</t>
        </is>
      </c>
      <c r="E513" s="19" t="inlineStr"/>
      <c r="F513" s="18" t="inlineStr"/>
      <c r="G513" s="19" t="inlineStr"/>
      <c r="H513" s="18" t="inlineStr"/>
      <c r="I513" s="20" t="inlineStr">
        <is>
          <t>ATILIO CARLOS D AGOSTO</t>
        </is>
      </c>
      <c r="J513" s="20" t="inlineStr">
        <is>
          <t>Sócio-Administrador</t>
        </is>
      </c>
      <c r="K513" s="20" t="inlineStr">
        <is>
          <t>(11) 4032-5923</t>
        </is>
      </c>
      <c r="L513" s="20" t="inlineStr"/>
      <c r="M513" s="20" t="inlineStr"/>
      <c r="N513" s="20" t="inlineStr"/>
      <c r="O513" s="20" t="inlineStr"/>
      <c r="P513" s="20" t="inlineStr"/>
      <c r="Q513" s="20" t="inlineStr"/>
      <c r="R513" s="20" t="inlineStr"/>
      <c r="S513" s="20" t="inlineStr"/>
      <c r="T513" s="21" t="n">
        <v>236603.51</v>
      </c>
      <c r="U513" s="22" t="inlineStr">
        <is>
          <t>B</t>
        </is>
      </c>
      <c r="V513" s="23">
        <f>IFERROR(VLOOKUP(U513,Assumptions!$A$7:$D$11,2,FALSE),0)</f>
        <v/>
      </c>
      <c r="W513" s="24">
        <f>MAX(0.5,IFERROR(VLOOKUP(U513,Assumptions!$A$7:$D$11,3,FALSE),3)+IFERROR(VLOOKUP(U513,Assumptions!$A$7:$D$11,4,FALSE),8)/2-IF(AN513="",0,YEAR(TODAY())-AN513))</f>
        <v/>
      </c>
      <c r="X513" s="21">
        <f>T513*V513/(1+Assumptions!$B$3)^W513</f>
        <v/>
      </c>
      <c r="Y513" s="25">
        <f>IF(T513=0,"",ROUND(X513/T513*100,1))</f>
        <v/>
      </c>
      <c r="Z513" s="26">
        <f>X513*Assumptions!$B$4</f>
        <v/>
      </c>
      <c r="AA513" s="25">
        <f>IF(T513=0,"",ROUND(Z513/T513*100,1))</f>
        <v/>
      </c>
      <c r="AB513" s="26">
        <f>X513-Z513</f>
        <v/>
      </c>
      <c r="AC513" s="25">
        <f>IF(T513=0,"",ROUND((X513-Z513)/T513*100,1))</f>
        <v/>
      </c>
      <c r="AD513" s="27" t="inlineStr">
        <is>
          <t>ESTIMATED</t>
        </is>
      </c>
      <c r="AE513" s="28" t="inlineStr">
        <is>
          <t>https://ativosajce.com.br/admin/download.php?file=files/processo_documento/processo_documento16022716122025_1_.pdf&amp;nome=Relação de credores - art. 52, §1º da Lei 11.101/05 - 15/12/2025</t>
        </is>
      </c>
      <c r="AF513" s="27" t="inlineStr">
        <is>
          <t>p3 r32</t>
        </is>
      </c>
      <c r="AG513" s="27" t="inlineStr">
        <is>
          <t>p3: R$ 236.603,51</t>
        </is>
      </c>
      <c r="AH513" s="27" t="inlineStr">
        <is>
          <t>UNKNOWN</t>
        </is>
      </c>
      <c r="AI513" s="27" t="inlineStr"/>
      <c r="AJ513" s="27" t="inlineStr">
        <is>
          <t>OK_NO_TOTALS</t>
        </is>
      </c>
      <c r="AK513" s="29" t="inlineStr">
        <is>
          <t>4054599-35.2025.8.26.0100</t>
        </is>
      </c>
      <c r="AL513" s="29" t="inlineStr">
        <is>
          <t>TJSP</t>
        </is>
      </c>
      <c r="AM513" s="29" t="inlineStr">
        <is>
          <t>ACTIVE</t>
        </is>
      </c>
      <c r="AN513" s="29" t="n">
        <v>2025</v>
      </c>
      <c r="AO513" s="29" t="inlineStr">
        <is>
          <t>live case, no plan document yet</t>
        </is>
      </c>
      <c r="AP513" s="29" t="inlineStr">
        <is>
          <t>SAO PAULO</t>
        </is>
      </c>
      <c r="AQ513" s="29" t="inlineStr">
        <is>
          <t>SP</t>
        </is>
      </c>
      <c r="AR513" s="29" t="inlineStr">
        <is>
          <t>Serviços combinados de escritório e apoio administrativo</t>
        </is>
      </c>
      <c r="AS513" s="29" t="inlineStr">
        <is>
          <t>DEMAIS</t>
        </is>
      </c>
      <c r="AT513" s="29" t="inlineStr">
        <is>
          <t>MID-MARKET</t>
        </is>
      </c>
      <c r="AU513" s="29" t="inlineStr">
        <is>
          <t>60752763</t>
        </is>
      </c>
      <c r="AV513" s="29" t="n">
        <v>1</v>
      </c>
      <c r="AW513" s="29" t="inlineStr">
        <is>
          <t>ROWS:p3r32 UNRECONCILED_SOURCE</t>
        </is>
      </c>
    </row>
    <row r="514">
      <c r="A514" s="15" t="inlineStr">
        <is>
          <t>MWM - TUPY DO BRASIL LTDA.</t>
        </is>
      </c>
      <c r="B514" s="16" t="n">
        <v>236192.33</v>
      </c>
      <c r="C514" s="17" t="inlineStr"/>
      <c r="D514" s="18" t="inlineStr">
        <is>
          <t>NEW</t>
        </is>
      </c>
      <c r="E514" s="19" t="inlineStr"/>
      <c r="F514" s="18" t="inlineStr"/>
      <c r="G514" s="19" t="inlineStr"/>
      <c r="H514" s="18" t="inlineStr"/>
      <c r="I514" s="20" t="inlineStr">
        <is>
          <t>CRISTIAN PRATES MALEVIC</t>
        </is>
      </c>
      <c r="J514" s="20" t="inlineStr">
        <is>
          <t>Administrador</t>
        </is>
      </c>
      <c r="K514" s="20" t="inlineStr">
        <is>
          <t>(11) 3882-3200</t>
        </is>
      </c>
      <c r="L514" s="20" t="inlineStr"/>
      <c r="M514" s="20" t="inlineStr"/>
      <c r="N514" s="20" t="inlineStr"/>
      <c r="O514" s="20" t="inlineStr"/>
      <c r="P514" s="20" t="inlineStr">
        <is>
          <t>MICHAEL ANDREAS KETTERER</t>
        </is>
      </c>
      <c r="Q514" s="20" t="inlineStr">
        <is>
          <t>Administrador</t>
        </is>
      </c>
      <c r="R514" s="20" t="inlineStr">
        <is>
          <t>(11) 3882-3200</t>
        </is>
      </c>
      <c r="S514" s="20" t="inlineStr"/>
      <c r="T514" s="21" t="n">
        <v>236192.33</v>
      </c>
      <c r="U514" s="22" t="inlineStr">
        <is>
          <t>B</t>
        </is>
      </c>
      <c r="V514" s="23">
        <f>IFERROR(VLOOKUP(U514,Assumptions!$A$7:$D$11,2,FALSE),0)</f>
        <v/>
      </c>
      <c r="W514" s="24">
        <f>MAX(0.5,IFERROR(VLOOKUP(U514,Assumptions!$A$7:$D$11,3,FALSE),3)+IFERROR(VLOOKUP(U514,Assumptions!$A$7:$D$11,4,FALSE),8)/2-IF(AN514="",0,YEAR(TODAY())-AN514))</f>
        <v/>
      </c>
      <c r="X514" s="21">
        <f>T514*V514/(1+Assumptions!$B$3)^W514</f>
        <v/>
      </c>
      <c r="Y514" s="25">
        <f>IF(T514=0,"",ROUND(X514/T514*100,1))</f>
        <v/>
      </c>
      <c r="Z514" s="26">
        <f>X514*Assumptions!$B$4</f>
        <v/>
      </c>
      <c r="AA514" s="25">
        <f>IF(T514=0,"",ROUND(Z514/T514*100,1))</f>
        <v/>
      </c>
      <c r="AB514" s="26">
        <f>X514-Z514</f>
        <v/>
      </c>
      <c r="AC514" s="25">
        <f>IF(T514=0,"",ROUND((X514-Z514)/T514*100,1))</f>
        <v/>
      </c>
      <c r="AD514" s="27" t="inlineStr">
        <is>
          <t>UNKNOWN</t>
        </is>
      </c>
      <c r="AE514" s="28" t="inlineStr">
        <is>
          <t>https://credibilita.com.br/wp-content/uploads/2025/09/Relacao-Credores-29.04.2026.pdf</t>
        </is>
      </c>
      <c r="AF514" s="27" t="inlineStr">
        <is>
          <t>p2 r6</t>
        </is>
      </c>
      <c r="AG514" s="27" t="inlineStr">
        <is>
          <t>p2: R$ 236.192,33</t>
        </is>
      </c>
      <c r="AH514" s="27" t="inlineStr">
        <is>
          <t>UNKNOWN</t>
        </is>
      </c>
      <c r="AI514" s="27" t="inlineStr"/>
      <c r="AJ514" s="27" t="inlineStr">
        <is>
          <t>OK_NO_TOTALS</t>
        </is>
      </c>
      <c r="AK514" s="29" t="inlineStr">
        <is>
          <t>5057720-48.2025.8.24.0023</t>
        </is>
      </c>
      <c r="AL514" s="29" t="inlineStr">
        <is>
          <t>TJ</t>
        </is>
      </c>
      <c r="AM514" s="29" t="inlineStr"/>
      <c r="AN514" s="29" t="n">
        <v>2025</v>
      </c>
      <c r="AO514" s="29" t="inlineStr">
        <is>
          <t>live case, no plan document yet</t>
        </is>
      </c>
      <c r="AP514" s="29" t="inlineStr">
        <is>
          <t>SAO PAULO</t>
        </is>
      </c>
      <c r="AQ514" s="29" t="inlineStr">
        <is>
          <t>SP</t>
        </is>
      </c>
      <c r="AR514" s="29" t="inlineStr">
        <is>
          <t>Serviços combinados de escritório e apoio administrativo</t>
        </is>
      </c>
      <c r="AS514" s="29" t="inlineStr">
        <is>
          <t>DEMAIS</t>
        </is>
      </c>
      <c r="AT514" s="29" t="inlineStr">
        <is>
          <t>LARGE CORP</t>
        </is>
      </c>
      <c r="AU514" s="29" t="inlineStr">
        <is>
          <t>02162259</t>
        </is>
      </c>
      <c r="AV514" s="29" t="n">
        <v>1</v>
      </c>
      <c r="AW514" s="29" t="inlineStr">
        <is>
          <t>ROWS:p2r6 UNRECONCILED_SOURCE VALUE_COL:Valor_Após_Analise</t>
        </is>
      </c>
    </row>
    <row r="515">
      <c r="A515" s="15" t="inlineStr">
        <is>
          <t>APC DO BRASIL LTDA.</t>
        </is>
      </c>
      <c r="B515" s="16" t="n">
        <v>218400</v>
      </c>
      <c r="C515" s="17" t="inlineStr">
        <is>
          <t>COMERCIO RACOES BEM BOM LTDA</t>
        </is>
      </c>
      <c r="D515" s="18" t="inlineStr">
        <is>
          <t>NEW</t>
        </is>
      </c>
      <c r="E515" s="19" t="inlineStr"/>
      <c r="F515" s="18" t="inlineStr"/>
      <c r="G515" s="19" t="inlineStr"/>
      <c r="H515" s="18" t="inlineStr"/>
      <c r="I515" s="20" t="inlineStr">
        <is>
          <t>ALBERTO GIBERT PEREZ</t>
        </is>
      </c>
      <c r="J515" s="20" t="inlineStr">
        <is>
          <t>Administrador</t>
        </is>
      </c>
      <c r="K515" s="20" t="inlineStr">
        <is>
          <t>(49) 3331-3882</t>
        </is>
      </c>
      <c r="L515" s="20" t="inlineStr"/>
      <c r="M515" s="20" t="inlineStr"/>
      <c r="N515" s="20" t="inlineStr"/>
      <c r="O515" s="20" t="inlineStr"/>
      <c r="P515" s="20" t="inlineStr">
        <is>
          <t>ALVARO LAYDNER DE OLIVEIRA</t>
        </is>
      </c>
      <c r="Q515" s="20" t="inlineStr">
        <is>
          <t>Administrador</t>
        </is>
      </c>
      <c r="R515" s="20" t="inlineStr">
        <is>
          <t>(49) 3331-3882</t>
        </is>
      </c>
      <c r="S515" s="20" t="inlineStr"/>
      <c r="T515" s="21" t="n">
        <v>218400</v>
      </c>
      <c r="U515" s="32" t="inlineStr">
        <is>
          <t>A</t>
        </is>
      </c>
      <c r="V515" s="23">
        <f>IFERROR(VLOOKUP(U515,Assumptions!$A$7:$D$11,2,FALSE),0)</f>
        <v/>
      </c>
      <c r="W515" s="24">
        <f>MAX(0.5,IFERROR(VLOOKUP(U515,Assumptions!$A$7:$D$11,3,FALSE),3)+IFERROR(VLOOKUP(U515,Assumptions!$A$7:$D$11,4,FALSE),8)/2-IF(AN515="",0,YEAR(TODAY())-AN515))</f>
        <v/>
      </c>
      <c r="X515" s="21">
        <f>T515*V515/(1+Assumptions!$B$3)^W515</f>
        <v/>
      </c>
      <c r="Y515" s="25">
        <f>IF(T515=0,"",ROUND(X515/T515*100,1))</f>
        <v/>
      </c>
      <c r="Z515" s="26">
        <f>X515*Assumptions!$B$4</f>
        <v/>
      </c>
      <c r="AA515" s="25">
        <f>IF(T515=0,"",ROUND(Z515/T515*100,1))</f>
        <v/>
      </c>
      <c r="AB515" s="26">
        <f>X515-Z515</f>
        <v/>
      </c>
      <c r="AC515" s="25">
        <f>IF(T515=0,"",ROUND((X515-Z515)/T515*100,1))</f>
        <v/>
      </c>
      <c r="AD515" s="27" t="inlineStr">
        <is>
          <t>CONFIRMED</t>
        </is>
      </c>
      <c r="AE515" s="28" t="inlineStr">
        <is>
          <t>https://stenius.com.br/wp-content/uploads/2026/06/EDITAL-GRUPO-3E.pdf</t>
        </is>
      </c>
      <c r="AF515" s="27" t="inlineStr">
        <is>
          <t>p10 r3</t>
        </is>
      </c>
      <c r="AG515" s="27" t="inlineStr">
        <is>
          <t>p10: R$ 218.400,00</t>
        </is>
      </c>
      <c r="AH515" s="27" t="inlineStr">
        <is>
          <t>DEBTOR_LIST</t>
        </is>
      </c>
      <c r="AI515" s="27" t="inlineStr">
        <is>
          <t>2026-06-22</t>
        </is>
      </c>
      <c r="AJ515" s="27" t="inlineStr">
        <is>
          <t>OK_NO_TOTALS</t>
        </is>
      </c>
      <c r="AK515" s="29" t="inlineStr">
        <is>
          <t>5341375-33.2026.8.09.0049</t>
        </is>
      </c>
      <c r="AL515" s="29" t="inlineStr">
        <is>
          <t>TJGO</t>
        </is>
      </c>
      <c r="AM515" s="29" t="inlineStr">
        <is>
          <t>ACTIVE</t>
        </is>
      </c>
      <c r="AN515" s="29" t="n">
        <v>2026</v>
      </c>
      <c r="AO515" s="29" t="inlineStr">
        <is>
          <t>plan/homologation document found</t>
        </is>
      </c>
      <c r="AP515" s="29" t="inlineStr">
        <is>
          <t>CHAPECO</t>
        </is>
      </c>
      <c r="AQ515" s="29" t="inlineStr">
        <is>
          <t>SC</t>
        </is>
      </c>
      <c r="AR515" s="29" t="inlineStr">
        <is>
          <t>Preparação de subprodutos do abate</t>
        </is>
      </c>
      <c r="AS515" s="29" t="inlineStr">
        <is>
          <t>DEMAIS</t>
        </is>
      </c>
      <c r="AT515" s="29" t="inlineStr">
        <is>
          <t>MID-MARKET</t>
        </is>
      </c>
      <c r="AU515" s="29" t="inlineStr">
        <is>
          <t>04310390</t>
        </is>
      </c>
      <c r="AV515" s="29" t="n">
        <v>1</v>
      </c>
      <c r="AW515" s="29" t="inlineStr">
        <is>
          <t>ROWS:p10r3 UNRECONCILED_SOURCE</t>
        </is>
      </c>
    </row>
    <row r="516">
      <c r="A516" s="15" t="inlineStr">
        <is>
          <t>CALOI NORTE SA</t>
        </is>
      </c>
      <c r="B516" s="16" t="n">
        <v>237701.23</v>
      </c>
      <c r="C516" s="17" t="inlineStr">
        <is>
          <t>aludida empresa</t>
        </is>
      </c>
      <c r="D516" s="18" t="inlineStr">
        <is>
          <t>NEW</t>
        </is>
      </c>
      <c r="E516" s="19" t="inlineStr"/>
      <c r="F516" s="18" t="inlineStr"/>
      <c r="G516" s="19" t="inlineStr"/>
      <c r="H516" s="18" t="inlineStr"/>
      <c r="I516" s="20" t="inlineStr">
        <is>
          <t>RONALDO ADRIANO RIBEIRO</t>
        </is>
      </c>
      <c r="J516" s="20" t="inlineStr">
        <is>
          <t>Presidente</t>
        </is>
      </c>
      <c r="K516" s="20" t="inlineStr">
        <is>
          <t>(92) 3617-0100</t>
        </is>
      </c>
      <c r="L516" s="20" t="inlineStr">
        <is>
          <t>(92) 9103-4470</t>
        </is>
      </c>
      <c r="M516" s="20" t="inlineStr"/>
      <c r="N516" s="20" t="inlineStr"/>
      <c r="O516" s="20" t="inlineStr"/>
      <c r="P516" s="20" t="inlineStr">
        <is>
          <t>ATILA ACNATON PIRES VALADARES</t>
        </is>
      </c>
      <c r="Q516" s="20" t="inlineStr">
        <is>
          <t>Diretor</t>
        </is>
      </c>
      <c r="R516" s="20" t="inlineStr">
        <is>
          <t>(92) 9103-4470</t>
        </is>
      </c>
      <c r="S516" s="20" t="inlineStr"/>
      <c r="T516" s="21" t="n">
        <v>237701.23</v>
      </c>
      <c r="U516" s="31" t="inlineStr">
        <is>
          <t>C</t>
        </is>
      </c>
      <c r="V516" s="23">
        <f>IFERROR(VLOOKUP(U516,Assumptions!$A$7:$D$11,2,FALSE),0)</f>
        <v/>
      </c>
      <c r="W516" s="24">
        <f>MAX(0.5,IFERROR(VLOOKUP(U516,Assumptions!$A$7:$D$11,3,FALSE),3)+IFERROR(VLOOKUP(U516,Assumptions!$A$7:$D$11,4,FALSE),8)/2-IF(AN516="",0,YEAR(TODAY())-AN516))</f>
        <v/>
      </c>
      <c r="X516" s="21">
        <f>T516*V516/(1+Assumptions!$B$3)^W516</f>
        <v/>
      </c>
      <c r="Y516" s="25">
        <f>IF(T516=0,"",ROUND(X516/T516*100,1))</f>
        <v/>
      </c>
      <c r="Z516" s="26">
        <f>X516*Assumptions!$B$4</f>
        <v/>
      </c>
      <c r="AA516" s="25">
        <f>IF(T516=0,"",ROUND(Z516/T516*100,1))</f>
        <v/>
      </c>
      <c r="AB516" s="26">
        <f>X516-Z516</f>
        <v/>
      </c>
      <c r="AC516" s="25">
        <f>IF(T516=0,"",ROUND((X516-Z516)/T516*100,1))</f>
        <v/>
      </c>
      <c r="AD516" s="27" t="inlineStr">
        <is>
          <t>ESTIMATED</t>
        </is>
      </c>
      <c r="AE516" s="28" t="inlineStr">
        <is>
          <t>https://recuperacaojudicial.squarespace.com/s/RJ-Credimoveis-QGC-01082025.pdf</t>
        </is>
      </c>
      <c r="AF516" s="27" t="inlineStr">
        <is>
          <t>p15 r28</t>
        </is>
      </c>
      <c r="AG516" s="27" t="inlineStr">
        <is>
          <t>p15: R$ 237.701,23</t>
        </is>
      </c>
      <c r="AH516" s="27" t="inlineStr">
        <is>
          <t>QGC</t>
        </is>
      </c>
      <c r="AI516" s="27" t="inlineStr">
        <is>
          <t>2026-01-28</t>
        </is>
      </c>
      <c r="AJ516" s="27" t="inlineStr">
        <is>
          <t>OK</t>
        </is>
      </c>
      <c r="AK516" s="29" t="inlineStr">
        <is>
          <t>0007565-40.2020.8.17.2370</t>
        </is>
      </c>
      <c r="AL516" s="29" t="inlineStr">
        <is>
          <t>TJPE</t>
        </is>
      </c>
      <c r="AM516" s="29" t="inlineStr">
        <is>
          <t>ACTIVE</t>
        </is>
      </c>
      <c r="AN516" s="29" t="n">
        <v>2020</v>
      </c>
      <c r="AO516" s="29" t="inlineStr">
        <is>
          <t>6y since filing, no plan document</t>
        </is>
      </c>
      <c r="AP516" s="29" t="inlineStr">
        <is>
          <t>MANAUS</t>
        </is>
      </c>
      <c r="AQ516" s="29" t="inlineStr">
        <is>
          <t>AM</t>
        </is>
      </c>
      <c r="AR516" s="29" t="inlineStr">
        <is>
          <t>Fabricação de bicicletas e triciclos não-motorizados, peças e acessórios</t>
        </is>
      </c>
      <c r="AS516" s="29" t="inlineStr">
        <is>
          <t>DEMAIS</t>
        </is>
      </c>
      <c r="AT516" s="29" t="inlineStr">
        <is>
          <t>LARGE CORP</t>
        </is>
      </c>
      <c r="AU516" s="29" t="inlineStr">
        <is>
          <t>04301024</t>
        </is>
      </c>
      <c r="AV516" s="29" t="n">
        <v>1</v>
      </c>
      <c r="AW516" s="29" t="inlineStr">
        <is>
          <t>ROWS:p15r28</t>
        </is>
      </c>
    </row>
    <row r="517">
      <c r="A517" s="15" t="inlineStr">
        <is>
          <t>INDUSTRIA DE MOVEIS NESHER LTDA</t>
        </is>
      </c>
      <c r="B517" s="16" t="n">
        <v>236423</v>
      </c>
      <c r="C517" s="17" t="inlineStr">
        <is>
          <t>aludida empresa</t>
        </is>
      </c>
      <c r="D517" s="18" t="inlineStr">
        <is>
          <t>NEW</t>
        </is>
      </c>
      <c r="E517" s="19" t="inlineStr"/>
      <c r="F517" s="18" t="inlineStr"/>
      <c r="G517" s="19" t="inlineStr"/>
      <c r="H517" s="18" t="inlineStr"/>
      <c r="I517" s="20" t="inlineStr">
        <is>
          <t>CARLOS ALBERTO RIGONI</t>
        </is>
      </c>
      <c r="J517" s="20" t="inlineStr">
        <is>
          <t>Sócio-Administrador</t>
        </is>
      </c>
      <c r="K517" s="20" t="inlineStr">
        <is>
          <t>(27) 3047-0040</t>
        </is>
      </c>
      <c r="L517" s="20" t="inlineStr"/>
      <c r="M517" s="20" t="inlineStr"/>
      <c r="N517" s="20" t="inlineStr"/>
      <c r="O517" s="20" t="inlineStr"/>
      <c r="P517" s="20" t="inlineStr"/>
      <c r="Q517" s="20" t="inlineStr"/>
      <c r="R517" s="20" t="inlineStr"/>
      <c r="S517" s="20" t="inlineStr"/>
      <c r="T517" s="21" t="n">
        <v>236423</v>
      </c>
      <c r="U517" s="31" t="inlineStr">
        <is>
          <t>C</t>
        </is>
      </c>
      <c r="V517" s="23">
        <f>IFERROR(VLOOKUP(U517,Assumptions!$A$7:$D$11,2,FALSE),0)</f>
        <v/>
      </c>
      <c r="W517" s="24">
        <f>MAX(0.5,IFERROR(VLOOKUP(U517,Assumptions!$A$7:$D$11,3,FALSE),3)+IFERROR(VLOOKUP(U517,Assumptions!$A$7:$D$11,4,FALSE),8)/2-IF(AN517="",0,YEAR(TODAY())-AN517))</f>
        <v/>
      </c>
      <c r="X517" s="21">
        <f>T517*V517/(1+Assumptions!$B$3)^W517</f>
        <v/>
      </c>
      <c r="Y517" s="25">
        <f>IF(T517=0,"",ROUND(X517/T517*100,1))</f>
        <v/>
      </c>
      <c r="Z517" s="26">
        <f>X517*Assumptions!$B$4</f>
        <v/>
      </c>
      <c r="AA517" s="25">
        <f>IF(T517=0,"",ROUND(Z517/T517*100,1))</f>
        <v/>
      </c>
      <c r="AB517" s="26">
        <f>X517-Z517</f>
        <v/>
      </c>
      <c r="AC517" s="25">
        <f>IF(T517=0,"",ROUND((X517-Z517)/T517*100,1))</f>
        <v/>
      </c>
      <c r="AD517" s="27" t="inlineStr">
        <is>
          <t>ESTIMATED</t>
        </is>
      </c>
      <c r="AE517" s="28" t="inlineStr">
        <is>
          <t>https://recuperacaojudicial.squarespace.com/s/RJ-Credimoveis-QGC-01082025.pdf</t>
        </is>
      </c>
      <c r="AF517" s="27" t="inlineStr">
        <is>
          <t>p15 r54</t>
        </is>
      </c>
      <c r="AG517" s="27" t="inlineStr">
        <is>
          <t>p15: R$ 236.423,00</t>
        </is>
      </c>
      <c r="AH517" s="27" t="inlineStr">
        <is>
          <t>QGC</t>
        </is>
      </c>
      <c r="AI517" s="27" t="inlineStr">
        <is>
          <t>2026-01-28</t>
        </is>
      </c>
      <c r="AJ517" s="27" t="inlineStr">
        <is>
          <t>OK</t>
        </is>
      </c>
      <c r="AK517" s="29" t="inlineStr">
        <is>
          <t>0007565-40.2020.8.17.2370</t>
        </is>
      </c>
      <c r="AL517" s="29" t="inlineStr">
        <is>
          <t>TJPE</t>
        </is>
      </c>
      <c r="AM517" s="29" t="inlineStr">
        <is>
          <t>ACTIVE</t>
        </is>
      </c>
      <c r="AN517" s="29" t="n">
        <v>2020</v>
      </c>
      <c r="AO517" s="29" t="inlineStr">
        <is>
          <t>6y since filing, no plan document</t>
        </is>
      </c>
      <c r="AP517" s="29" t="inlineStr">
        <is>
          <t>LINHARES</t>
        </is>
      </c>
      <c r="AQ517" s="29" t="inlineStr">
        <is>
          <t>ES</t>
        </is>
      </c>
      <c r="AR517" s="29" t="inlineStr">
        <is>
          <t>Fabricação de móveis com predominância de madeira</t>
        </is>
      </c>
      <c r="AS517" s="29" t="inlineStr">
        <is>
          <t>DEMAIS</t>
        </is>
      </c>
      <c r="AT517" s="29" t="inlineStr">
        <is>
          <t>MID-MARKET</t>
        </is>
      </c>
      <c r="AU517" s="29" t="inlineStr">
        <is>
          <t>18304707</t>
        </is>
      </c>
      <c r="AV517" s="29" t="n">
        <v>1</v>
      </c>
      <c r="AW517" s="29" t="inlineStr">
        <is>
          <t>ROWS:p15r54</t>
        </is>
      </c>
    </row>
    <row r="518">
      <c r="A518" s="15" t="inlineStr">
        <is>
          <t>T &amp; T COMERCIO E REPRESENTACAO LTDA</t>
        </is>
      </c>
      <c r="B518" s="16" t="n">
        <v>216279.12</v>
      </c>
      <c r="C518" s="17" t="inlineStr">
        <is>
          <t>COMERCIO RACOES BEM BOM LTDA</t>
        </is>
      </c>
      <c r="D518" s="18" t="inlineStr">
        <is>
          <t>NEW</t>
        </is>
      </c>
      <c r="E518" s="19" t="inlineStr"/>
      <c r="F518" s="18" t="inlineStr"/>
      <c r="G518" s="19" t="inlineStr"/>
      <c r="H518" s="18" t="inlineStr"/>
      <c r="I518" s="20" t="inlineStr">
        <is>
          <t>TALITA TOMAZINI MOREIRA</t>
        </is>
      </c>
      <c r="J518" s="20" t="inlineStr">
        <is>
          <t>Sócio-Administrador</t>
        </is>
      </c>
      <c r="K518" s="20" t="inlineStr">
        <is>
          <t>(62) 3259-6518</t>
        </is>
      </c>
      <c r="L518" s="20" t="inlineStr"/>
      <c r="M518" s="20" t="inlineStr"/>
      <c r="N518" s="20" t="inlineStr"/>
      <c r="O518" s="20" t="inlineStr"/>
      <c r="P518" s="20" t="inlineStr">
        <is>
          <t>TARCIA TOMAZINI SERPA</t>
        </is>
      </c>
      <c r="Q518" s="20" t="inlineStr">
        <is>
          <t>Sócio-Administrador</t>
        </is>
      </c>
      <c r="R518" s="20" t="inlineStr">
        <is>
          <t>(62) 3259-6518</t>
        </is>
      </c>
      <c r="S518" s="20" t="inlineStr"/>
      <c r="T518" s="21" t="n">
        <v>216279.12</v>
      </c>
      <c r="U518" s="32" t="inlineStr">
        <is>
          <t>A</t>
        </is>
      </c>
      <c r="V518" s="23">
        <f>IFERROR(VLOOKUP(U518,Assumptions!$A$7:$D$11,2,FALSE),0)</f>
        <v/>
      </c>
      <c r="W518" s="24">
        <f>MAX(0.5,IFERROR(VLOOKUP(U518,Assumptions!$A$7:$D$11,3,FALSE),3)+IFERROR(VLOOKUP(U518,Assumptions!$A$7:$D$11,4,FALSE),8)/2-IF(AN518="",0,YEAR(TODAY())-AN518))</f>
        <v/>
      </c>
      <c r="X518" s="21">
        <f>T518*V518/(1+Assumptions!$B$3)^W518</f>
        <v/>
      </c>
      <c r="Y518" s="25">
        <f>IF(T518=0,"",ROUND(X518/T518*100,1))</f>
        <v/>
      </c>
      <c r="Z518" s="26">
        <f>X518*Assumptions!$B$4</f>
        <v/>
      </c>
      <c r="AA518" s="25">
        <f>IF(T518=0,"",ROUND(Z518/T518*100,1))</f>
        <v/>
      </c>
      <c r="AB518" s="26">
        <f>X518-Z518</f>
        <v/>
      </c>
      <c r="AC518" s="25">
        <f>IF(T518=0,"",ROUND((X518-Z518)/T518*100,1))</f>
        <v/>
      </c>
      <c r="AD518" s="27" t="inlineStr">
        <is>
          <t>CONFIRMED</t>
        </is>
      </c>
      <c r="AE518" s="28" t="inlineStr">
        <is>
          <t>https://stenius.com.br/wp-content/uploads/2026/06/EDITAL-GRUPO-3E.pdf</t>
        </is>
      </c>
      <c r="AF518" s="27" t="inlineStr">
        <is>
          <t>p13 r51</t>
        </is>
      </c>
      <c r="AG518" s="27" t="inlineStr">
        <is>
          <t>p13: R$ 216.279,12</t>
        </is>
      </c>
      <c r="AH518" s="27" t="inlineStr">
        <is>
          <t>DEBTOR_LIST</t>
        </is>
      </c>
      <c r="AI518" s="27" t="inlineStr">
        <is>
          <t>2026-06-22</t>
        </is>
      </c>
      <c r="AJ518" s="27" t="inlineStr">
        <is>
          <t>OK_NO_TOTALS</t>
        </is>
      </c>
      <c r="AK518" s="29" t="inlineStr">
        <is>
          <t>5341375-33.2026.8.09.0049</t>
        </is>
      </c>
      <c r="AL518" s="29" t="inlineStr">
        <is>
          <t>TJGO</t>
        </is>
      </c>
      <c r="AM518" s="29" t="inlineStr">
        <is>
          <t>ACTIVE</t>
        </is>
      </c>
      <c r="AN518" s="29" t="n">
        <v>2026</v>
      </c>
      <c r="AO518" s="29" t="inlineStr">
        <is>
          <t>plan/homologation document found</t>
        </is>
      </c>
      <c r="AP518" s="29" t="inlineStr">
        <is>
          <t>APARECIDA DE GOIANIA</t>
        </is>
      </c>
      <c r="AQ518" s="29" t="inlineStr">
        <is>
          <t>GO</t>
        </is>
      </c>
      <c r="AR518" s="29" t="inlineStr">
        <is>
          <t>Transporte rodoviário de carga, exceto produtos perigosos e mudanças, intermunicipal, interestadual e internacional</t>
        </is>
      </c>
      <c r="AS518" s="29" t="inlineStr">
        <is>
          <t>DEMAIS</t>
        </is>
      </c>
      <c r="AT518" s="29" t="inlineStr">
        <is>
          <t>MID-MARKET</t>
        </is>
      </c>
      <c r="AU518" s="29" t="inlineStr">
        <is>
          <t>08718921</t>
        </is>
      </c>
      <c r="AV518" s="29" t="n">
        <v>1</v>
      </c>
      <c r="AW518" s="29" t="inlineStr">
        <is>
          <t>ROWS:p13r51 UNRECONCILED_SOURCE</t>
        </is>
      </c>
    </row>
    <row r="519">
      <c r="A519" s="15" t="inlineStr">
        <is>
          <t>CTVA PROTECAO DE CULTIVOS LTDA.</t>
        </is>
      </c>
      <c r="B519" s="16" t="n">
        <v>286835.99</v>
      </c>
      <c r="C519" s="17" t="inlineStr"/>
      <c r="D519" s="18" t="inlineStr">
        <is>
          <t>NEW</t>
        </is>
      </c>
      <c r="E519" s="19" t="inlineStr"/>
      <c r="F519" s="18" t="inlineStr"/>
      <c r="G519" s="19" t="inlineStr"/>
      <c r="H519" s="18" t="inlineStr"/>
      <c r="I519" s="20" t="inlineStr">
        <is>
          <t>ALBERTO ARMAS</t>
        </is>
      </c>
      <c r="J519" s="20" t="inlineStr">
        <is>
          <t>Administrador</t>
        </is>
      </c>
      <c r="K519" s="20" t="inlineStr">
        <is>
          <t>(11) 4166-8122</t>
        </is>
      </c>
      <c r="L519" s="20" t="inlineStr"/>
      <c r="M519" s="20" t="inlineStr"/>
      <c r="N519" s="20" t="inlineStr"/>
      <c r="O519" s="20" t="inlineStr"/>
      <c r="P519" s="20" t="inlineStr">
        <is>
          <t>ANELCINDO SOUZA JUNIOR</t>
        </is>
      </c>
      <c r="Q519" s="20" t="inlineStr">
        <is>
          <t>Administrador</t>
        </is>
      </c>
      <c r="R519" s="20" t="inlineStr">
        <is>
          <t>(11) 4166-8122</t>
        </is>
      </c>
      <c r="S519" s="20" t="inlineStr"/>
      <c r="T519" s="21" t="n">
        <v>286835.99</v>
      </c>
      <c r="U519" s="22" t="inlineStr">
        <is>
          <t>B</t>
        </is>
      </c>
      <c r="V519" s="23">
        <f>IFERROR(VLOOKUP(U519,Assumptions!$A$7:$D$11,2,FALSE),0)</f>
        <v/>
      </c>
      <c r="W519" s="24">
        <f>MAX(0.5,IFERROR(VLOOKUP(U519,Assumptions!$A$7:$D$11,3,FALSE),3)+IFERROR(VLOOKUP(U519,Assumptions!$A$7:$D$11,4,FALSE),8)/2-IF(AN519="",0,YEAR(TODAY())-AN519))</f>
        <v/>
      </c>
      <c r="X519" s="21">
        <f>T519*V519/(1+Assumptions!$B$3)^W519</f>
        <v/>
      </c>
      <c r="Y519" s="25">
        <f>IF(T519=0,"",ROUND(X519/T519*100,1))</f>
        <v/>
      </c>
      <c r="Z519" s="26">
        <f>X519*Assumptions!$B$4</f>
        <v/>
      </c>
      <c r="AA519" s="25">
        <f>IF(T519=0,"",ROUND(Z519/T519*100,1))</f>
        <v/>
      </c>
      <c r="AB519" s="26">
        <f>X519-Z519</f>
        <v/>
      </c>
      <c r="AC519" s="25">
        <f>IF(T519=0,"",ROUND((X519-Z519)/T519*100,1))</f>
        <v/>
      </c>
      <c r="AD519" s="27" t="inlineStr">
        <is>
          <t>ESTIMATED</t>
        </is>
      </c>
      <c r="AE519" s="28" t="inlineStr">
        <is>
          <t>https://scalzilliaj.com.br/sgc/download.php?file=files/processo_documento/processo_documento11421222052026_1_.pdf&amp;nome=08. Lista de credores do edital do art. 52, §1º da LREF</t>
        </is>
      </c>
      <c r="AF519" s="27" t="inlineStr">
        <is>
          <t>p4 r10</t>
        </is>
      </c>
      <c r="AG519" s="27" t="inlineStr">
        <is>
          <t>p4: R$ 286.835,99</t>
        </is>
      </c>
      <c r="AH519" s="27" t="inlineStr">
        <is>
          <t>UNKNOWN</t>
        </is>
      </c>
      <c r="AI519" s="27" t="inlineStr"/>
      <c r="AJ519" s="27" t="inlineStr">
        <is>
          <t>OK_NO_TOTALS</t>
        </is>
      </c>
      <c r="AK519" s="29" t="inlineStr">
        <is>
          <t>5011369-81.2026.8.09.0093</t>
        </is>
      </c>
      <c r="AL519" s="29" t="inlineStr">
        <is>
          <t>TJGO</t>
        </is>
      </c>
      <c r="AM519" s="29" t="inlineStr">
        <is>
          <t>ACTIVE</t>
        </is>
      </c>
      <c r="AN519" s="29" t="n">
        <v>2026</v>
      </c>
      <c r="AO519" s="29" t="inlineStr">
        <is>
          <t>live case, no plan document yet</t>
        </is>
      </c>
      <c r="AP519" s="29" t="inlineStr">
        <is>
          <t>BARUERI</t>
        </is>
      </c>
      <c r="AQ519" s="29" t="inlineStr">
        <is>
          <t>SP</t>
        </is>
      </c>
      <c r="AR519" s="29" t="inlineStr">
        <is>
          <t>Atividades de consultoria em gestão empresarial, exceto consultoria técnica específica</t>
        </is>
      </c>
      <c r="AS519" s="29" t="inlineStr">
        <is>
          <t>DEMAIS</t>
        </is>
      </c>
      <c r="AT519" s="29" t="inlineStr">
        <is>
          <t>LARGE CORP</t>
        </is>
      </c>
      <c r="AU519" s="29" t="inlineStr">
        <is>
          <t>47180625</t>
        </is>
      </c>
      <c r="AV519" s="29" t="n">
        <v>1</v>
      </c>
      <c r="AW519" s="29" t="inlineStr">
        <is>
          <t>ROWS:p4r10 UNRECONCILED_SOURCE</t>
        </is>
      </c>
    </row>
    <row r="520">
      <c r="A520" s="15" t="inlineStr">
        <is>
          <t>GOOGLE BRASIL INTERNET LTDA.</t>
        </is>
      </c>
      <c r="B520" s="16" t="n">
        <v>228215.86</v>
      </c>
      <c r="C520" s="17" t="inlineStr"/>
      <c r="D520" s="18" t="inlineStr">
        <is>
          <t>NEW</t>
        </is>
      </c>
      <c r="E520" s="19" t="inlineStr"/>
      <c r="F520" s="18" t="inlineStr"/>
      <c r="G520" s="19" t="inlineStr"/>
      <c r="H520" s="18" t="inlineStr"/>
      <c r="I520" s="20" t="inlineStr">
        <is>
          <t>FABIO JOSE SILVA COELHO</t>
        </is>
      </c>
      <c r="J520" s="20" t="inlineStr">
        <is>
          <t>Administrador</t>
        </is>
      </c>
      <c r="K520" s="20" t="inlineStr">
        <is>
          <t>(11) 2395-8400</t>
        </is>
      </c>
      <c r="L520" s="20" t="inlineStr"/>
      <c r="M520" s="20" t="inlineStr"/>
      <c r="N520" s="20" t="inlineStr"/>
      <c r="O520" s="20" t="inlineStr"/>
      <c r="P520" s="20" t="inlineStr"/>
      <c r="Q520" s="20" t="inlineStr"/>
      <c r="R520" s="20" t="inlineStr"/>
      <c r="S520" s="20" t="inlineStr"/>
      <c r="T520" s="21" t="n">
        <v>228215.86</v>
      </c>
      <c r="U520" s="22" t="inlineStr">
        <is>
          <t>B</t>
        </is>
      </c>
      <c r="V520" s="23">
        <f>IFERROR(VLOOKUP(U520,Assumptions!$A$7:$D$11,2,FALSE),0)</f>
        <v/>
      </c>
      <c r="W520" s="24">
        <f>MAX(0.5,IFERROR(VLOOKUP(U520,Assumptions!$A$7:$D$11,3,FALSE),3)+IFERROR(VLOOKUP(U520,Assumptions!$A$7:$D$11,4,FALSE),8)/2-IF(AN520="",0,YEAR(TODAY())-AN520))</f>
        <v/>
      </c>
      <c r="X520" s="21">
        <f>T520*V520/(1+Assumptions!$B$3)^W520</f>
        <v/>
      </c>
      <c r="Y520" s="25">
        <f>IF(T520=0,"",ROUND(X520/T520*100,1))</f>
        <v/>
      </c>
      <c r="Z520" s="26">
        <f>X520*Assumptions!$B$4</f>
        <v/>
      </c>
      <c r="AA520" s="25">
        <f>IF(T520=0,"",ROUND(Z520/T520*100,1))</f>
        <v/>
      </c>
      <c r="AB520" s="26">
        <f>X520-Z520</f>
        <v/>
      </c>
      <c r="AC520" s="25">
        <f>IF(T520=0,"",ROUND((X520-Z520)/T520*100,1))</f>
        <v/>
      </c>
      <c r="AD520" s="27" t="inlineStr">
        <is>
          <t>ESTIMATED</t>
        </is>
      </c>
      <c r="AE520" s="28" t="inlineStr">
        <is>
          <t>https://acfb.com.br/wp-content/uploads/2026/06/Relacao_de_Credores_Pneus_-_SITE.pdf</t>
        </is>
      </c>
      <c r="AF520" s="27" t="inlineStr">
        <is>
          <t>p6 r38</t>
        </is>
      </c>
      <c r="AG520" s="27" t="inlineStr">
        <is>
          <t>p6: R$ 228.215,86</t>
        </is>
      </c>
      <c r="AH520" s="27" t="inlineStr">
        <is>
          <t>UNKNOWN</t>
        </is>
      </c>
      <c r="AI520" s="27" t="inlineStr"/>
      <c r="AJ520" s="27" t="inlineStr">
        <is>
          <t>OK_NO_TOTALS</t>
        </is>
      </c>
      <c r="AK520" s="29" t="inlineStr">
        <is>
          <t>4077687-05.2025.8.26.0100</t>
        </is>
      </c>
      <c r="AL520" s="29" t="inlineStr">
        <is>
          <t>TJSP</t>
        </is>
      </c>
      <c r="AM520" s="29" t="inlineStr">
        <is>
          <t>ACTIVE</t>
        </is>
      </c>
      <c r="AN520" s="29" t="n">
        <v>2025</v>
      </c>
      <c r="AO520" s="29" t="inlineStr">
        <is>
          <t>live case, no plan document yet</t>
        </is>
      </c>
      <c r="AP520" s="29" t="inlineStr">
        <is>
          <t>SAO PAULO</t>
        </is>
      </c>
      <c r="AQ520" s="29" t="inlineStr">
        <is>
          <t>SP</t>
        </is>
      </c>
      <c r="AR520" s="29" t="inlineStr">
        <is>
          <t>Portais, provedores de conteúdo e outros serviços de informação na internet</t>
        </is>
      </c>
      <c r="AS520" s="29" t="inlineStr">
        <is>
          <t>DEMAIS</t>
        </is>
      </c>
      <c r="AT520" s="29" t="inlineStr">
        <is>
          <t>LARGE CORP</t>
        </is>
      </c>
      <c r="AU520" s="29" t="inlineStr">
        <is>
          <t>06990590</t>
        </is>
      </c>
      <c r="AV520" s="29" t="n">
        <v>1</v>
      </c>
      <c r="AW520" s="29" t="inlineStr">
        <is>
          <t>ROWS:p6r38 UNRECONCILED_SOURCE</t>
        </is>
      </c>
    </row>
    <row r="521">
      <c r="A521" s="15" t="inlineStr">
        <is>
          <t>WGM SISTEMAS IMPORTACAO E EXPORTACAO LTDA</t>
        </is>
      </c>
      <c r="B521" s="16" t="n">
        <v>226506.99</v>
      </c>
      <c r="C521" s="17" t="inlineStr">
        <is>
          <t>ATIVOS ADMINISTRAÇÃO JUDICIA</t>
        </is>
      </c>
      <c r="D521" s="18" t="inlineStr">
        <is>
          <t>NEW</t>
        </is>
      </c>
      <c r="E521" s="19" t="inlineStr"/>
      <c r="F521" s="18" t="inlineStr"/>
      <c r="G521" s="19" t="inlineStr"/>
      <c r="H521" s="18" t="inlineStr"/>
      <c r="I521" s="20" t="inlineStr">
        <is>
          <t>DERLI FORTI</t>
        </is>
      </c>
      <c r="J521" s="20" t="inlineStr">
        <is>
          <t>Sócio-Administrador</t>
        </is>
      </c>
      <c r="K521" s="20" t="inlineStr">
        <is>
          <t>(11) 3838-2823</t>
        </is>
      </c>
      <c r="L521" s="20" t="inlineStr"/>
      <c r="M521" s="20" t="inlineStr"/>
      <c r="N521" s="20" t="inlineStr"/>
      <c r="O521" s="20" t="inlineStr"/>
      <c r="P521" s="20" t="inlineStr">
        <is>
          <t>WILTON CELSO DI GRAZIA MARIN</t>
        </is>
      </c>
      <c r="Q521" s="20" t="inlineStr">
        <is>
          <t>Sócio-Administrador</t>
        </is>
      </c>
      <c r="R521" s="20" t="inlineStr">
        <is>
          <t>(11) 3838-2823</t>
        </is>
      </c>
      <c r="S521" s="20" t="inlineStr"/>
      <c r="T521" s="21" t="n">
        <v>226506.99</v>
      </c>
      <c r="U521" s="22" t="inlineStr">
        <is>
          <t>B</t>
        </is>
      </c>
      <c r="V521" s="23">
        <f>IFERROR(VLOOKUP(U521,Assumptions!$A$7:$D$11,2,FALSE),0)</f>
        <v/>
      </c>
      <c r="W521" s="24">
        <f>MAX(0.5,IFERROR(VLOOKUP(U521,Assumptions!$A$7:$D$11,3,FALSE),3)+IFERROR(VLOOKUP(U521,Assumptions!$A$7:$D$11,4,FALSE),8)/2-IF(AN521="",0,YEAR(TODAY())-AN521))</f>
        <v/>
      </c>
      <c r="X521" s="21">
        <f>T521*V521/(1+Assumptions!$B$3)^W521</f>
        <v/>
      </c>
      <c r="Y521" s="25">
        <f>IF(T521=0,"",ROUND(X521/T521*100,1))</f>
        <v/>
      </c>
      <c r="Z521" s="26">
        <f>X521*Assumptions!$B$4</f>
        <v/>
      </c>
      <c r="AA521" s="25">
        <f>IF(T521=0,"",ROUND(Z521/T521*100,1))</f>
        <v/>
      </c>
      <c r="AB521" s="26">
        <f>X521-Z521</f>
        <v/>
      </c>
      <c r="AC521" s="25">
        <f>IF(T521=0,"",ROUND((X521-Z521)/T521*100,1))</f>
        <v/>
      </c>
      <c r="AD521" s="27" t="inlineStr">
        <is>
          <t>ESTIMATED</t>
        </is>
      </c>
      <c r="AE521" s="28" t="inlineStr">
        <is>
          <t>https://ativosajce.com.br/admin/download.php?file=files/processo_documento/processo_documento13422625032025_1_.pdf&amp;nome=Relação de Credores - Art. 52º § 1º, da Lei nº 11.101/2005 - 25/02/2025</t>
        </is>
      </c>
      <c r="AF521" s="27" t="inlineStr">
        <is>
          <t>p5 r48; p5 r49</t>
        </is>
      </c>
      <c r="AG521" s="27" t="inlineStr">
        <is>
          <t>p5: R$ 226.506,99; p5: R$ 226.506,99</t>
        </is>
      </c>
      <c r="AH521" s="27" t="inlineStr">
        <is>
          <t>UNKNOWN</t>
        </is>
      </c>
      <c r="AI521" s="27" t="inlineStr">
        <is>
          <t>2025-02-28</t>
        </is>
      </c>
      <c r="AJ521" s="27" t="inlineStr">
        <is>
          <t>OK_NO_TOTALS</t>
        </is>
      </c>
      <c r="AK521" s="29" t="inlineStr">
        <is>
          <t>1000119-75.2025.8.26.0354</t>
        </is>
      </c>
      <c r="AL521" s="29" t="inlineStr">
        <is>
          <t>TJSP</t>
        </is>
      </c>
      <c r="AM521" s="29" t="inlineStr">
        <is>
          <t>ACTIVE</t>
        </is>
      </c>
      <c r="AN521" s="29" t="n">
        <v>2025</v>
      </c>
      <c r="AO521" s="29" t="inlineStr">
        <is>
          <t>live case, no plan document yet</t>
        </is>
      </c>
      <c r="AP521" s="29" t="inlineStr">
        <is>
          <t>BARUERI</t>
        </is>
      </c>
      <c r="AQ521" s="29" t="inlineStr">
        <is>
          <t>SP</t>
        </is>
      </c>
      <c r="AR521" s="29" t="inlineStr">
        <is>
          <t>Fabricação de máquinas e equipamentos para as indústrias de alimentos, bebidas e fumo, peças e acessórios</t>
        </is>
      </c>
      <c r="AS521" s="29" t="inlineStr">
        <is>
          <t>DEMAIS</t>
        </is>
      </c>
      <c r="AT521" s="29" t="inlineStr">
        <is>
          <t>MID-MARKET</t>
        </is>
      </c>
      <c r="AU521" s="29" t="inlineStr">
        <is>
          <t>65947236</t>
        </is>
      </c>
      <c r="AV521" s="29" t="n">
        <v>1</v>
      </c>
      <c r="AW521" s="29" t="inlineStr">
        <is>
          <t>ROWS:p5r48 UNRECONCILED_SOURCE</t>
        </is>
      </c>
    </row>
    <row r="522">
      <c r="A522" s="15" t="inlineStr">
        <is>
          <t>EMBALARTE EMBALAGENS LTDA</t>
        </is>
      </c>
      <c r="B522" s="16" t="n">
        <v>209405.66</v>
      </c>
      <c r="C522" s="17" t="inlineStr">
        <is>
          <t>COMERCIO RACOES BEM BOM LTDA</t>
        </is>
      </c>
      <c r="D522" s="18" t="inlineStr">
        <is>
          <t>NEW</t>
        </is>
      </c>
      <c r="E522" s="19" t="inlineStr"/>
      <c r="F522" s="18" t="inlineStr"/>
      <c r="G522" s="19" t="inlineStr"/>
      <c r="H522" s="18" t="inlineStr"/>
      <c r="I522" s="20" t="inlineStr">
        <is>
          <t>JOAO MARIA PIEDADE DOS SANTOS</t>
        </is>
      </c>
      <c r="J522" s="20" t="inlineStr">
        <is>
          <t>Sócio-Administrador</t>
        </is>
      </c>
      <c r="K522" s="20" t="inlineStr">
        <is>
          <t>(62) 3920-3700</t>
        </is>
      </c>
      <c r="L522" s="20" t="inlineStr"/>
      <c r="M522" s="20" t="inlineStr"/>
      <c r="N522" s="20" t="inlineStr"/>
      <c r="O522" s="20" t="inlineStr"/>
      <c r="P522" s="20" t="inlineStr"/>
      <c r="Q522" s="20" t="inlineStr"/>
      <c r="R522" s="20" t="inlineStr"/>
      <c r="S522" s="20" t="inlineStr"/>
      <c r="T522" s="21" t="n">
        <v>209405.66</v>
      </c>
      <c r="U522" s="32" t="inlineStr">
        <is>
          <t>A</t>
        </is>
      </c>
      <c r="V522" s="23">
        <f>IFERROR(VLOOKUP(U522,Assumptions!$A$7:$D$11,2,FALSE),0)</f>
        <v/>
      </c>
      <c r="W522" s="24">
        <f>MAX(0.5,IFERROR(VLOOKUP(U522,Assumptions!$A$7:$D$11,3,FALSE),3)+IFERROR(VLOOKUP(U522,Assumptions!$A$7:$D$11,4,FALSE),8)/2-IF(AN522="",0,YEAR(TODAY())-AN522))</f>
        <v/>
      </c>
      <c r="X522" s="21">
        <f>T522*V522/(1+Assumptions!$B$3)^W522</f>
        <v/>
      </c>
      <c r="Y522" s="25">
        <f>IF(T522=0,"",ROUND(X522/T522*100,1))</f>
        <v/>
      </c>
      <c r="Z522" s="26">
        <f>X522*Assumptions!$B$4</f>
        <v/>
      </c>
      <c r="AA522" s="25">
        <f>IF(T522=0,"",ROUND(Z522/T522*100,1))</f>
        <v/>
      </c>
      <c r="AB522" s="26">
        <f>X522-Z522</f>
        <v/>
      </c>
      <c r="AC522" s="25">
        <f>IF(T522=0,"",ROUND((X522-Z522)/T522*100,1))</f>
        <v/>
      </c>
      <c r="AD522" s="27" t="inlineStr">
        <is>
          <t>CONFIRMED</t>
        </is>
      </c>
      <c r="AE522" s="28" t="inlineStr">
        <is>
          <t>https://stenius.com.br/wp-content/uploads/2026/06/EDITAL-GRUPO-3E.pdf</t>
        </is>
      </c>
      <c r="AF522" s="27" t="inlineStr">
        <is>
          <t>p13 r2</t>
        </is>
      </c>
      <c r="AG522" s="27" t="inlineStr">
        <is>
          <t>p13: R$ 209.405,66</t>
        </is>
      </c>
      <c r="AH522" s="27" t="inlineStr">
        <is>
          <t>DEBTOR_LIST</t>
        </is>
      </c>
      <c r="AI522" s="27" t="inlineStr">
        <is>
          <t>2026-06-22</t>
        </is>
      </c>
      <c r="AJ522" s="27" t="inlineStr">
        <is>
          <t>OK_NO_TOTALS</t>
        </is>
      </c>
      <c r="AK522" s="29" t="inlineStr">
        <is>
          <t>5341375-33.2026.8.09.0049</t>
        </is>
      </c>
      <c r="AL522" s="29" t="inlineStr">
        <is>
          <t>TJGO</t>
        </is>
      </c>
      <c r="AM522" s="29" t="inlineStr">
        <is>
          <t>ACTIVE</t>
        </is>
      </c>
      <c r="AN522" s="29" t="n">
        <v>2026</v>
      </c>
      <c r="AO522" s="29" t="inlineStr">
        <is>
          <t>plan/homologation document found</t>
        </is>
      </c>
      <c r="AP522" s="29" t="inlineStr">
        <is>
          <t>GOIANIA</t>
        </is>
      </c>
      <c r="AQ522" s="29" t="inlineStr">
        <is>
          <t>GO</t>
        </is>
      </c>
      <c r="AR522" s="29" t="inlineStr">
        <is>
          <t>Comércio atacadista de embalagens</t>
        </is>
      </c>
      <c r="AS522" s="29" t="inlineStr">
        <is>
          <t>MICRO EMPRESA</t>
        </is>
      </c>
      <c r="AT522" s="29" t="inlineStr">
        <is>
          <t>SMALL</t>
        </is>
      </c>
      <c r="AU522" s="29" t="inlineStr">
        <is>
          <t>62859128</t>
        </is>
      </c>
      <c r="AV522" s="29" t="n">
        <v>1</v>
      </c>
      <c r="AW522" s="29" t="inlineStr">
        <is>
          <t>ROWS:p13r2 UNRECONCILED_SOURCE</t>
        </is>
      </c>
    </row>
    <row r="523">
      <c r="A523" s="15" t="inlineStr">
        <is>
          <t>MADETEC MOVEIS LTDA</t>
        </is>
      </c>
      <c r="B523" s="16" t="n">
        <v>228237</v>
      </c>
      <c r="C523" s="17" t="inlineStr">
        <is>
          <t>aludida empresa</t>
        </is>
      </c>
      <c r="D523" s="18" t="inlineStr">
        <is>
          <t>NEW</t>
        </is>
      </c>
      <c r="E523" s="19" t="inlineStr"/>
      <c r="F523" s="18" t="inlineStr"/>
      <c r="G523" s="19" t="inlineStr"/>
      <c r="H523" s="18" t="inlineStr"/>
      <c r="I523" s="20" t="inlineStr">
        <is>
          <t>GIANCARLO BEGA PIZZA</t>
        </is>
      </c>
      <c r="J523" s="20" t="inlineStr">
        <is>
          <t>Sócio-Administrador</t>
        </is>
      </c>
      <c r="K523" s="20" t="inlineStr">
        <is>
          <t>(43) 3303-1800</t>
        </is>
      </c>
      <c r="L523" s="20" t="inlineStr"/>
      <c r="M523" s="20" t="inlineStr"/>
      <c r="N523" s="20" t="inlineStr"/>
      <c r="O523" s="20" t="inlineStr"/>
      <c r="P523" s="20" t="inlineStr"/>
      <c r="Q523" s="20" t="inlineStr"/>
      <c r="R523" s="20" t="inlineStr"/>
      <c r="S523" s="20" t="inlineStr"/>
      <c r="T523" s="21" t="n">
        <v>228237</v>
      </c>
      <c r="U523" s="31" t="inlineStr">
        <is>
          <t>C</t>
        </is>
      </c>
      <c r="V523" s="23">
        <f>IFERROR(VLOOKUP(U523,Assumptions!$A$7:$D$11,2,FALSE),0)</f>
        <v/>
      </c>
      <c r="W523" s="24">
        <f>MAX(0.5,IFERROR(VLOOKUP(U523,Assumptions!$A$7:$D$11,3,FALSE),3)+IFERROR(VLOOKUP(U523,Assumptions!$A$7:$D$11,4,FALSE),8)/2-IF(AN523="",0,YEAR(TODAY())-AN523))</f>
        <v/>
      </c>
      <c r="X523" s="21">
        <f>T523*V523/(1+Assumptions!$B$3)^W523</f>
        <v/>
      </c>
      <c r="Y523" s="25">
        <f>IF(T523=0,"",ROUND(X523/T523*100,1))</f>
        <v/>
      </c>
      <c r="Z523" s="26">
        <f>X523*Assumptions!$B$4</f>
        <v/>
      </c>
      <c r="AA523" s="25">
        <f>IF(T523=0,"",ROUND(Z523/T523*100,1))</f>
        <v/>
      </c>
      <c r="AB523" s="26">
        <f>X523-Z523</f>
        <v/>
      </c>
      <c r="AC523" s="25">
        <f>IF(T523=0,"",ROUND((X523-Z523)/T523*100,1))</f>
        <v/>
      </c>
      <c r="AD523" s="27" t="inlineStr">
        <is>
          <t>ESTIMATED</t>
        </is>
      </c>
      <c r="AE523" s="28" t="inlineStr">
        <is>
          <t>https://recuperacaojudicial.squarespace.com/s/RJ-Credimoveis-QGC-01082025.pdf</t>
        </is>
      </c>
      <c r="AF523" s="27" t="inlineStr">
        <is>
          <t>p16 r12</t>
        </is>
      </c>
      <c r="AG523" s="27" t="inlineStr">
        <is>
          <t>p16: R$ 228.237,00</t>
        </is>
      </c>
      <c r="AH523" s="27" t="inlineStr">
        <is>
          <t>QGC</t>
        </is>
      </c>
      <c r="AI523" s="27" t="inlineStr">
        <is>
          <t>2026-01-28</t>
        </is>
      </c>
      <c r="AJ523" s="27" t="inlineStr">
        <is>
          <t>OK</t>
        </is>
      </c>
      <c r="AK523" s="29" t="inlineStr">
        <is>
          <t>0007565-40.2020.8.17.2370</t>
        </is>
      </c>
      <c r="AL523" s="29" t="inlineStr">
        <is>
          <t>TJPE</t>
        </is>
      </c>
      <c r="AM523" s="29" t="inlineStr">
        <is>
          <t>ACTIVE</t>
        </is>
      </c>
      <c r="AN523" s="29" t="n">
        <v>2020</v>
      </c>
      <c r="AO523" s="29" t="inlineStr">
        <is>
          <t>6y since filing, no plan document</t>
        </is>
      </c>
      <c r="AP523" s="29" t="inlineStr">
        <is>
          <t>ARAPONGAS</t>
        </is>
      </c>
      <c r="AQ523" s="29" t="inlineStr">
        <is>
          <t>PR</t>
        </is>
      </c>
      <c r="AR523" s="29" t="inlineStr">
        <is>
          <t>Fabricação de móveis com predominância de madeira</t>
        </is>
      </c>
      <c r="AS523" s="29" t="inlineStr">
        <is>
          <t>DEMAIS</t>
        </is>
      </c>
      <c r="AT523" s="29" t="inlineStr">
        <is>
          <t>MID-MARKET</t>
        </is>
      </c>
      <c r="AU523" s="29" t="inlineStr">
        <is>
          <t>02624729</t>
        </is>
      </c>
      <c r="AV523" s="29" t="n">
        <v>1</v>
      </c>
      <c r="AW523" s="29" t="inlineStr">
        <is>
          <t>ROWS:p16r12</t>
        </is>
      </c>
    </row>
    <row r="524">
      <c r="A524" s="15" t="inlineStr">
        <is>
          <t>DPC DISTRIBUIDOR ATACADISTA S/A</t>
        </is>
      </c>
      <c r="B524" s="16" t="n">
        <v>206466.35</v>
      </c>
      <c r="C524" s="17" t="inlineStr">
        <is>
          <t>COMERCIO RACOES BEM BOM LTDA</t>
        </is>
      </c>
      <c r="D524" s="18" t="inlineStr">
        <is>
          <t>NEW</t>
        </is>
      </c>
      <c r="E524" s="19" t="inlineStr"/>
      <c r="F524" s="18" t="inlineStr"/>
      <c r="G524" s="19" t="inlineStr"/>
      <c r="H524" s="18" t="inlineStr"/>
      <c r="I524" s="20" t="inlineStr">
        <is>
          <t>ALVARO JOAO ARAUJO LACERDA</t>
        </is>
      </c>
      <c r="J524" s="20" t="inlineStr">
        <is>
          <t>Presidente</t>
        </is>
      </c>
      <c r="K524" s="20" t="inlineStr">
        <is>
          <t>(33) 3329-0000</t>
        </is>
      </c>
      <c r="L524" s="20" t="inlineStr"/>
      <c r="M524" s="20" t="inlineStr"/>
      <c r="N524" s="20" t="inlineStr"/>
      <c r="O524" s="20" t="inlineStr"/>
      <c r="P524" s="20" t="inlineStr">
        <is>
          <t>JEAN JOSE ARAUJO LACERDA</t>
        </is>
      </c>
      <c r="Q524" s="20" t="inlineStr">
        <is>
          <t>Diretor</t>
        </is>
      </c>
      <c r="R524" s="20" t="inlineStr">
        <is>
          <t>(33) 3329-0000</t>
        </is>
      </c>
      <c r="S524" s="20" t="inlineStr"/>
      <c r="T524" s="21" t="n">
        <v>206466.35</v>
      </c>
      <c r="U524" s="32" t="inlineStr">
        <is>
          <t>A</t>
        </is>
      </c>
      <c r="V524" s="23">
        <f>IFERROR(VLOOKUP(U524,Assumptions!$A$7:$D$11,2,FALSE),0)</f>
        <v/>
      </c>
      <c r="W524" s="24">
        <f>MAX(0.5,IFERROR(VLOOKUP(U524,Assumptions!$A$7:$D$11,3,FALSE),3)+IFERROR(VLOOKUP(U524,Assumptions!$A$7:$D$11,4,FALSE),8)/2-IF(AN524="",0,YEAR(TODAY())-AN524))</f>
        <v/>
      </c>
      <c r="X524" s="21">
        <f>T524*V524/(1+Assumptions!$B$3)^W524</f>
        <v/>
      </c>
      <c r="Y524" s="25">
        <f>IF(T524=0,"",ROUND(X524/T524*100,1))</f>
        <v/>
      </c>
      <c r="Z524" s="26">
        <f>X524*Assumptions!$B$4</f>
        <v/>
      </c>
      <c r="AA524" s="25">
        <f>IF(T524=0,"",ROUND(Z524/T524*100,1))</f>
        <v/>
      </c>
      <c r="AB524" s="26">
        <f>X524-Z524</f>
        <v/>
      </c>
      <c r="AC524" s="25">
        <f>IF(T524=0,"",ROUND((X524-Z524)/T524*100,1))</f>
        <v/>
      </c>
      <c r="AD524" s="27" t="inlineStr">
        <is>
          <t>CONFIRMED</t>
        </is>
      </c>
      <c r="AE524" s="28" t="inlineStr">
        <is>
          <t>https://stenius.com.br/wp-content/uploads/2026/06/EDITAL-GRUPO-3E.pdf</t>
        </is>
      </c>
      <c r="AF524" s="27" t="inlineStr">
        <is>
          <t>p12 r53; p12 r54</t>
        </is>
      </c>
      <c r="AG524" s="27" t="inlineStr">
        <is>
          <t>p12: R$ 171.927,72; p12: R$ 34.538,63</t>
        </is>
      </c>
      <c r="AH524" s="27" t="inlineStr">
        <is>
          <t>DEBTOR_LIST</t>
        </is>
      </c>
      <c r="AI524" s="27" t="inlineStr">
        <is>
          <t>2026-06-22</t>
        </is>
      </c>
      <c r="AJ524" s="27" t="inlineStr">
        <is>
          <t>OK_NO_TOTALS</t>
        </is>
      </c>
      <c r="AK524" s="29" t="inlineStr">
        <is>
          <t>5341375-33.2026.8.09.0049</t>
        </is>
      </c>
      <c r="AL524" s="29" t="inlineStr">
        <is>
          <t>TJGO</t>
        </is>
      </c>
      <c r="AM524" s="29" t="inlineStr">
        <is>
          <t>ACTIVE</t>
        </is>
      </c>
      <c r="AN524" s="29" t="n">
        <v>2026</v>
      </c>
      <c r="AO524" s="29" t="inlineStr">
        <is>
          <t>plan/homologation document found</t>
        </is>
      </c>
      <c r="AP524" s="29" t="inlineStr">
        <is>
          <t>CARATINGA</t>
        </is>
      </c>
      <c r="AQ524" s="29" t="inlineStr">
        <is>
          <t>MG</t>
        </is>
      </c>
      <c r="AR524" s="29" t="inlineStr">
        <is>
          <t>Comércio atacadista de produtos de higiene pessoal</t>
        </is>
      </c>
      <c r="AS524" s="29" t="inlineStr">
        <is>
          <t>DEMAIS</t>
        </is>
      </c>
      <c r="AT524" s="29" t="inlineStr">
        <is>
          <t>MID-MARKET</t>
        </is>
      </c>
      <c r="AU524" s="29" t="inlineStr">
        <is>
          <t>66471517</t>
        </is>
      </c>
      <c r="AV524" s="29" t="n">
        <v>2</v>
      </c>
      <c r="AW524" s="29" t="inlineStr">
        <is>
          <t>ROWS:p12r53,p12r54 UNRECONCILED_SOURCE</t>
        </is>
      </c>
    </row>
    <row r="525">
      <c r="A525" s="15" t="inlineStr">
        <is>
          <t>SEPAC SERRADOS E PASTA DE CELULOSE LTDA</t>
        </is>
      </c>
      <c r="B525" s="16" t="n">
        <v>206015.81</v>
      </c>
      <c r="C525" s="17" t="inlineStr">
        <is>
          <t>COMERCIO RACOES BEM BOM LTDA</t>
        </is>
      </c>
      <c r="D525" s="18" t="inlineStr">
        <is>
          <t>NEW</t>
        </is>
      </c>
      <c r="E525" s="19" t="inlineStr"/>
      <c r="F525" s="18" t="inlineStr"/>
      <c r="G525" s="19" t="inlineStr"/>
      <c r="H525" s="18" t="inlineStr"/>
      <c r="I525" s="20" t="inlineStr">
        <is>
          <t>RENATO TYSKI ZAPSZALKA</t>
        </is>
      </c>
      <c r="J525" s="20" t="inlineStr">
        <is>
          <t>Administrador</t>
        </is>
      </c>
      <c r="K525" s="20" t="inlineStr">
        <is>
          <t>(42) 3542-8000</t>
        </is>
      </c>
      <c r="L525" s="20" t="inlineStr"/>
      <c r="M525" s="20" t="inlineStr"/>
      <c r="N525" s="20" t="inlineStr"/>
      <c r="O525" s="20" t="inlineStr"/>
      <c r="P525" s="20" t="inlineStr">
        <is>
          <t>RODRIGO WAWRUK VIANA</t>
        </is>
      </c>
      <c r="Q525" s="20" t="inlineStr">
        <is>
          <t>Administrador</t>
        </is>
      </c>
      <c r="R525" s="20" t="inlineStr">
        <is>
          <t>(42) 3542-8000</t>
        </is>
      </c>
      <c r="S525" s="20" t="inlineStr"/>
      <c r="T525" s="21" t="n">
        <v>206015.81</v>
      </c>
      <c r="U525" s="32" t="inlineStr">
        <is>
          <t>A</t>
        </is>
      </c>
      <c r="V525" s="23">
        <f>IFERROR(VLOOKUP(U525,Assumptions!$A$7:$D$11,2,FALSE),0)</f>
        <v/>
      </c>
      <c r="W525" s="24">
        <f>MAX(0.5,IFERROR(VLOOKUP(U525,Assumptions!$A$7:$D$11,3,FALSE),3)+IFERROR(VLOOKUP(U525,Assumptions!$A$7:$D$11,4,FALSE),8)/2-IF(AN525="",0,YEAR(TODAY())-AN525))</f>
        <v/>
      </c>
      <c r="X525" s="21">
        <f>T525*V525/(1+Assumptions!$B$3)^W525</f>
        <v/>
      </c>
      <c r="Y525" s="25">
        <f>IF(T525=0,"",ROUND(X525/T525*100,1))</f>
        <v/>
      </c>
      <c r="Z525" s="26">
        <f>X525*Assumptions!$B$4</f>
        <v/>
      </c>
      <c r="AA525" s="25">
        <f>IF(T525=0,"",ROUND(Z525/T525*100,1))</f>
        <v/>
      </c>
      <c r="AB525" s="26">
        <f>X525-Z525</f>
        <v/>
      </c>
      <c r="AC525" s="25">
        <f>IF(T525=0,"",ROUND((X525-Z525)/T525*100,1))</f>
        <v/>
      </c>
      <c r="AD525" s="27" t="inlineStr">
        <is>
          <t>CONFIRMED</t>
        </is>
      </c>
      <c r="AE525" s="28" t="inlineStr">
        <is>
          <t>https://stenius.com.br/wp-content/uploads/2026/06/EDITAL-GRUPO-3E.pdf</t>
        </is>
      </c>
      <c r="AF525" s="27" t="inlineStr">
        <is>
          <t>p17 r68</t>
        </is>
      </c>
      <c r="AG525" s="27" t="inlineStr">
        <is>
          <t>p17: R$ 206.015,81</t>
        </is>
      </c>
      <c r="AH525" s="27" t="inlineStr">
        <is>
          <t>DEBTOR_LIST</t>
        </is>
      </c>
      <c r="AI525" s="27" t="inlineStr">
        <is>
          <t>2026-06-22</t>
        </is>
      </c>
      <c r="AJ525" s="27" t="inlineStr">
        <is>
          <t>OK_NO_TOTALS</t>
        </is>
      </c>
      <c r="AK525" s="29" t="inlineStr">
        <is>
          <t>5341375-33.2026.8.09.0049</t>
        </is>
      </c>
      <c r="AL525" s="29" t="inlineStr">
        <is>
          <t>TJGO</t>
        </is>
      </c>
      <c r="AM525" s="29" t="inlineStr">
        <is>
          <t>ACTIVE</t>
        </is>
      </c>
      <c r="AN525" s="29" t="n">
        <v>2026</v>
      </c>
      <c r="AO525" s="29" t="inlineStr">
        <is>
          <t>plan/homologation document found</t>
        </is>
      </c>
      <c r="AP525" s="29" t="inlineStr">
        <is>
          <t>MALLET</t>
        </is>
      </c>
      <c r="AQ525" s="29" t="inlineStr">
        <is>
          <t>PR</t>
        </is>
      </c>
      <c r="AR525" s="29" t="inlineStr">
        <is>
          <t>Fabricação de produtos de papel para uso doméstico e higiênico-sanitário não especificados anteriormente</t>
        </is>
      </c>
      <c r="AS525" s="29" t="inlineStr">
        <is>
          <t>DEMAIS</t>
        </is>
      </c>
      <c r="AT525" s="29" t="inlineStr">
        <is>
          <t>LARGE CORP</t>
        </is>
      </c>
      <c r="AU525" s="29" t="inlineStr">
        <is>
          <t>75655720</t>
        </is>
      </c>
      <c r="AV525" s="29" t="n">
        <v>1</v>
      </c>
      <c r="AW525" s="29" t="inlineStr">
        <is>
          <t>ROWS:p17r68 UNRECONCILED_SOURCE</t>
        </is>
      </c>
    </row>
    <row r="526">
      <c r="A526" s="15" t="inlineStr">
        <is>
          <t>LINEA BRASIL IND E COM DE MOVEIS LTDA</t>
        </is>
      </c>
      <c r="B526" s="16" t="n">
        <v>224015.98</v>
      </c>
      <c r="C526" s="17" t="inlineStr">
        <is>
          <t>aludida empresa</t>
        </is>
      </c>
      <c r="D526" s="18" t="inlineStr">
        <is>
          <t>NEW</t>
        </is>
      </c>
      <c r="E526" s="19" t="inlineStr"/>
      <c r="F526" s="18" t="inlineStr"/>
      <c r="G526" s="19" t="inlineStr"/>
      <c r="H526" s="18" t="inlineStr"/>
      <c r="I526" s="20" t="inlineStr">
        <is>
          <t>ELIO SERGIO PAVANATO</t>
        </is>
      </c>
      <c r="J526" s="20" t="inlineStr">
        <is>
          <t>Sócio-Administrador</t>
        </is>
      </c>
      <c r="K526" s="20" t="inlineStr">
        <is>
          <t>(43) 3056-3780</t>
        </is>
      </c>
      <c r="L526" s="20" t="inlineStr"/>
      <c r="M526" s="20" t="inlineStr"/>
      <c r="N526" s="20" t="inlineStr"/>
      <c r="O526" s="20" t="inlineStr"/>
      <c r="P526" s="20" t="inlineStr"/>
      <c r="Q526" s="20" t="inlineStr"/>
      <c r="R526" s="20" t="inlineStr"/>
      <c r="S526" s="20" t="inlineStr"/>
      <c r="T526" s="21" t="n">
        <v>224015.98</v>
      </c>
      <c r="U526" s="31" t="inlineStr">
        <is>
          <t>C</t>
        </is>
      </c>
      <c r="V526" s="23">
        <f>IFERROR(VLOOKUP(U526,Assumptions!$A$7:$D$11,2,FALSE),0)</f>
        <v/>
      </c>
      <c r="W526" s="24">
        <f>MAX(0.5,IFERROR(VLOOKUP(U526,Assumptions!$A$7:$D$11,3,FALSE),3)+IFERROR(VLOOKUP(U526,Assumptions!$A$7:$D$11,4,FALSE),8)/2-IF(AN526="",0,YEAR(TODAY())-AN526))</f>
        <v/>
      </c>
      <c r="X526" s="21">
        <f>T526*V526/(1+Assumptions!$B$3)^W526</f>
        <v/>
      </c>
      <c r="Y526" s="25">
        <f>IF(T526=0,"",ROUND(X526/T526*100,1))</f>
        <v/>
      </c>
      <c r="Z526" s="26">
        <f>X526*Assumptions!$B$4</f>
        <v/>
      </c>
      <c r="AA526" s="25">
        <f>IF(T526=0,"",ROUND(Z526/T526*100,1))</f>
        <v/>
      </c>
      <c r="AB526" s="26">
        <f>X526-Z526</f>
        <v/>
      </c>
      <c r="AC526" s="25">
        <f>IF(T526=0,"",ROUND((X526-Z526)/T526*100,1))</f>
        <v/>
      </c>
      <c r="AD526" s="27" t="inlineStr">
        <is>
          <t>ESTIMATED</t>
        </is>
      </c>
      <c r="AE526" s="28" t="inlineStr">
        <is>
          <t>https://recuperacaojudicial.squarespace.com/s/RJ-Credimoveis-QGC-01082025.pdf</t>
        </is>
      </c>
      <c r="AF526" s="27" t="inlineStr">
        <is>
          <t>p16 r8</t>
        </is>
      </c>
      <c r="AG526" s="27" t="inlineStr">
        <is>
          <t>p16: R$ 224.015,98</t>
        </is>
      </c>
      <c r="AH526" s="27" t="inlineStr">
        <is>
          <t>QGC</t>
        </is>
      </c>
      <c r="AI526" s="27" t="inlineStr">
        <is>
          <t>2026-01-28</t>
        </is>
      </c>
      <c r="AJ526" s="27" t="inlineStr">
        <is>
          <t>OK</t>
        </is>
      </c>
      <c r="AK526" s="29" t="inlineStr">
        <is>
          <t>0007565-40.2020.8.17.2370</t>
        </is>
      </c>
      <c r="AL526" s="29" t="inlineStr">
        <is>
          <t>TJPE</t>
        </is>
      </c>
      <c r="AM526" s="29" t="inlineStr">
        <is>
          <t>ACTIVE</t>
        </is>
      </c>
      <c r="AN526" s="29" t="n">
        <v>2020</v>
      </c>
      <c r="AO526" s="29" t="inlineStr">
        <is>
          <t>6y since filing, no plan document</t>
        </is>
      </c>
      <c r="AP526" s="29" t="inlineStr">
        <is>
          <t>ARAPONGAS</t>
        </is>
      </c>
      <c r="AQ526" s="29" t="inlineStr">
        <is>
          <t>PR</t>
        </is>
      </c>
      <c r="AR526" s="29" t="inlineStr">
        <is>
          <t>Fabricação de móveis com predominância de madeira</t>
        </is>
      </c>
      <c r="AS526" s="29" t="inlineStr">
        <is>
          <t>DEMAIS</t>
        </is>
      </c>
      <c r="AT526" s="29" t="inlineStr">
        <is>
          <t>MID-MARKET</t>
        </is>
      </c>
      <c r="AU526" s="29" t="inlineStr">
        <is>
          <t>95387569</t>
        </is>
      </c>
      <c r="AV526" s="29" t="n">
        <v>1</v>
      </c>
      <c r="AW526" s="29" t="inlineStr">
        <is>
          <t>ROWS:p16r8</t>
        </is>
      </c>
    </row>
    <row r="527">
      <c r="A527" s="15" t="inlineStr">
        <is>
          <t>USINA DE VENDAS SOLUCOES COMERCIAIS EM DISTRIBUICAO LTDA EM RECUPERACAO JUDICIAL</t>
        </is>
      </c>
      <c r="B527" s="16" t="n">
        <v>223400</v>
      </c>
      <c r="C527" s="17" t="inlineStr">
        <is>
          <t>aludida empresa</t>
        </is>
      </c>
      <c r="D527" s="18" t="inlineStr">
        <is>
          <t>NEW</t>
        </is>
      </c>
      <c r="E527" s="19" t="inlineStr"/>
      <c r="F527" s="18" t="inlineStr"/>
      <c r="G527" s="19" t="inlineStr"/>
      <c r="H527" s="18" t="inlineStr"/>
      <c r="I527" s="20" t="inlineStr">
        <is>
          <t>ANA BARBOSA RODRIGUES PALMA</t>
        </is>
      </c>
      <c r="J527" s="20" t="inlineStr">
        <is>
          <t>Sócio-Administrador</t>
        </is>
      </c>
      <c r="K527" s="20" t="inlineStr">
        <is>
          <t>(11) 4179-0001</t>
        </is>
      </c>
      <c r="L527" s="20" t="inlineStr"/>
      <c r="M527" s="20" t="inlineStr"/>
      <c r="N527" s="20" t="inlineStr"/>
      <c r="O527" s="20" t="inlineStr"/>
      <c r="P527" s="20" t="inlineStr">
        <is>
          <t>MARCO ANTONIO PALMA</t>
        </is>
      </c>
      <c r="Q527" s="20" t="inlineStr">
        <is>
          <t>Sócio-Administrador</t>
        </is>
      </c>
      <c r="R527" s="20" t="inlineStr">
        <is>
          <t>(11) 4179-0001</t>
        </is>
      </c>
      <c r="S527" s="20" t="inlineStr"/>
      <c r="T527" s="21" t="n">
        <v>223400</v>
      </c>
      <c r="U527" s="31" t="inlineStr">
        <is>
          <t>C</t>
        </is>
      </c>
      <c r="V527" s="23">
        <f>IFERROR(VLOOKUP(U527,Assumptions!$A$7:$D$11,2,FALSE),0)</f>
        <v/>
      </c>
      <c r="W527" s="24">
        <f>MAX(0.5,IFERROR(VLOOKUP(U527,Assumptions!$A$7:$D$11,3,FALSE),3)+IFERROR(VLOOKUP(U527,Assumptions!$A$7:$D$11,4,FALSE),8)/2-IF(AN527="",0,YEAR(TODAY())-AN527))</f>
        <v/>
      </c>
      <c r="X527" s="21">
        <f>T527*V527/(1+Assumptions!$B$3)^W527</f>
        <v/>
      </c>
      <c r="Y527" s="25">
        <f>IF(T527=0,"",ROUND(X527/T527*100,1))</f>
        <v/>
      </c>
      <c r="Z527" s="26">
        <f>X527*Assumptions!$B$4</f>
        <v/>
      </c>
      <c r="AA527" s="25">
        <f>IF(T527=0,"",ROUND(Z527/T527*100,1))</f>
        <v/>
      </c>
      <c r="AB527" s="26">
        <f>X527-Z527</f>
        <v/>
      </c>
      <c r="AC527" s="25">
        <f>IF(T527=0,"",ROUND((X527-Z527)/T527*100,1))</f>
        <v/>
      </c>
      <c r="AD527" s="27" t="inlineStr">
        <is>
          <t>ESTIMATED</t>
        </is>
      </c>
      <c r="AE527" s="28" t="inlineStr">
        <is>
          <t>https://recuperacaojudicial.squarespace.com/s/RJ-Credimoveis-QGC-01082025.pdf</t>
        </is>
      </c>
      <c r="AF527" s="27" t="inlineStr">
        <is>
          <t>p17 r8</t>
        </is>
      </c>
      <c r="AG527" s="27" t="inlineStr">
        <is>
          <t>p17: R$ 223.400,00</t>
        </is>
      </c>
      <c r="AH527" s="27" t="inlineStr">
        <is>
          <t>QGC</t>
        </is>
      </c>
      <c r="AI527" s="27" t="inlineStr">
        <is>
          <t>2026-01-28</t>
        </is>
      </c>
      <c r="AJ527" s="27" t="inlineStr">
        <is>
          <t>OK</t>
        </is>
      </c>
      <c r="AK527" s="29" t="inlineStr">
        <is>
          <t>0007565-40.2020.8.17.2370</t>
        </is>
      </c>
      <c r="AL527" s="29" t="inlineStr">
        <is>
          <t>TJPE</t>
        </is>
      </c>
      <c r="AM527" s="29" t="inlineStr">
        <is>
          <t>ACTIVE</t>
        </is>
      </c>
      <c r="AN527" s="29" t="n">
        <v>2020</v>
      </c>
      <c r="AO527" s="29" t="inlineStr">
        <is>
          <t>6y since filing, no plan document</t>
        </is>
      </c>
      <c r="AP527" s="29" t="inlineStr">
        <is>
          <t>SAO PAULO</t>
        </is>
      </c>
      <c r="AQ527" s="29" t="inlineStr">
        <is>
          <t>SP</t>
        </is>
      </c>
      <c r="AR527" s="29" t="inlineStr">
        <is>
          <t>Comércio atacadista de componentes eletrônicos e equipamentos de telefonia e comunicação</t>
        </is>
      </c>
      <c r="AS527" s="29" t="inlineStr">
        <is>
          <t>DEMAIS</t>
        </is>
      </c>
      <c r="AT527" s="29" t="inlineStr">
        <is>
          <t>MID-MARKET</t>
        </is>
      </c>
      <c r="AU527" s="29" t="inlineStr">
        <is>
          <t>09373468</t>
        </is>
      </c>
      <c r="AV527" s="29" t="n">
        <v>1</v>
      </c>
      <c r="AW527" s="29" t="inlineStr">
        <is>
          <t>ROWS:p17r8</t>
        </is>
      </c>
    </row>
    <row r="528">
      <c r="A528" s="15" t="inlineStr">
        <is>
          <t>TOPICO LOCACOES DE GALPOES E EQUIPAMENTOS PARA INDUSTRIAS S.A</t>
        </is>
      </c>
      <c r="B528" s="16" t="n">
        <v>408816.48</v>
      </c>
      <c r="C528" s="17" t="inlineStr">
        <is>
          <t>EGESA ENGENHARIA S/A (Consórcio ETDI)</t>
        </is>
      </c>
      <c r="D528" s="18" t="inlineStr">
        <is>
          <t>NEW</t>
        </is>
      </c>
      <c r="E528" s="19" t="inlineStr"/>
      <c r="F528" s="18" t="inlineStr"/>
      <c r="G528" s="19" t="inlineStr"/>
      <c r="H528" s="18" t="inlineStr"/>
      <c r="I528" s="20" t="inlineStr">
        <is>
          <t>GUSTAVO PEREIRA DE FREITAS SANTOS</t>
        </is>
      </c>
      <c r="J528" s="20" t="inlineStr">
        <is>
          <t>Presidente</t>
        </is>
      </c>
      <c r="K528" s="20" t="inlineStr">
        <is>
          <t>(11) 4785-1200</t>
        </is>
      </c>
      <c r="L528" s="20" t="inlineStr">
        <is>
          <t>(11) 2344-1200</t>
        </is>
      </c>
      <c r="M528" s="20" t="inlineStr"/>
      <c r="N528" s="20" t="inlineStr"/>
      <c r="O528" s="20" t="inlineStr"/>
      <c r="P528" s="20" t="inlineStr">
        <is>
          <t>CLAUDIO FIDELIS DE GOES</t>
        </is>
      </c>
      <c r="Q528" s="20" t="inlineStr">
        <is>
          <t>Diretor</t>
        </is>
      </c>
      <c r="R528" s="20" t="inlineStr">
        <is>
          <t>(11) 2344-1200</t>
        </is>
      </c>
      <c r="S528" s="20" t="inlineStr"/>
      <c r="T528" s="21" t="n">
        <v>408816.48</v>
      </c>
      <c r="U528" s="30" t="inlineStr">
        <is>
          <t>?</t>
        </is>
      </c>
      <c r="V528" s="23">
        <f>IFERROR(VLOOKUP(U528,Assumptions!$A$7:$D$11,2,FALSE),0)</f>
        <v/>
      </c>
      <c r="W528" s="24">
        <f>MAX(0.5,IFERROR(VLOOKUP(U528,Assumptions!$A$7:$D$11,3,FALSE),3)+IFERROR(VLOOKUP(U528,Assumptions!$A$7:$D$11,4,FALSE),8)/2-IF(AN528="",0,YEAR(TODAY())-AN528))</f>
        <v/>
      </c>
      <c r="X528" s="21">
        <f>T528*V528/(1+Assumptions!$B$3)^W528</f>
        <v/>
      </c>
      <c r="Y528" s="25">
        <f>IF(T528=0,"",ROUND(X528/T528*100,1))</f>
        <v/>
      </c>
      <c r="Z528" s="26">
        <f>X528*Assumptions!$B$4</f>
        <v/>
      </c>
      <c r="AA528" s="25">
        <f>IF(T528=0,"",ROUND(Z528/T528*100,1))</f>
        <v/>
      </c>
      <c r="AB528" s="26">
        <f>X528-Z528</f>
        <v/>
      </c>
      <c r="AC528" s="25">
        <f>IF(T528=0,"",ROUND((X528-Z528)/T528*100,1))</f>
        <v/>
      </c>
      <c r="AD528" s="27" t="inlineStr">
        <is>
          <t>UNKNOWN</t>
        </is>
      </c>
      <c r="AE528" s="28" t="inlineStr">
        <is>
          <t>https://scalzilliaj.com.br/sgc/download.php?file=files/processo_documento/processo_documento09514021082025_1_.pdf&amp;nome=04 - Relação de credores das Recuperandas</t>
        </is>
      </c>
      <c r="AF528" s="27" t="inlineStr">
        <is>
          <t>p74 r7</t>
        </is>
      </c>
      <c r="AG528" s="27" t="inlineStr">
        <is>
          <t>p74: R$ 408.816,48</t>
        </is>
      </c>
      <c r="AH528" s="27" t="inlineStr">
        <is>
          <t>DEBTOR_LIST</t>
        </is>
      </c>
      <c r="AI528" s="27" t="inlineStr"/>
      <c r="AJ528" s="27" t="inlineStr">
        <is>
          <t>OK</t>
        </is>
      </c>
      <c r="AK528" s="29" t="inlineStr">
        <is>
          <t>(not printed)</t>
        </is>
      </c>
      <c r="AL528" s="29" t="inlineStr"/>
      <c r="AM528" s="29" t="inlineStr"/>
      <c r="AN528" s="29" t="inlineStr"/>
      <c r="AO528" s="29" t="inlineStr">
        <is>
          <t>RJ case number not identified on the document</t>
        </is>
      </c>
      <c r="AP528" s="29" t="inlineStr">
        <is>
          <t>EMBU DAS ARTES</t>
        </is>
      </c>
      <c r="AQ528" s="29" t="inlineStr">
        <is>
          <t>SP</t>
        </is>
      </c>
      <c r="AR528" s="29" t="inlineStr">
        <is>
          <t>Aluguel de palcos, coberturas e outras estruturas de uso temporário, exceto andaimes</t>
        </is>
      </c>
      <c r="AS528" s="29" t="inlineStr">
        <is>
          <t>DEMAIS</t>
        </is>
      </c>
      <c r="AT528" s="29" t="inlineStr">
        <is>
          <t>LARGE CORP</t>
        </is>
      </c>
      <c r="AU528" s="29" t="inlineStr">
        <is>
          <t>08259544</t>
        </is>
      </c>
      <c r="AV528" s="29" t="n">
        <v>1</v>
      </c>
      <c r="AW528" s="29" t="inlineStr">
        <is>
          <t>ROWS:p74r7 VALUE_COL:Valor_Atualizado CASE_NUMBER_CORRECTED</t>
        </is>
      </c>
    </row>
    <row r="529">
      <c r="A529" s="15" t="inlineStr">
        <is>
          <t>MOVEIS RODIAL LTDA</t>
        </is>
      </c>
      <c r="B529" s="16" t="n">
        <v>219780</v>
      </c>
      <c r="C529" s="17" t="inlineStr">
        <is>
          <t>aludida empresa</t>
        </is>
      </c>
      <c r="D529" s="18" t="inlineStr">
        <is>
          <t>NEW</t>
        </is>
      </c>
      <c r="E529" s="19" t="inlineStr"/>
      <c r="F529" s="18" t="inlineStr"/>
      <c r="G529" s="19" t="inlineStr"/>
      <c r="H529" s="18" t="inlineStr"/>
      <c r="I529" s="20" t="inlineStr">
        <is>
          <t>HEITOR JOAO TREVISOL</t>
        </is>
      </c>
      <c r="J529" s="20" t="inlineStr">
        <is>
          <t>Sócio-Administrador</t>
        </is>
      </c>
      <c r="K529" s="20" t="inlineStr"/>
      <c r="L529" s="20" t="inlineStr"/>
      <c r="M529" s="20" t="inlineStr"/>
      <c r="N529" s="20" t="inlineStr"/>
      <c r="O529" s="20" t="inlineStr"/>
      <c r="P529" s="20" t="inlineStr"/>
      <c r="Q529" s="20" t="inlineStr"/>
      <c r="R529" s="20" t="inlineStr"/>
      <c r="S529" s="20" t="inlineStr"/>
      <c r="T529" s="21" t="n">
        <v>219780</v>
      </c>
      <c r="U529" s="31" t="inlineStr">
        <is>
          <t>C</t>
        </is>
      </c>
      <c r="V529" s="23">
        <f>IFERROR(VLOOKUP(U529,Assumptions!$A$7:$D$11,2,FALSE),0)</f>
        <v/>
      </c>
      <c r="W529" s="24">
        <f>MAX(0.5,IFERROR(VLOOKUP(U529,Assumptions!$A$7:$D$11,3,FALSE),3)+IFERROR(VLOOKUP(U529,Assumptions!$A$7:$D$11,4,FALSE),8)/2-IF(AN529="",0,YEAR(TODAY())-AN529))</f>
        <v/>
      </c>
      <c r="X529" s="21">
        <f>T529*V529/(1+Assumptions!$B$3)^W529</f>
        <v/>
      </c>
      <c r="Y529" s="25">
        <f>IF(T529=0,"",ROUND(X529/T529*100,1))</f>
        <v/>
      </c>
      <c r="Z529" s="26">
        <f>X529*Assumptions!$B$4</f>
        <v/>
      </c>
      <c r="AA529" s="25">
        <f>IF(T529=0,"",ROUND(Z529/T529*100,1))</f>
        <v/>
      </c>
      <c r="AB529" s="26">
        <f>X529-Z529</f>
        <v/>
      </c>
      <c r="AC529" s="25">
        <f>IF(T529=0,"",ROUND((X529-Z529)/T529*100,1))</f>
        <v/>
      </c>
      <c r="AD529" s="27" t="inlineStr">
        <is>
          <t>ESTIMATED</t>
        </is>
      </c>
      <c r="AE529" s="28" t="inlineStr">
        <is>
          <t>https://recuperacaojudicial.squarespace.com/s/RJ-Credimoveis-QGC-01082025.pdf</t>
        </is>
      </c>
      <c r="AF529" s="27" t="inlineStr">
        <is>
          <t>p16 r24</t>
        </is>
      </c>
      <c r="AG529" s="27" t="inlineStr">
        <is>
          <t>p16: R$ 219.780,00</t>
        </is>
      </c>
      <c r="AH529" s="27" t="inlineStr">
        <is>
          <t>QGC</t>
        </is>
      </c>
      <c r="AI529" s="27" t="inlineStr">
        <is>
          <t>2026-01-28</t>
        </is>
      </c>
      <c r="AJ529" s="27" t="inlineStr">
        <is>
          <t>OK</t>
        </is>
      </c>
      <c r="AK529" s="29" t="inlineStr">
        <is>
          <t>0007565-40.2020.8.17.2370</t>
        </is>
      </c>
      <c r="AL529" s="29" t="inlineStr">
        <is>
          <t>TJPE</t>
        </is>
      </c>
      <c r="AM529" s="29" t="inlineStr">
        <is>
          <t>ACTIVE</t>
        </is>
      </c>
      <c r="AN529" s="29" t="n">
        <v>2020</v>
      </c>
      <c r="AO529" s="29" t="inlineStr">
        <is>
          <t>6y since filing, no plan document</t>
        </is>
      </c>
      <c r="AP529" s="29" t="inlineStr">
        <is>
          <t>LAGOA VERMELHA</t>
        </is>
      </c>
      <c r="AQ529" s="29" t="inlineStr">
        <is>
          <t>RS</t>
        </is>
      </c>
      <c r="AR529" s="29" t="inlineStr">
        <is>
          <t>Fabricação de móveis com predominância de madeira</t>
        </is>
      </c>
      <c r="AS529" s="29" t="inlineStr">
        <is>
          <t>DEMAIS</t>
        </is>
      </c>
      <c r="AT529" s="29" t="inlineStr">
        <is>
          <t>MID-MARKET</t>
        </is>
      </c>
      <c r="AU529" s="29" t="inlineStr">
        <is>
          <t>91062497</t>
        </is>
      </c>
      <c r="AV529" s="29" t="n">
        <v>1</v>
      </c>
      <c r="AW529" s="29" t="inlineStr">
        <is>
          <t>ROWS:p16r24</t>
        </is>
      </c>
    </row>
    <row r="530">
      <c r="A530" s="15" t="inlineStr">
        <is>
          <t>JC DISTRIBUICAO LOGISTICA IMPORTACAO E EXPORTACAO DE PRODUTOS INDUSTRIALIZADOS S/A</t>
        </is>
      </c>
      <c r="B530" s="16" t="n">
        <v>200738.49</v>
      </c>
      <c r="C530" s="17" t="inlineStr">
        <is>
          <t>COMERCIO RACOES BEM BOM LTDA</t>
        </is>
      </c>
      <c r="D530" s="18" t="inlineStr">
        <is>
          <t>NEW</t>
        </is>
      </c>
      <c r="E530" s="19" t="inlineStr"/>
      <c r="F530" s="18" t="inlineStr"/>
      <c r="G530" s="19" t="inlineStr"/>
      <c r="H530" s="18" t="inlineStr"/>
      <c r="I530" s="20" t="inlineStr">
        <is>
          <t>JOSE RODRIGUES DA COSTA NETO</t>
        </is>
      </c>
      <c r="J530" s="20" t="inlineStr">
        <is>
          <t>Presidente</t>
        </is>
      </c>
      <c r="K530" s="20" t="inlineStr">
        <is>
          <t>(62) 3240-9500</t>
        </is>
      </c>
      <c r="L530" s="20" t="inlineStr"/>
      <c r="M530" s="20" t="inlineStr"/>
      <c r="N530" s="20" t="inlineStr"/>
      <c r="O530" s="20" t="inlineStr"/>
      <c r="P530" s="20" t="inlineStr">
        <is>
          <t>JOSE CARLOS VIEIRA DA SILVA</t>
        </is>
      </c>
      <c r="Q530" s="20" t="inlineStr">
        <is>
          <t>Diretor</t>
        </is>
      </c>
      <c r="R530" s="20" t="inlineStr">
        <is>
          <t>(62) 3240-9500</t>
        </is>
      </c>
      <c r="S530" s="20" t="inlineStr"/>
      <c r="T530" s="21" t="n">
        <v>200738.49</v>
      </c>
      <c r="U530" s="32" t="inlineStr">
        <is>
          <t>A</t>
        </is>
      </c>
      <c r="V530" s="23">
        <f>IFERROR(VLOOKUP(U530,Assumptions!$A$7:$D$11,2,FALSE),0)</f>
        <v/>
      </c>
      <c r="W530" s="24">
        <f>MAX(0.5,IFERROR(VLOOKUP(U530,Assumptions!$A$7:$D$11,3,FALSE),3)+IFERROR(VLOOKUP(U530,Assumptions!$A$7:$D$11,4,FALSE),8)/2-IF(AN530="",0,YEAR(TODAY())-AN530))</f>
        <v/>
      </c>
      <c r="X530" s="21">
        <f>T530*V530/(1+Assumptions!$B$3)^W530</f>
        <v/>
      </c>
      <c r="Y530" s="25">
        <f>IF(T530=0,"",ROUND(X530/T530*100,1))</f>
        <v/>
      </c>
      <c r="Z530" s="26">
        <f>X530*Assumptions!$B$4</f>
        <v/>
      </c>
      <c r="AA530" s="25">
        <f>IF(T530=0,"",ROUND(Z530/T530*100,1))</f>
        <v/>
      </c>
      <c r="AB530" s="26">
        <f>X530-Z530</f>
        <v/>
      </c>
      <c r="AC530" s="25">
        <f>IF(T530=0,"",ROUND((X530-Z530)/T530*100,1))</f>
        <v/>
      </c>
      <c r="AD530" s="27" t="inlineStr">
        <is>
          <t>CONFIRMED</t>
        </is>
      </c>
      <c r="AE530" s="28" t="inlineStr">
        <is>
          <t>https://stenius.com.br/wp-content/uploads/2026/06/EDITAL-GRUPO-3E.pdf</t>
        </is>
      </c>
      <c r="AF530" s="27" t="inlineStr">
        <is>
          <t>p14 r69; p14 r70</t>
        </is>
      </c>
      <c r="AG530" s="27" t="inlineStr">
        <is>
          <t>p14: R$ 160.290,36; p14: R$ 40.448,13</t>
        </is>
      </c>
      <c r="AH530" s="27" t="inlineStr">
        <is>
          <t>DEBTOR_LIST</t>
        </is>
      </c>
      <c r="AI530" s="27" t="inlineStr">
        <is>
          <t>2026-06-22</t>
        </is>
      </c>
      <c r="AJ530" s="27" t="inlineStr">
        <is>
          <t>OK_NO_TOTALS</t>
        </is>
      </c>
      <c r="AK530" s="29" t="inlineStr">
        <is>
          <t>5341375-33.2026.8.09.0049</t>
        </is>
      </c>
      <c r="AL530" s="29" t="inlineStr">
        <is>
          <t>TJGO</t>
        </is>
      </c>
      <c r="AM530" s="29" t="inlineStr">
        <is>
          <t>ACTIVE</t>
        </is>
      </c>
      <c r="AN530" s="29" t="n">
        <v>2026</v>
      </c>
      <c r="AO530" s="29" t="inlineStr">
        <is>
          <t>plan/homologation document found</t>
        </is>
      </c>
      <c r="AP530" s="29" t="inlineStr">
        <is>
          <t>APARECIDA DE GOIANIA</t>
        </is>
      </c>
      <c r="AQ530" s="29" t="inlineStr">
        <is>
          <t>GO</t>
        </is>
      </c>
      <c r="AR530" s="29" t="inlineStr">
        <is>
          <t>Atividades de consultoria em gestão empresarial, exceto consultoria técnica específica</t>
        </is>
      </c>
      <c r="AS530" s="29" t="inlineStr">
        <is>
          <t>DEMAIS</t>
        </is>
      </c>
      <c r="AT530" s="29" t="inlineStr">
        <is>
          <t>LARGE CORP</t>
        </is>
      </c>
      <c r="AU530" s="29" t="inlineStr">
        <is>
          <t>06314327</t>
        </is>
      </c>
      <c r="AV530" s="29" t="n">
        <v>2</v>
      </c>
      <c r="AW530" s="29" t="inlineStr">
        <is>
          <t>ROWS:p14r69,p14r70 UNRECONCILED_SOURCE</t>
        </is>
      </c>
    </row>
    <row r="531">
      <c r="A531" s="15" t="inlineStr">
        <is>
          <t>GUINDASTES TRIANGULO LTDA</t>
        </is>
      </c>
      <c r="B531" s="16" t="n">
        <v>397947.39</v>
      </c>
      <c r="C531" s="17" t="inlineStr">
        <is>
          <t>EGESA ENGENHARIA S/A (Consórcio ETDI)</t>
        </is>
      </c>
      <c r="D531" s="18" t="inlineStr">
        <is>
          <t>NEW</t>
        </is>
      </c>
      <c r="E531" s="19" t="inlineStr"/>
      <c r="F531" s="18" t="inlineStr"/>
      <c r="G531" s="19" t="inlineStr"/>
      <c r="H531" s="18" t="inlineStr"/>
      <c r="I531" s="20" t="inlineStr">
        <is>
          <t>IDERVAL DE MORAIS FERRAZ</t>
        </is>
      </c>
      <c r="J531" s="20" t="inlineStr">
        <is>
          <t>Administrador</t>
        </is>
      </c>
      <c r="K531" s="20" t="inlineStr"/>
      <c r="L531" s="20" t="inlineStr"/>
      <c r="M531" s="20" t="inlineStr"/>
      <c r="N531" s="20" t="inlineStr"/>
      <c r="O531" s="20" t="inlineStr"/>
      <c r="P531" s="20" t="inlineStr">
        <is>
          <t>MARIA ANGELICA RIBEIRO PRUDENTE FERRAZ</t>
        </is>
      </c>
      <c r="Q531" s="20" t="inlineStr">
        <is>
          <t>Administrador</t>
        </is>
      </c>
      <c r="R531" s="20" t="inlineStr"/>
      <c r="S531" s="20" t="inlineStr"/>
      <c r="T531" s="21" t="n">
        <v>397947.39</v>
      </c>
      <c r="U531" s="30" t="inlineStr">
        <is>
          <t>?</t>
        </is>
      </c>
      <c r="V531" s="23">
        <f>IFERROR(VLOOKUP(U531,Assumptions!$A$7:$D$11,2,FALSE),0)</f>
        <v/>
      </c>
      <c r="W531" s="24">
        <f>MAX(0.5,IFERROR(VLOOKUP(U531,Assumptions!$A$7:$D$11,3,FALSE),3)+IFERROR(VLOOKUP(U531,Assumptions!$A$7:$D$11,4,FALSE),8)/2-IF(AN531="",0,YEAR(TODAY())-AN531))</f>
        <v/>
      </c>
      <c r="X531" s="21">
        <f>T531*V531/(1+Assumptions!$B$3)^W531</f>
        <v/>
      </c>
      <c r="Y531" s="25">
        <f>IF(T531=0,"",ROUND(X531/T531*100,1))</f>
        <v/>
      </c>
      <c r="Z531" s="26">
        <f>X531*Assumptions!$B$4</f>
        <v/>
      </c>
      <c r="AA531" s="25">
        <f>IF(T531=0,"",ROUND(Z531/T531*100,1))</f>
        <v/>
      </c>
      <c r="AB531" s="26">
        <f>X531-Z531</f>
        <v/>
      </c>
      <c r="AC531" s="25">
        <f>IF(T531=0,"",ROUND((X531-Z531)/T531*100,1))</f>
        <v/>
      </c>
      <c r="AD531" s="27" t="inlineStr">
        <is>
          <t>UNKNOWN</t>
        </is>
      </c>
      <c r="AE531" s="28" t="inlineStr">
        <is>
          <t>https://scalzilliaj.com.br/sgc/download.php?file=files/processo_documento/processo_documento09514021082025_1_.pdf&amp;nome=04 - Relação de credores das Recuperandas</t>
        </is>
      </c>
      <c r="AF531" s="27" t="inlineStr">
        <is>
          <t>p67 r14</t>
        </is>
      </c>
      <c r="AG531" s="27" t="inlineStr">
        <is>
          <t>p67: R$ 397.947,39</t>
        </is>
      </c>
      <c r="AH531" s="27" t="inlineStr">
        <is>
          <t>DEBTOR_LIST</t>
        </is>
      </c>
      <c r="AI531" s="27" t="inlineStr"/>
      <c r="AJ531" s="27" t="inlineStr">
        <is>
          <t>OK</t>
        </is>
      </c>
      <c r="AK531" s="29" t="inlineStr">
        <is>
          <t>(not printed)</t>
        </is>
      </c>
      <c r="AL531" s="29" t="inlineStr"/>
      <c r="AM531" s="29" t="inlineStr"/>
      <c r="AN531" s="29" t="inlineStr"/>
      <c r="AO531" s="29" t="inlineStr">
        <is>
          <t>RJ case number not identified on the document</t>
        </is>
      </c>
      <c r="AP531" s="29" t="inlineStr">
        <is>
          <t>UBERLANDIA</t>
        </is>
      </c>
      <c r="AQ531" s="29" t="inlineStr">
        <is>
          <t>MG</t>
        </is>
      </c>
      <c r="AR531" s="29" t="inlineStr">
        <is>
          <t>Aluguel de outras máquinas e equipamentos comerciais e industriais não especificados anteriormente, sem operador</t>
        </is>
      </c>
      <c r="AS531" s="29" t="inlineStr">
        <is>
          <t>DEMAIS</t>
        </is>
      </c>
      <c r="AT531" s="29" t="inlineStr">
        <is>
          <t>MID-MARKET</t>
        </is>
      </c>
      <c r="AU531" s="29" t="inlineStr">
        <is>
          <t>41687757</t>
        </is>
      </c>
      <c r="AV531" s="29" t="n">
        <v>1</v>
      </c>
      <c r="AW531" s="29" t="inlineStr">
        <is>
          <t>ROWS:p67r14 VALUE_COL:Valor_Atualizado CASE_NUMBER_CORRECTED</t>
        </is>
      </c>
    </row>
    <row r="532">
      <c r="A532" s="15" t="inlineStr">
        <is>
          <t>SOAGRO - SOCIEDADE AGRO-PECUARIA LTDA</t>
        </is>
      </c>
      <c r="B532" s="16" t="n">
        <v>264931.98</v>
      </c>
      <c r="C532" s="17" t="inlineStr"/>
      <c r="D532" s="18" t="inlineStr">
        <is>
          <t>NEW</t>
        </is>
      </c>
      <c r="E532" s="19" t="inlineStr"/>
      <c r="F532" s="18" t="inlineStr"/>
      <c r="G532" s="19" t="inlineStr"/>
      <c r="H532" s="18" t="inlineStr"/>
      <c r="I532" s="20" t="inlineStr">
        <is>
          <t>CARLOS DIVINO DE OLIVEIRA</t>
        </is>
      </c>
      <c r="J532" s="20" t="inlineStr">
        <is>
          <t>Sócio-Administrador</t>
        </is>
      </c>
      <c r="K532" s="20" t="inlineStr">
        <is>
          <t>(64) 2101-4000</t>
        </is>
      </c>
      <c r="L532" s="20" t="inlineStr"/>
      <c r="M532" s="20" t="inlineStr"/>
      <c r="N532" s="20" t="inlineStr"/>
      <c r="O532" s="20" t="inlineStr"/>
      <c r="P532" s="20" t="inlineStr"/>
      <c r="Q532" s="20" t="inlineStr"/>
      <c r="R532" s="20" t="inlineStr"/>
      <c r="S532" s="20" t="inlineStr"/>
      <c r="T532" s="21" t="n">
        <v>264931.98</v>
      </c>
      <c r="U532" s="22" t="inlineStr">
        <is>
          <t>B</t>
        </is>
      </c>
      <c r="V532" s="23">
        <f>IFERROR(VLOOKUP(U532,Assumptions!$A$7:$D$11,2,FALSE),0)</f>
        <v/>
      </c>
      <c r="W532" s="24">
        <f>MAX(0.5,IFERROR(VLOOKUP(U532,Assumptions!$A$7:$D$11,3,FALSE),3)+IFERROR(VLOOKUP(U532,Assumptions!$A$7:$D$11,4,FALSE),8)/2-IF(AN532="",0,YEAR(TODAY())-AN532))</f>
        <v/>
      </c>
      <c r="X532" s="21">
        <f>T532*V532/(1+Assumptions!$B$3)^W532</f>
        <v/>
      </c>
      <c r="Y532" s="25">
        <f>IF(T532=0,"",ROUND(X532/T532*100,1))</f>
        <v/>
      </c>
      <c r="Z532" s="26">
        <f>X532*Assumptions!$B$4</f>
        <v/>
      </c>
      <c r="AA532" s="25">
        <f>IF(T532=0,"",ROUND(Z532/T532*100,1))</f>
        <v/>
      </c>
      <c r="AB532" s="26">
        <f>X532-Z532</f>
        <v/>
      </c>
      <c r="AC532" s="25">
        <f>IF(T532=0,"",ROUND((X532-Z532)/T532*100,1))</f>
        <v/>
      </c>
      <c r="AD532" s="27" t="inlineStr">
        <is>
          <t>ESTIMATED</t>
        </is>
      </c>
      <c r="AE532" s="28" t="inlineStr">
        <is>
          <t>https://scalzilliaj.com.br/sgc/download.php?file=files/processo_documento/processo_documento11421222052026_1_.pdf&amp;nome=08. Lista de credores do edital do art. 52, §1º da LREF</t>
        </is>
      </c>
      <c r="AF532" s="27" t="inlineStr">
        <is>
          <t>p2 r4</t>
        </is>
      </c>
      <c r="AG532" s="27" t="inlineStr">
        <is>
          <t>p2: R$ 264.931,98</t>
        </is>
      </c>
      <c r="AH532" s="27" t="inlineStr">
        <is>
          <t>UNKNOWN</t>
        </is>
      </c>
      <c r="AI532" s="27" t="inlineStr"/>
      <c r="AJ532" s="27" t="inlineStr">
        <is>
          <t>OK_NO_TOTALS</t>
        </is>
      </c>
      <c r="AK532" s="29" t="inlineStr">
        <is>
          <t>5011369-81.2026.8.09.0093</t>
        </is>
      </c>
      <c r="AL532" s="29" t="inlineStr">
        <is>
          <t>TJGO</t>
        </is>
      </c>
      <c r="AM532" s="29" t="inlineStr">
        <is>
          <t>ACTIVE</t>
        </is>
      </c>
      <c r="AN532" s="29" t="n">
        <v>2026</v>
      </c>
      <c r="AO532" s="29" t="inlineStr">
        <is>
          <t>live case, no plan document yet</t>
        </is>
      </c>
      <c r="AP532" s="29" t="inlineStr">
        <is>
          <t>RIO VERDE</t>
        </is>
      </c>
      <c r="AQ532" s="29" t="inlineStr">
        <is>
          <t>GO</t>
        </is>
      </c>
      <c r="AR532" s="29" t="inlineStr">
        <is>
          <t>Comércio atacadista de defensivos agrícolas, adubos, fertilizantes e corretivos do solo</t>
        </is>
      </c>
      <c r="AS532" s="29" t="inlineStr">
        <is>
          <t>DEMAIS</t>
        </is>
      </c>
      <c r="AT532" s="29" t="inlineStr">
        <is>
          <t>MID-MARKET</t>
        </is>
      </c>
      <c r="AU532" s="29" t="inlineStr">
        <is>
          <t>02676351</t>
        </is>
      </c>
      <c r="AV532" s="29" t="n">
        <v>1</v>
      </c>
      <c r="AW532" s="29" t="inlineStr">
        <is>
          <t>ROWS:p2r4 UNRECONCILED_SOURCE</t>
        </is>
      </c>
    </row>
    <row r="533">
      <c r="A533" s="15" t="inlineStr">
        <is>
          <t>ARAPLAC INDUSTRIA E COMERCIO DE MOVEIS LTDA</t>
        </is>
      </c>
      <c r="B533" s="16" t="n">
        <v>216381.53</v>
      </c>
      <c r="C533" s="17" t="inlineStr">
        <is>
          <t>aludida empresa</t>
        </is>
      </c>
      <c r="D533" s="18" t="inlineStr">
        <is>
          <t>NEW</t>
        </is>
      </c>
      <c r="E533" s="19" t="inlineStr"/>
      <c r="F533" s="18" t="inlineStr"/>
      <c r="G533" s="19" t="inlineStr"/>
      <c r="H533" s="18" t="inlineStr"/>
      <c r="I533" s="20" t="inlineStr">
        <is>
          <t>MARCUS VINICIUS BOTTIGELLI LAZARO</t>
        </is>
      </c>
      <c r="J533" s="20" t="inlineStr">
        <is>
          <t>Administrador</t>
        </is>
      </c>
      <c r="K533" s="20" t="inlineStr">
        <is>
          <t>(43) 3172-2355</t>
        </is>
      </c>
      <c r="L533" s="20" t="inlineStr"/>
      <c r="M533" s="20" t="inlineStr"/>
      <c r="N533" s="20" t="inlineStr"/>
      <c r="O533" s="20" t="inlineStr"/>
      <c r="P533" s="20" t="inlineStr">
        <is>
          <t>RENATO DE CASTRO LAZARO</t>
        </is>
      </c>
      <c r="Q533" s="20" t="inlineStr">
        <is>
          <t>Administrador</t>
        </is>
      </c>
      <c r="R533" s="20" t="inlineStr">
        <is>
          <t>(43) 3172-2355</t>
        </is>
      </c>
      <c r="S533" s="20" t="inlineStr"/>
      <c r="T533" s="21" t="n">
        <v>216381.53</v>
      </c>
      <c r="U533" s="31" t="inlineStr">
        <is>
          <t>C</t>
        </is>
      </c>
      <c r="V533" s="23">
        <f>IFERROR(VLOOKUP(U533,Assumptions!$A$7:$D$11,2,FALSE),0)</f>
        <v/>
      </c>
      <c r="W533" s="24">
        <f>MAX(0.5,IFERROR(VLOOKUP(U533,Assumptions!$A$7:$D$11,3,FALSE),3)+IFERROR(VLOOKUP(U533,Assumptions!$A$7:$D$11,4,FALSE),8)/2-IF(AN533="",0,YEAR(TODAY())-AN533))</f>
        <v/>
      </c>
      <c r="X533" s="21">
        <f>T533*V533/(1+Assumptions!$B$3)^W533</f>
        <v/>
      </c>
      <c r="Y533" s="25">
        <f>IF(T533=0,"",ROUND(X533/T533*100,1))</f>
        <v/>
      </c>
      <c r="Z533" s="26">
        <f>X533*Assumptions!$B$4</f>
        <v/>
      </c>
      <c r="AA533" s="25">
        <f>IF(T533=0,"",ROUND(Z533/T533*100,1))</f>
        <v/>
      </c>
      <c r="AB533" s="26">
        <f>X533-Z533</f>
        <v/>
      </c>
      <c r="AC533" s="25">
        <f>IF(T533=0,"",ROUND((X533-Z533)/T533*100,1))</f>
        <v/>
      </c>
      <c r="AD533" s="27" t="inlineStr">
        <is>
          <t>ESTIMATED</t>
        </is>
      </c>
      <c r="AE533" s="28" t="inlineStr">
        <is>
          <t>https://recuperacaojudicial.squarespace.com/s/RJ-Credimoveis-QGC-01082025.pdf</t>
        </is>
      </c>
      <c r="AF533" s="27" t="inlineStr">
        <is>
          <t>p15 r8</t>
        </is>
      </c>
      <c r="AG533" s="27" t="inlineStr">
        <is>
          <t>p15: R$ 216.381,53</t>
        </is>
      </c>
      <c r="AH533" s="27" t="inlineStr">
        <is>
          <t>QGC</t>
        </is>
      </c>
      <c r="AI533" s="27" t="inlineStr">
        <is>
          <t>2026-01-28</t>
        </is>
      </c>
      <c r="AJ533" s="27" t="inlineStr">
        <is>
          <t>OK</t>
        </is>
      </c>
      <c r="AK533" s="29" t="inlineStr">
        <is>
          <t>0007565-40.2020.8.17.2370</t>
        </is>
      </c>
      <c r="AL533" s="29" t="inlineStr">
        <is>
          <t>TJPE</t>
        </is>
      </c>
      <c r="AM533" s="29" t="inlineStr">
        <is>
          <t>ACTIVE</t>
        </is>
      </c>
      <c r="AN533" s="29" t="n">
        <v>2020</v>
      </c>
      <c r="AO533" s="29" t="inlineStr">
        <is>
          <t>6y since filing, no plan document</t>
        </is>
      </c>
      <c r="AP533" s="29" t="inlineStr">
        <is>
          <t>ARAPONGAS</t>
        </is>
      </c>
      <c r="AQ533" s="29" t="inlineStr">
        <is>
          <t>PR</t>
        </is>
      </c>
      <c r="AR533" s="29" t="inlineStr">
        <is>
          <t>Fabricação de móveis com predominância de madeira</t>
        </is>
      </c>
      <c r="AS533" s="29" t="inlineStr">
        <is>
          <t>DEMAIS</t>
        </is>
      </c>
      <c r="AT533" s="29" t="inlineStr">
        <is>
          <t>MID-MARKET</t>
        </is>
      </c>
      <c r="AU533" s="29" t="inlineStr">
        <is>
          <t>77215606</t>
        </is>
      </c>
      <c r="AV533" s="29" t="n">
        <v>1</v>
      </c>
      <c r="AW533" s="29" t="inlineStr">
        <is>
          <t>ROWS:p15r8</t>
        </is>
      </c>
    </row>
    <row r="534">
      <c r="A534" s="15" t="inlineStr">
        <is>
          <t>COMPANHIA VALENCA INDUSTRIAL</t>
        </is>
      </c>
      <c r="B534" s="16" t="n">
        <v>209967.04</v>
      </c>
      <c r="C534" s="17" t="inlineStr">
        <is>
          <t>GRUPO TSI BRASIL LTDA</t>
        </is>
      </c>
      <c r="D534" s="18" t="inlineStr">
        <is>
          <t>NEW</t>
        </is>
      </c>
      <c r="E534" s="19" t="inlineStr"/>
      <c r="F534" s="18" t="inlineStr"/>
      <c r="G534" s="19" t="inlineStr"/>
      <c r="H534" s="18" t="inlineStr"/>
      <c r="I534" s="20" t="inlineStr">
        <is>
          <t>JAIRO ALENCAR ARARIPE JUNIOR</t>
        </is>
      </c>
      <c r="J534" s="20" t="inlineStr">
        <is>
          <t>Diretor</t>
        </is>
      </c>
      <c r="K534" s="20" t="inlineStr">
        <is>
          <t>(75) 3643-3188</t>
        </is>
      </c>
      <c r="L534" s="20" t="inlineStr">
        <is>
          <t>(75) 3643-3189</t>
        </is>
      </c>
      <c r="M534" s="20" t="inlineStr"/>
      <c r="N534" s="20" t="inlineStr"/>
      <c r="O534" s="20" t="inlineStr"/>
      <c r="P534" s="20" t="inlineStr">
        <is>
          <t>MARIO ARAUJO ALENCAR ARARIPE</t>
        </is>
      </c>
      <c r="Q534" s="20" t="inlineStr">
        <is>
          <t>Diretor</t>
        </is>
      </c>
      <c r="R534" s="20" t="inlineStr">
        <is>
          <t>(75) 3643-3189</t>
        </is>
      </c>
      <c r="S534" s="20" t="inlineStr"/>
      <c r="T534" s="21" t="n">
        <v>209967.04</v>
      </c>
      <c r="U534" s="22" t="inlineStr">
        <is>
          <t>B</t>
        </is>
      </c>
      <c r="V534" s="23">
        <f>IFERROR(VLOOKUP(U534,Assumptions!$A$7:$D$11,2,FALSE),0)</f>
        <v/>
      </c>
      <c r="W534" s="24">
        <f>MAX(0.5,IFERROR(VLOOKUP(U534,Assumptions!$A$7:$D$11,3,FALSE),3)+IFERROR(VLOOKUP(U534,Assumptions!$A$7:$D$11,4,FALSE),8)/2-IF(AN534="",0,YEAR(TODAY())-AN534))</f>
        <v/>
      </c>
      <c r="X534" s="21">
        <f>T534*V534/(1+Assumptions!$B$3)^W534</f>
        <v/>
      </c>
      <c r="Y534" s="25">
        <f>IF(T534=0,"",ROUND(X534/T534*100,1))</f>
        <v/>
      </c>
      <c r="Z534" s="26">
        <f>X534*Assumptions!$B$4</f>
        <v/>
      </c>
      <c r="AA534" s="25">
        <f>IF(T534=0,"",ROUND(Z534/T534*100,1))</f>
        <v/>
      </c>
      <c r="AB534" s="26">
        <f>X534-Z534</f>
        <v/>
      </c>
      <c r="AC534" s="25">
        <f>IF(T534=0,"",ROUND((X534-Z534)/T534*100,1))</f>
        <v/>
      </c>
      <c r="AD534" s="27" t="inlineStr">
        <is>
          <t>ESTIMATED</t>
        </is>
      </c>
      <c r="AE534" s="28" t="inlineStr">
        <is>
          <t>https://marquesadmjudicial.com.br/sgc/download.php?file=files/processo_documento/processo_documento09444722082025_1_.pdf&amp;nome=2° Edital - Relação de Credores AJ e PRJ</t>
        </is>
      </c>
      <c r="AF534" s="27" t="inlineStr">
        <is>
          <t>p2 r154</t>
        </is>
      </c>
      <c r="AG534" s="27" t="inlineStr">
        <is>
          <t>p2: R$ 209.967,04</t>
        </is>
      </c>
      <c r="AH534" s="27" t="inlineStr">
        <is>
          <t>AJ_LIST</t>
        </is>
      </c>
      <c r="AI534" s="27" t="inlineStr">
        <is>
          <t>2025-04-08</t>
        </is>
      </c>
      <c r="AJ534" s="27" t="inlineStr">
        <is>
          <t>OK_NO_TOTALS</t>
        </is>
      </c>
      <c r="AK534" s="29" t="inlineStr">
        <is>
          <t>0008897-71.2025.8.16.0017</t>
        </is>
      </c>
      <c r="AL534" s="29" t="inlineStr">
        <is>
          <t>TJPR</t>
        </is>
      </c>
      <c r="AM534" s="29" t="inlineStr">
        <is>
          <t>ACTIVE</t>
        </is>
      </c>
      <c r="AN534" s="29" t="n">
        <v>2025</v>
      </c>
      <c r="AO534" s="29" t="inlineStr">
        <is>
          <t>live case, no plan document yet</t>
        </is>
      </c>
      <c r="AP534" s="29" t="inlineStr">
        <is>
          <t>VALENCA</t>
        </is>
      </c>
      <c r="AQ534" s="29" t="inlineStr">
        <is>
          <t>BA</t>
        </is>
      </c>
      <c r="AR534" s="29" t="inlineStr">
        <is>
          <t>Tecelagem de fios de algodão</t>
        </is>
      </c>
      <c r="AS534" s="29" t="inlineStr">
        <is>
          <t>DEMAIS</t>
        </is>
      </c>
      <c r="AT534" s="29" t="inlineStr">
        <is>
          <t>MID-MARKET</t>
        </is>
      </c>
      <c r="AU534" s="29" t="inlineStr">
        <is>
          <t>15102098</t>
        </is>
      </c>
      <c r="AV534" s="29" t="n">
        <v>1</v>
      </c>
      <c r="AW534" s="29" t="inlineStr">
        <is>
          <t>ROWS:p2r154 UNRECONCILED_SOURCE</t>
        </is>
      </c>
    </row>
    <row r="535">
      <c r="A535" s="15" t="inlineStr">
        <is>
          <t>REISTAR INDUSTRIA E COMERCIO DE ELETRONICOS LTDA EM RECUPERACAO JUDICIAL</t>
        </is>
      </c>
      <c r="B535" s="16" t="n">
        <v>210200.14</v>
      </c>
      <c r="C535" s="17" t="inlineStr">
        <is>
          <t>aludida empresa</t>
        </is>
      </c>
      <c r="D535" s="18" t="inlineStr">
        <is>
          <t>NEW</t>
        </is>
      </c>
      <c r="E535" s="19" t="inlineStr"/>
      <c r="F535" s="18" t="inlineStr"/>
      <c r="G535" s="19" t="inlineStr"/>
      <c r="H535" s="18" t="inlineStr"/>
      <c r="I535" s="20" t="inlineStr">
        <is>
          <t>GUILHERME DE BESSA RIBEIRO SANTOS</t>
        </is>
      </c>
      <c r="J535" s="20" t="inlineStr">
        <is>
          <t>Sócio-Administrador</t>
        </is>
      </c>
      <c r="K535" s="20" t="inlineStr">
        <is>
          <t>(71) 9249-0015</t>
        </is>
      </c>
      <c r="L535" s="20" t="inlineStr"/>
      <c r="M535" s="20" t="inlineStr"/>
      <c r="N535" s="20" t="inlineStr"/>
      <c r="O535" s="20" t="inlineStr"/>
      <c r="P535" s="20" t="inlineStr">
        <is>
          <t>VALDIR SCORIZA LOPES</t>
        </is>
      </c>
      <c r="Q535" s="20" t="inlineStr">
        <is>
          <t>Sócio-Administrador</t>
        </is>
      </c>
      <c r="R535" s="20" t="inlineStr">
        <is>
          <t>(71) 9249-0015</t>
        </is>
      </c>
      <c r="S535" s="20" t="inlineStr"/>
      <c r="T535" s="21" t="n">
        <v>210200.14</v>
      </c>
      <c r="U535" s="31" t="inlineStr">
        <is>
          <t>C</t>
        </is>
      </c>
      <c r="V535" s="23">
        <f>IFERROR(VLOOKUP(U535,Assumptions!$A$7:$D$11,2,FALSE),0)</f>
        <v/>
      </c>
      <c r="W535" s="24">
        <f>MAX(0.5,IFERROR(VLOOKUP(U535,Assumptions!$A$7:$D$11,3,FALSE),3)+IFERROR(VLOOKUP(U535,Assumptions!$A$7:$D$11,4,FALSE),8)/2-IF(AN535="",0,YEAR(TODAY())-AN535))</f>
        <v/>
      </c>
      <c r="X535" s="21">
        <f>T535*V535/(1+Assumptions!$B$3)^W535</f>
        <v/>
      </c>
      <c r="Y535" s="25">
        <f>IF(T535=0,"",ROUND(X535/T535*100,1))</f>
        <v/>
      </c>
      <c r="Z535" s="26">
        <f>X535*Assumptions!$B$4</f>
        <v/>
      </c>
      <c r="AA535" s="25">
        <f>IF(T535=0,"",ROUND(Z535/T535*100,1))</f>
        <v/>
      </c>
      <c r="AB535" s="26">
        <f>X535-Z535</f>
        <v/>
      </c>
      <c r="AC535" s="25">
        <f>IF(T535=0,"",ROUND((X535-Z535)/T535*100,1))</f>
        <v/>
      </c>
      <c r="AD535" s="27" t="inlineStr">
        <is>
          <t>ESTIMATED</t>
        </is>
      </c>
      <c r="AE535" s="28" t="inlineStr">
        <is>
          <t>https://recuperacaojudicial.squarespace.com/s/RJ-Credimoveis-QGC-01082025.pdf</t>
        </is>
      </c>
      <c r="AF535" s="27" t="inlineStr">
        <is>
          <t>p16 r51</t>
        </is>
      </c>
      <c r="AG535" s="27" t="inlineStr">
        <is>
          <t>p16: R$ 210.200,14</t>
        </is>
      </c>
      <c r="AH535" s="27" t="inlineStr">
        <is>
          <t>QGC</t>
        </is>
      </c>
      <c r="AI535" s="27" t="inlineStr">
        <is>
          <t>2026-01-28</t>
        </is>
      </c>
      <c r="AJ535" s="27" t="inlineStr">
        <is>
          <t>OK</t>
        </is>
      </c>
      <c r="AK535" s="29" t="inlineStr">
        <is>
          <t>0007565-40.2020.8.17.2370</t>
        </is>
      </c>
      <c r="AL535" s="29" t="inlineStr">
        <is>
          <t>TJPE</t>
        </is>
      </c>
      <c r="AM535" s="29" t="inlineStr">
        <is>
          <t>ACTIVE</t>
        </is>
      </c>
      <c r="AN535" s="29" t="n">
        <v>2020</v>
      </c>
      <c r="AO535" s="29" t="inlineStr">
        <is>
          <t>6y since filing, no plan document</t>
        </is>
      </c>
      <c r="AP535" s="29" t="inlineStr">
        <is>
          <t>CAMACARI</t>
        </is>
      </c>
      <c r="AQ535" s="29" t="inlineStr">
        <is>
          <t>BA</t>
        </is>
      </c>
      <c r="AR535" s="29" t="inlineStr">
        <is>
          <t>Fabricação de aparelhos de recepção, reprodução, gravação e amplificação de áudio e vídeo</t>
        </is>
      </c>
      <c r="AS535" s="29" t="inlineStr">
        <is>
          <t>DEMAIS</t>
        </is>
      </c>
      <c r="AT535" s="29" t="inlineStr">
        <is>
          <t>LARGE CORP</t>
        </is>
      </c>
      <c r="AU535" s="29" t="inlineStr">
        <is>
          <t>05949989</t>
        </is>
      </c>
      <c r="AV535" s="29" t="n">
        <v>1</v>
      </c>
      <c r="AW535" s="29" t="inlineStr">
        <is>
          <t>ROWS:p16r51</t>
        </is>
      </c>
    </row>
    <row r="536">
      <c r="A536" s="15" t="inlineStr">
        <is>
          <t>CC TELHAS LTDA</t>
        </is>
      </c>
      <c r="B536" s="16" t="n">
        <v>384596.09</v>
      </c>
      <c r="C536" s="17" t="inlineStr">
        <is>
          <t>EGESA ENGENHARIA S/A (Consórcio ETDI)</t>
        </is>
      </c>
      <c r="D536" s="18" t="inlineStr">
        <is>
          <t>NEW</t>
        </is>
      </c>
      <c r="E536" s="19" t="inlineStr"/>
      <c r="F536" s="18" t="inlineStr"/>
      <c r="G536" s="19" t="inlineStr"/>
      <c r="H536" s="18" t="inlineStr"/>
      <c r="I536" s="20" t="inlineStr">
        <is>
          <t>DARBISON SANTOS CAMPOS</t>
        </is>
      </c>
      <c r="J536" s="20" t="inlineStr">
        <is>
          <t>Sócio-Administrador</t>
        </is>
      </c>
      <c r="K536" s="20" t="inlineStr">
        <is>
          <t>(81) 3551-2989</t>
        </is>
      </c>
      <c r="L536" s="20" t="inlineStr"/>
      <c r="M536" s="20" t="inlineStr"/>
      <c r="N536" s="20" t="inlineStr"/>
      <c r="O536" s="20" t="inlineStr"/>
      <c r="P536" s="20" t="inlineStr"/>
      <c r="Q536" s="20" t="inlineStr"/>
      <c r="R536" s="20" t="inlineStr"/>
      <c r="S536" s="20" t="inlineStr"/>
      <c r="T536" s="21" t="n">
        <v>384596.09</v>
      </c>
      <c r="U536" s="30" t="inlineStr">
        <is>
          <t>?</t>
        </is>
      </c>
      <c r="V536" s="23">
        <f>IFERROR(VLOOKUP(U536,Assumptions!$A$7:$D$11,2,FALSE),0)</f>
        <v/>
      </c>
      <c r="W536" s="24">
        <f>MAX(0.5,IFERROR(VLOOKUP(U536,Assumptions!$A$7:$D$11,3,FALSE),3)+IFERROR(VLOOKUP(U536,Assumptions!$A$7:$D$11,4,FALSE),8)/2-IF(AN536="",0,YEAR(TODAY())-AN536))</f>
        <v/>
      </c>
      <c r="X536" s="21">
        <f>T536*V536/(1+Assumptions!$B$3)^W536</f>
        <v/>
      </c>
      <c r="Y536" s="25">
        <f>IF(T536=0,"",ROUND(X536/T536*100,1))</f>
        <v/>
      </c>
      <c r="Z536" s="26">
        <f>X536*Assumptions!$B$4</f>
        <v/>
      </c>
      <c r="AA536" s="25">
        <f>IF(T536=0,"",ROUND(Z536/T536*100,1))</f>
        <v/>
      </c>
      <c r="AB536" s="26">
        <f>X536-Z536</f>
        <v/>
      </c>
      <c r="AC536" s="25">
        <f>IF(T536=0,"",ROUND((X536-Z536)/T536*100,1))</f>
        <v/>
      </c>
      <c r="AD536" s="27" t="inlineStr">
        <is>
          <t>UNKNOWN</t>
        </is>
      </c>
      <c r="AE536" s="28" t="inlineStr">
        <is>
          <t>https://scalzilliaj.com.br/sgc/download.php?file=files/processo_documento/processo_documento09514021082025_1_.pdf&amp;nome=04 - Relação de credores das Recuperandas</t>
        </is>
      </c>
      <c r="AF536" s="27" t="inlineStr">
        <is>
          <t>p63 r16</t>
        </is>
      </c>
      <c r="AG536" s="27" t="inlineStr">
        <is>
          <t>p63: R$ 384.596,09</t>
        </is>
      </c>
      <c r="AH536" s="27" t="inlineStr">
        <is>
          <t>DEBTOR_LIST</t>
        </is>
      </c>
      <c r="AI536" s="27" t="inlineStr"/>
      <c r="AJ536" s="27" t="inlineStr">
        <is>
          <t>OK</t>
        </is>
      </c>
      <c r="AK536" s="29" t="inlineStr">
        <is>
          <t>(not printed)</t>
        </is>
      </c>
      <c r="AL536" s="29" t="inlineStr"/>
      <c r="AM536" s="29" t="inlineStr"/>
      <c r="AN536" s="29" t="inlineStr"/>
      <c r="AO536" s="29" t="inlineStr">
        <is>
          <t>RJ case number not identified on the document</t>
        </is>
      </c>
      <c r="AP536" s="29" t="inlineStr">
        <is>
          <t>IPOJUCA</t>
        </is>
      </c>
      <c r="AQ536" s="29" t="inlineStr">
        <is>
          <t>PE</t>
        </is>
      </c>
      <c r="AR536" s="29" t="inlineStr">
        <is>
          <t>Comércio varejista de materiais de construção em geral</t>
        </is>
      </c>
      <c r="AS536" s="29" t="inlineStr">
        <is>
          <t>EMPRESA DE PEQUENO PORTE</t>
        </is>
      </c>
      <c r="AT536" s="29" t="inlineStr">
        <is>
          <t>SMALL</t>
        </is>
      </c>
      <c r="AU536" s="29" t="inlineStr">
        <is>
          <t>13217111</t>
        </is>
      </c>
      <c r="AV536" s="29" t="n">
        <v>1</v>
      </c>
      <c r="AW536" s="29" t="inlineStr">
        <is>
          <t>ROWS:p63r16 VALUE_COL:Valor_Atualizado CASE_NUMBER_CORRECTED</t>
        </is>
      </c>
    </row>
    <row r="537">
      <c r="A537" s="15" t="inlineStr">
        <is>
          <t>L. J. MOVEIS LTDA</t>
        </is>
      </c>
      <c r="B537" s="16" t="n">
        <v>209470.24</v>
      </c>
      <c r="C537" s="17" t="inlineStr">
        <is>
          <t>aludida empresa</t>
        </is>
      </c>
      <c r="D537" s="18" t="inlineStr">
        <is>
          <t>NEW</t>
        </is>
      </c>
      <c r="E537" s="19" t="inlineStr"/>
      <c r="F537" s="18" t="inlineStr"/>
      <c r="G537" s="19" t="inlineStr"/>
      <c r="H537" s="18" t="inlineStr"/>
      <c r="I537" s="20" t="inlineStr">
        <is>
          <t>MARIA HELENA DO CARMO LIMA</t>
        </is>
      </c>
      <c r="J537" s="20" t="inlineStr">
        <is>
          <t>Sócio-Administrador</t>
        </is>
      </c>
      <c r="K537" s="20" t="inlineStr">
        <is>
          <t>(32) 3406-0153</t>
        </is>
      </c>
      <c r="L537" s="20" t="inlineStr">
        <is>
          <t>(32) 3406-0154</t>
        </is>
      </c>
      <c r="M537" s="20" t="inlineStr"/>
      <c r="N537" s="20" t="inlineStr"/>
      <c r="O537" s="20" t="inlineStr"/>
      <c r="P537" s="20" t="inlineStr"/>
      <c r="Q537" s="20" t="inlineStr"/>
      <c r="R537" s="20" t="inlineStr"/>
      <c r="S537" s="20" t="inlineStr"/>
      <c r="T537" s="21" t="n">
        <v>209470.24</v>
      </c>
      <c r="U537" s="31" t="inlineStr">
        <is>
          <t>C</t>
        </is>
      </c>
      <c r="V537" s="23">
        <f>IFERROR(VLOOKUP(U537,Assumptions!$A$7:$D$11,2,FALSE),0)</f>
        <v/>
      </c>
      <c r="W537" s="24">
        <f>MAX(0.5,IFERROR(VLOOKUP(U537,Assumptions!$A$7:$D$11,3,FALSE),3)+IFERROR(VLOOKUP(U537,Assumptions!$A$7:$D$11,4,FALSE),8)/2-IF(AN537="",0,YEAR(TODAY())-AN537))</f>
        <v/>
      </c>
      <c r="X537" s="21">
        <f>T537*V537/(1+Assumptions!$B$3)^W537</f>
        <v/>
      </c>
      <c r="Y537" s="25">
        <f>IF(T537=0,"",ROUND(X537/T537*100,1))</f>
        <v/>
      </c>
      <c r="Z537" s="26">
        <f>X537*Assumptions!$B$4</f>
        <v/>
      </c>
      <c r="AA537" s="25">
        <f>IF(T537=0,"",ROUND(Z537/T537*100,1))</f>
        <v/>
      </c>
      <c r="AB537" s="26">
        <f>X537-Z537</f>
        <v/>
      </c>
      <c r="AC537" s="25">
        <f>IF(T537=0,"",ROUND((X537-Z537)/T537*100,1))</f>
        <v/>
      </c>
      <c r="AD537" s="27" t="inlineStr">
        <is>
          <t>ESTIMATED</t>
        </is>
      </c>
      <c r="AE537" s="28" t="inlineStr">
        <is>
          <t>https://recuperacaojudicial.squarespace.com/s/RJ-Credimoveis-QGC-01082025.pdf</t>
        </is>
      </c>
      <c r="AF537" s="27" t="inlineStr">
        <is>
          <t>p16 r6</t>
        </is>
      </c>
      <c r="AG537" s="27" t="inlineStr">
        <is>
          <t>p16: R$ 209.470,24</t>
        </is>
      </c>
      <c r="AH537" s="27" t="inlineStr">
        <is>
          <t>QGC</t>
        </is>
      </c>
      <c r="AI537" s="27" t="inlineStr">
        <is>
          <t>2026-01-28</t>
        </is>
      </c>
      <c r="AJ537" s="27" t="inlineStr">
        <is>
          <t>OK</t>
        </is>
      </c>
      <c r="AK537" s="29" t="inlineStr">
        <is>
          <t>0007565-40.2020.8.17.2370</t>
        </is>
      </c>
      <c r="AL537" s="29" t="inlineStr">
        <is>
          <t>TJPE</t>
        </is>
      </c>
      <c r="AM537" s="29" t="inlineStr">
        <is>
          <t>ACTIVE</t>
        </is>
      </c>
      <c r="AN537" s="29" t="n">
        <v>2020</v>
      </c>
      <c r="AO537" s="29" t="inlineStr">
        <is>
          <t>6y since filing, no plan document</t>
        </is>
      </c>
      <c r="AP537" s="29" t="inlineStr">
        <is>
          <t>SAO GERALDO</t>
        </is>
      </c>
      <c r="AQ537" s="29" t="inlineStr">
        <is>
          <t>MG</t>
        </is>
      </c>
      <c r="AR537" s="29" t="inlineStr">
        <is>
          <t>Fabricação de móveis com predominância de madeira</t>
        </is>
      </c>
      <c r="AS537" s="29" t="inlineStr">
        <is>
          <t>DEMAIS</t>
        </is>
      </c>
      <c r="AT537" s="29" t="inlineStr">
        <is>
          <t>MID-MARKET</t>
        </is>
      </c>
      <c r="AU537" s="29" t="inlineStr">
        <is>
          <t>01792254</t>
        </is>
      </c>
      <c r="AV537" s="29" t="n">
        <v>1</v>
      </c>
      <c r="AW537" s="29" t="inlineStr">
        <is>
          <t>ROWS:p16r6</t>
        </is>
      </c>
    </row>
    <row r="538">
      <c r="A538" s="15" t="inlineStr">
        <is>
          <t>ACOPLATION ANDAIMES LTDA EM RECUPERACAO JUDICIAL</t>
        </is>
      </c>
      <c r="B538" s="16" t="n">
        <v>379730.78</v>
      </c>
      <c r="C538" s="17" t="inlineStr">
        <is>
          <t>EGESA ENGENHARIA S/A (Consórcio ETDI)</t>
        </is>
      </c>
      <c r="D538" s="18" t="inlineStr">
        <is>
          <t>NEW</t>
        </is>
      </c>
      <c r="E538" s="19" t="inlineStr"/>
      <c r="F538" s="18" t="inlineStr"/>
      <c r="G538" s="19" t="inlineStr"/>
      <c r="H538" s="18" t="inlineStr"/>
      <c r="I538" s="20" t="inlineStr">
        <is>
          <t>MARCIO JOSE DA SILVA</t>
        </is>
      </c>
      <c r="J538" s="20" t="inlineStr">
        <is>
          <t>Sócio-Administrador</t>
        </is>
      </c>
      <c r="K538" s="20" t="inlineStr">
        <is>
          <t>(31) 3036-2975</t>
        </is>
      </c>
      <c r="L538" s="20" t="inlineStr">
        <is>
          <t>(31) 3036-2974</t>
        </is>
      </c>
      <c r="M538" s="20" t="inlineStr"/>
      <c r="N538" s="20" t="inlineStr"/>
      <c r="O538" s="20" t="inlineStr"/>
      <c r="P538" s="20" t="inlineStr"/>
      <c r="Q538" s="20" t="inlineStr"/>
      <c r="R538" s="20" t="inlineStr"/>
      <c r="S538" s="20" t="inlineStr"/>
      <c r="T538" s="21" t="n">
        <v>379730.78</v>
      </c>
      <c r="U538" s="30" t="inlineStr">
        <is>
          <t>?</t>
        </is>
      </c>
      <c r="V538" s="23">
        <f>IFERROR(VLOOKUP(U538,Assumptions!$A$7:$D$11,2,FALSE),0)</f>
        <v/>
      </c>
      <c r="W538" s="24">
        <f>MAX(0.5,IFERROR(VLOOKUP(U538,Assumptions!$A$7:$D$11,3,FALSE),3)+IFERROR(VLOOKUP(U538,Assumptions!$A$7:$D$11,4,FALSE),8)/2-IF(AN538="",0,YEAR(TODAY())-AN538))</f>
        <v/>
      </c>
      <c r="X538" s="21">
        <f>T538*V538/(1+Assumptions!$B$3)^W538</f>
        <v/>
      </c>
      <c r="Y538" s="25">
        <f>IF(T538=0,"",ROUND(X538/T538*100,1))</f>
        <v/>
      </c>
      <c r="Z538" s="26">
        <f>X538*Assumptions!$B$4</f>
        <v/>
      </c>
      <c r="AA538" s="25">
        <f>IF(T538=0,"",ROUND(Z538/T538*100,1))</f>
        <v/>
      </c>
      <c r="AB538" s="26">
        <f>X538-Z538</f>
        <v/>
      </c>
      <c r="AC538" s="25">
        <f>IF(T538=0,"",ROUND((X538-Z538)/T538*100,1))</f>
        <v/>
      </c>
      <c r="AD538" s="27" t="inlineStr">
        <is>
          <t>UNKNOWN</t>
        </is>
      </c>
      <c r="AE538" s="28" t="inlineStr">
        <is>
          <t>https://scalzilliaj.com.br/sgc/download.php?file=files/processo_documento/processo_documento09514021082025_1_.pdf&amp;nome=04 - Relação de credores das Recuperandas</t>
        </is>
      </c>
      <c r="AF538" s="27" t="inlineStr">
        <is>
          <t>p61 r9</t>
        </is>
      </c>
      <c r="AG538" s="27" t="inlineStr">
        <is>
          <t>p61: R$ 379.730,78</t>
        </is>
      </c>
      <c r="AH538" s="27" t="inlineStr">
        <is>
          <t>DEBTOR_LIST</t>
        </is>
      </c>
      <c r="AI538" s="27" t="inlineStr"/>
      <c r="AJ538" s="27" t="inlineStr">
        <is>
          <t>OK</t>
        </is>
      </c>
      <c r="AK538" s="29" t="inlineStr">
        <is>
          <t>(not printed)</t>
        </is>
      </c>
      <c r="AL538" s="29" t="inlineStr"/>
      <c r="AM538" s="29" t="inlineStr"/>
      <c r="AN538" s="29" t="inlineStr"/>
      <c r="AO538" s="29" t="inlineStr">
        <is>
          <t>RJ case number not identified on the document</t>
        </is>
      </c>
      <c r="AP538" s="29" t="inlineStr">
        <is>
          <t>BALDIM</t>
        </is>
      </c>
      <c r="AQ538" s="29" t="inlineStr">
        <is>
          <t>MG</t>
        </is>
      </c>
      <c r="AR538" s="29" t="inlineStr">
        <is>
          <t>Serviços de engenharia</t>
        </is>
      </c>
      <c r="AS538" s="29" t="inlineStr">
        <is>
          <t>DEMAIS</t>
        </is>
      </c>
      <c r="AT538" s="29" t="inlineStr">
        <is>
          <t>MID-MARKET</t>
        </is>
      </c>
      <c r="AU538" s="29" t="inlineStr">
        <is>
          <t>02576794</t>
        </is>
      </c>
      <c r="AV538" s="29" t="n">
        <v>1</v>
      </c>
      <c r="AW538" s="29" t="inlineStr">
        <is>
          <t>ROWS:p61r9 VALUE_COL:Valor_Atualizado CASE_NUMBER_CORRECTED</t>
        </is>
      </c>
    </row>
    <row r="539">
      <c r="A539" s="15" t="inlineStr">
        <is>
          <t>POLIMAN INDUSTRIA E COMERCIO DE MOVEIS LTDA</t>
        </is>
      </c>
      <c r="B539" s="16" t="n">
        <v>205935.56</v>
      </c>
      <c r="C539" s="17" t="inlineStr">
        <is>
          <t>aludida empresa</t>
        </is>
      </c>
      <c r="D539" s="18" t="inlineStr">
        <is>
          <t>NEW</t>
        </is>
      </c>
      <c r="E539" s="19" t="inlineStr"/>
      <c r="F539" s="18" t="inlineStr"/>
      <c r="G539" s="19" t="inlineStr"/>
      <c r="H539" s="18" t="inlineStr"/>
      <c r="I539" s="20" t="inlineStr">
        <is>
          <t>ANA PAULA MANFRIN</t>
        </is>
      </c>
      <c r="J539" s="20" t="inlineStr">
        <is>
          <t>Administrador</t>
        </is>
      </c>
      <c r="K539" s="20" t="inlineStr">
        <is>
          <t>(43) 3276-8600</t>
        </is>
      </c>
      <c r="L539" s="20" t="inlineStr">
        <is>
          <t>(43) 3274-6316</t>
        </is>
      </c>
      <c r="M539" s="20" t="inlineStr"/>
      <c r="N539" s="20" t="inlineStr"/>
      <c r="O539" s="20" t="inlineStr"/>
      <c r="P539" s="20" t="inlineStr">
        <is>
          <t>CLARICE CARMELLO MANFRIN</t>
        </is>
      </c>
      <c r="Q539" s="20" t="inlineStr">
        <is>
          <t>Administrador</t>
        </is>
      </c>
      <c r="R539" s="20" t="inlineStr">
        <is>
          <t>(43) 3274-6316</t>
        </is>
      </c>
      <c r="S539" s="20" t="inlineStr"/>
      <c r="T539" s="21" t="n">
        <v>205935.56</v>
      </c>
      <c r="U539" s="31" t="inlineStr">
        <is>
          <t>C</t>
        </is>
      </c>
      <c r="V539" s="23">
        <f>IFERROR(VLOOKUP(U539,Assumptions!$A$7:$D$11,2,FALSE),0)</f>
        <v/>
      </c>
      <c r="W539" s="24">
        <f>MAX(0.5,IFERROR(VLOOKUP(U539,Assumptions!$A$7:$D$11,3,FALSE),3)+IFERROR(VLOOKUP(U539,Assumptions!$A$7:$D$11,4,FALSE),8)/2-IF(AN539="",0,YEAR(TODAY())-AN539))</f>
        <v/>
      </c>
      <c r="X539" s="21">
        <f>T539*V539/(1+Assumptions!$B$3)^W539</f>
        <v/>
      </c>
      <c r="Y539" s="25">
        <f>IF(T539=0,"",ROUND(X539/T539*100,1))</f>
        <v/>
      </c>
      <c r="Z539" s="26">
        <f>X539*Assumptions!$B$4</f>
        <v/>
      </c>
      <c r="AA539" s="25">
        <f>IF(T539=0,"",ROUND(Z539/T539*100,1))</f>
        <v/>
      </c>
      <c r="AB539" s="26">
        <f>X539-Z539</f>
        <v/>
      </c>
      <c r="AC539" s="25">
        <f>IF(T539=0,"",ROUND((X539-Z539)/T539*100,1))</f>
        <v/>
      </c>
      <c r="AD539" s="27" t="inlineStr">
        <is>
          <t>ESTIMATED</t>
        </is>
      </c>
      <c r="AE539" s="28" t="inlineStr">
        <is>
          <t>https://recuperacaojudicial.squarespace.com/s/RJ-Credimoveis-QGC-01082025.pdf</t>
        </is>
      </c>
      <c r="AF539" s="27" t="inlineStr">
        <is>
          <t>p16 r42</t>
        </is>
      </c>
      <c r="AG539" s="27" t="inlineStr">
        <is>
          <t>p16: R$ 205.935,56</t>
        </is>
      </c>
      <c r="AH539" s="27" t="inlineStr">
        <is>
          <t>QGC</t>
        </is>
      </c>
      <c r="AI539" s="27" t="inlineStr">
        <is>
          <t>2026-01-28</t>
        </is>
      </c>
      <c r="AJ539" s="27" t="inlineStr">
        <is>
          <t>OK</t>
        </is>
      </c>
      <c r="AK539" s="29" t="inlineStr">
        <is>
          <t>0007565-40.2020.8.17.2370</t>
        </is>
      </c>
      <c r="AL539" s="29" t="inlineStr">
        <is>
          <t>TJPE</t>
        </is>
      </c>
      <c r="AM539" s="29" t="inlineStr">
        <is>
          <t>ACTIVE</t>
        </is>
      </c>
      <c r="AN539" s="29" t="n">
        <v>2020</v>
      </c>
      <c r="AO539" s="29" t="inlineStr">
        <is>
          <t>6y since filing, no plan document</t>
        </is>
      </c>
      <c r="AP539" s="29" t="inlineStr">
        <is>
          <t>ARAPONGAS</t>
        </is>
      </c>
      <c r="AQ539" s="29" t="inlineStr">
        <is>
          <t>PR</t>
        </is>
      </c>
      <c r="AR539" s="29" t="inlineStr">
        <is>
          <t>Fabricação de móveis com predominância de madeira</t>
        </is>
      </c>
      <c r="AS539" s="29" t="inlineStr">
        <is>
          <t>DEMAIS</t>
        </is>
      </c>
      <c r="AT539" s="29" t="inlineStr">
        <is>
          <t>MID-MARKET</t>
        </is>
      </c>
      <c r="AU539" s="29" t="inlineStr">
        <is>
          <t>02721927</t>
        </is>
      </c>
      <c r="AV539" s="29" t="n">
        <v>1</v>
      </c>
      <c r="AW539" s="29" t="inlineStr">
        <is>
          <t>ROWS:p16r42</t>
        </is>
      </c>
    </row>
    <row r="540">
      <c r="A540" s="15" t="inlineStr">
        <is>
          <t>AGAE TRANSPORTES E COMERCIO S/A</t>
        </is>
      </c>
      <c r="B540" s="16" t="n">
        <v>368662.26</v>
      </c>
      <c r="C540" s="17" t="inlineStr">
        <is>
          <t>EGESA ENGENHARIA S/A (Consórcio ETDI)</t>
        </is>
      </c>
      <c r="D540" s="18" t="inlineStr">
        <is>
          <t>NEW</t>
        </is>
      </c>
      <c r="E540" s="19" t="inlineStr"/>
      <c r="F540" s="18" t="inlineStr"/>
      <c r="G540" s="19" t="inlineStr"/>
      <c r="H540" s="18" t="inlineStr"/>
      <c r="I540" s="20" t="inlineStr">
        <is>
          <t>Hebert Vianna</t>
        </is>
      </c>
      <c r="J540" s="20" t="inlineStr">
        <is>
          <t>CFO</t>
        </is>
      </c>
      <c r="K540" s="20" t="inlineStr">
        <is>
          <t>021221236632</t>
        </is>
      </c>
      <c r="L540" s="20" t="inlineStr"/>
      <c r="M540" s="20" t="inlineStr"/>
      <c r="N540" s="20" t="inlineStr">
        <is>
          <t>hebert.vianna@betunel.com.br</t>
        </is>
      </c>
      <c r="O540" s="20" t="inlineStr">
        <is>
          <t>vivian.santos@betunel.com.br</t>
        </is>
      </c>
      <c r="P540" s="20" t="inlineStr">
        <is>
          <t>Vivian Santos</t>
        </is>
      </c>
      <c r="Q540" s="20" t="inlineStr">
        <is>
          <t>Head de Crédito e Cobrança</t>
        </is>
      </c>
      <c r="R540" s="20" t="inlineStr"/>
      <c r="S540" s="20" t="inlineStr">
        <is>
          <t>vivian.santos@betunel.com.br</t>
        </is>
      </c>
      <c r="T540" s="21" t="n">
        <v>368662.26</v>
      </c>
      <c r="U540" s="30" t="inlineStr">
        <is>
          <t>?</t>
        </is>
      </c>
      <c r="V540" s="23">
        <f>IFERROR(VLOOKUP(U540,Assumptions!$A$7:$D$11,2,FALSE),0)</f>
        <v/>
      </c>
      <c r="W540" s="24">
        <f>MAX(0.5,IFERROR(VLOOKUP(U540,Assumptions!$A$7:$D$11,3,FALSE),3)+IFERROR(VLOOKUP(U540,Assumptions!$A$7:$D$11,4,FALSE),8)/2-IF(AN540="",0,YEAR(TODAY())-AN540))</f>
        <v/>
      </c>
      <c r="X540" s="21">
        <f>T540*V540/(1+Assumptions!$B$3)^W540</f>
        <v/>
      </c>
      <c r="Y540" s="25">
        <f>IF(T540=0,"",ROUND(X540/T540*100,1))</f>
        <v/>
      </c>
      <c r="Z540" s="26">
        <f>X540*Assumptions!$B$4</f>
        <v/>
      </c>
      <c r="AA540" s="25">
        <f>IF(T540=0,"",ROUND(Z540/T540*100,1))</f>
        <v/>
      </c>
      <c r="AB540" s="26">
        <f>X540-Z540</f>
        <v/>
      </c>
      <c r="AC540" s="25">
        <f>IF(T540=0,"",ROUND((X540-Z540)/T540*100,1))</f>
        <v/>
      </c>
      <c r="AD540" s="27" t="inlineStr">
        <is>
          <t>UNKNOWN</t>
        </is>
      </c>
      <c r="AE540" s="28" t="inlineStr">
        <is>
          <t>https://scalzilliaj.com.br/sgc/download.php?file=files/processo_documento/processo_documento09514021082025_1_.pdf&amp;nome=04 - Relação de credores das Recuperandas</t>
        </is>
      </c>
      <c r="AF540" s="27" t="inlineStr">
        <is>
          <t>p61 r13</t>
        </is>
      </c>
      <c r="AG540" s="27" t="inlineStr">
        <is>
          <t>p61: R$ 368.662,26</t>
        </is>
      </c>
      <c r="AH540" s="27" t="inlineStr">
        <is>
          <t>DEBTOR_LIST</t>
        </is>
      </c>
      <c r="AI540" s="27" t="inlineStr"/>
      <c r="AJ540" s="27" t="inlineStr">
        <is>
          <t>OK</t>
        </is>
      </c>
      <c r="AK540" s="29" t="inlineStr">
        <is>
          <t>(not printed)</t>
        </is>
      </c>
      <c r="AL540" s="29" t="inlineStr"/>
      <c r="AM540" s="29" t="inlineStr"/>
      <c r="AN540" s="29" t="inlineStr"/>
      <c r="AO540" s="29" t="inlineStr">
        <is>
          <t>RJ case number not identified on the document</t>
        </is>
      </c>
      <c r="AP540" s="29" t="inlineStr">
        <is>
          <t>RIO DE JANEIRO</t>
        </is>
      </c>
      <c r="AQ540" s="29" t="inlineStr">
        <is>
          <t>RJ</t>
        </is>
      </c>
      <c r="AR540" s="29" t="inlineStr">
        <is>
          <t>Transporte rodoviário de produtos perigosos</t>
        </is>
      </c>
      <c r="AS540" s="29" t="inlineStr">
        <is>
          <t>DEMAIS</t>
        </is>
      </c>
      <c r="AT540" s="29" t="inlineStr">
        <is>
          <t>MID-MARKET</t>
        </is>
      </c>
      <c r="AU540" s="29" t="inlineStr">
        <is>
          <t>43998509</t>
        </is>
      </c>
      <c r="AV540" s="29" t="n">
        <v>1</v>
      </c>
      <c r="AW540" s="29" t="inlineStr">
        <is>
          <t>ROWS:p61r13 VALUE_COL:Valor_Atualizado CASE_NUMBER_CORRECTED</t>
        </is>
      </c>
    </row>
    <row r="541">
      <c r="A541" s="15" t="inlineStr">
        <is>
          <t>ALPHA MARKTEC MATERIAIS ELETRICOS LTDA</t>
        </is>
      </c>
      <c r="B541" s="16" t="n">
        <v>368324.26</v>
      </c>
      <c r="C541" s="17" t="inlineStr">
        <is>
          <t>EGESA ENGENHARIA S/A (Consórcio ETDI)</t>
        </is>
      </c>
      <c r="D541" s="18" t="inlineStr">
        <is>
          <t>NEW</t>
        </is>
      </c>
      <c r="E541" s="19" t="inlineStr"/>
      <c r="F541" s="18" t="inlineStr"/>
      <c r="G541" s="19" t="inlineStr"/>
      <c r="H541" s="18" t="inlineStr"/>
      <c r="I541" s="20" t="inlineStr">
        <is>
          <t>Carlos Ferreira</t>
        </is>
      </c>
      <c r="J541" s="20" t="inlineStr">
        <is>
          <t>Commercial</t>
        </is>
      </c>
      <c r="K541" s="20" t="inlineStr">
        <is>
          <t>(11) 2782-3200</t>
        </is>
      </c>
      <c r="L541" s="20" t="inlineStr"/>
      <c r="M541" s="20" t="inlineStr"/>
      <c r="N541" s="20" t="inlineStr">
        <is>
          <t>carlos@alphamarktec.com.br</t>
        </is>
      </c>
      <c r="O541" s="20" t="inlineStr"/>
      <c r="P541" s="20" t="inlineStr">
        <is>
          <t>DENIS MUNHOES</t>
        </is>
      </c>
      <c r="Q541" s="20" t="inlineStr">
        <is>
          <t>Sócio-Administrador</t>
        </is>
      </c>
      <c r="R541" s="20" t="inlineStr">
        <is>
          <t>(11) 2782-3200</t>
        </is>
      </c>
      <c r="S541" s="20" t="inlineStr"/>
      <c r="T541" s="21" t="n">
        <v>368324.26</v>
      </c>
      <c r="U541" s="30" t="inlineStr">
        <is>
          <t>?</t>
        </is>
      </c>
      <c r="V541" s="23">
        <f>IFERROR(VLOOKUP(U541,Assumptions!$A$7:$D$11,2,FALSE),0)</f>
        <v/>
      </c>
      <c r="W541" s="24">
        <f>MAX(0.5,IFERROR(VLOOKUP(U541,Assumptions!$A$7:$D$11,3,FALSE),3)+IFERROR(VLOOKUP(U541,Assumptions!$A$7:$D$11,4,FALSE),8)/2-IF(AN541="",0,YEAR(TODAY())-AN541))</f>
        <v/>
      </c>
      <c r="X541" s="21">
        <f>T541*V541/(1+Assumptions!$B$3)^W541</f>
        <v/>
      </c>
      <c r="Y541" s="25">
        <f>IF(T541=0,"",ROUND(X541/T541*100,1))</f>
        <v/>
      </c>
      <c r="Z541" s="26">
        <f>X541*Assumptions!$B$4</f>
        <v/>
      </c>
      <c r="AA541" s="25">
        <f>IF(T541=0,"",ROUND(Z541/T541*100,1))</f>
        <v/>
      </c>
      <c r="AB541" s="26">
        <f>X541-Z541</f>
        <v/>
      </c>
      <c r="AC541" s="25">
        <f>IF(T541=0,"",ROUND((X541-Z541)/T541*100,1))</f>
        <v/>
      </c>
      <c r="AD541" s="27" t="inlineStr">
        <is>
          <t>UNKNOWN</t>
        </is>
      </c>
      <c r="AE541" s="28" t="inlineStr">
        <is>
          <t>https://scalzilliaj.com.br/sgc/download.php?file=files/processo_documento/processo_documento09514021082025_1_.pdf&amp;nome=04 - Relação de credores das Recuperandas</t>
        </is>
      </c>
      <c r="AF541" s="27" t="inlineStr">
        <is>
          <t>p62 r3</t>
        </is>
      </c>
      <c r="AG541" s="27" t="inlineStr">
        <is>
          <t>p62: R$ 368.324,26</t>
        </is>
      </c>
      <c r="AH541" s="27" t="inlineStr">
        <is>
          <t>DEBTOR_LIST</t>
        </is>
      </c>
      <c r="AI541" s="27" t="inlineStr"/>
      <c r="AJ541" s="27" t="inlineStr">
        <is>
          <t>OK</t>
        </is>
      </c>
      <c r="AK541" s="29" t="inlineStr">
        <is>
          <t>(not printed)</t>
        </is>
      </c>
      <c r="AL541" s="29" t="inlineStr"/>
      <c r="AM541" s="29" t="inlineStr"/>
      <c r="AN541" s="29" t="inlineStr"/>
      <c r="AO541" s="29" t="inlineStr">
        <is>
          <t>RJ case number not identified on the document</t>
        </is>
      </c>
      <c r="AP541" s="29" t="inlineStr">
        <is>
          <t>SAO PAULO</t>
        </is>
      </c>
      <c r="AQ541" s="29" t="inlineStr">
        <is>
          <t>SP</t>
        </is>
      </c>
      <c r="AR541" s="29" t="inlineStr">
        <is>
          <t>Comércio atacadista de material elétrico</t>
        </is>
      </c>
      <c r="AS541" s="29" t="inlineStr">
        <is>
          <t>DEMAIS</t>
        </is>
      </c>
      <c r="AT541" s="29" t="inlineStr">
        <is>
          <t>MID-MARKET</t>
        </is>
      </c>
      <c r="AU541" s="29" t="inlineStr">
        <is>
          <t>59274316</t>
        </is>
      </c>
      <c r="AV541" s="29" t="n">
        <v>1</v>
      </c>
      <c r="AW541" s="29" t="inlineStr">
        <is>
          <t>ROWS:p62r3 VALUE_COL:Valor_Atualizado CASE_NUMBER_CORRECTED</t>
        </is>
      </c>
    </row>
    <row r="542">
      <c r="A542" s="15" t="inlineStr">
        <is>
          <t>IOSEI PARTICIPACOES LTDA</t>
        </is>
      </c>
      <c r="B542" s="16" t="n">
        <v>226966.22</v>
      </c>
      <c r="C542" s="17" t="inlineStr">
        <is>
          <t>DIAGSON DIAGNOSTICO EM ULTRA SONOGRAFIA MED FETAL LTDA - EM RECUPERACAO JUDICIAL</t>
        </is>
      </c>
      <c r="D542" s="18" t="inlineStr">
        <is>
          <t>NEW</t>
        </is>
      </c>
      <c r="E542" s="19" t="inlineStr"/>
      <c r="F542" s="18" t="inlineStr"/>
      <c r="G542" s="19" t="inlineStr"/>
      <c r="H542" s="18" t="inlineStr"/>
      <c r="I542" s="20" t="inlineStr">
        <is>
          <t>MARLOS ARAUJO GONCALVES</t>
        </is>
      </c>
      <c r="J542" s="20" t="inlineStr">
        <is>
          <t>Administrador</t>
        </is>
      </c>
      <c r="K542" s="20" t="inlineStr">
        <is>
          <t>(62) 9128-0209</t>
        </is>
      </c>
      <c r="L542" s="20" t="inlineStr">
        <is>
          <t>000000000000</t>
        </is>
      </c>
      <c r="M542" s="20" t="inlineStr"/>
      <c r="N542" s="20" t="inlineStr"/>
      <c r="O542" s="20" t="inlineStr"/>
      <c r="P542" s="20" t="inlineStr"/>
      <c r="Q542" s="20" t="inlineStr"/>
      <c r="R542" s="20" t="inlineStr"/>
      <c r="S542" s="20" t="inlineStr"/>
      <c r="T542" s="21" t="n">
        <v>226966.22</v>
      </c>
      <c r="U542" s="22" t="inlineStr">
        <is>
          <t>B</t>
        </is>
      </c>
      <c r="V542" s="23">
        <f>IFERROR(VLOOKUP(U542,Assumptions!$A$7:$D$11,2,FALSE),0)</f>
        <v/>
      </c>
      <c r="W542" s="24">
        <f>MAX(0.5,IFERROR(VLOOKUP(U542,Assumptions!$A$7:$D$11,3,FALSE),3)+IFERROR(VLOOKUP(U542,Assumptions!$A$7:$D$11,4,FALSE),8)/2-IF(AN542="",0,YEAR(TODAY())-AN542))</f>
        <v/>
      </c>
      <c r="X542" s="21">
        <f>T542*V542/(1+Assumptions!$B$3)^W542</f>
        <v/>
      </c>
      <c r="Y542" s="25">
        <f>IF(T542=0,"",ROUND(X542/T542*100,1))</f>
        <v/>
      </c>
      <c r="Z542" s="26">
        <f>X542*Assumptions!$B$4</f>
        <v/>
      </c>
      <c r="AA542" s="25">
        <f>IF(T542=0,"",ROUND(Z542/T542*100,1))</f>
        <v/>
      </c>
      <c r="AB542" s="26">
        <f>X542-Z542</f>
        <v/>
      </c>
      <c r="AC542" s="25">
        <f>IF(T542=0,"",ROUND((X542-Z542)/T542*100,1))</f>
        <v/>
      </c>
      <c r="AD542" s="27" t="inlineStr">
        <is>
          <t>ESTIMATED</t>
        </is>
      </c>
      <c r="AE542" s="28" t="inlineStr">
        <is>
          <t>https://lrflideres.com.br/wp-content/plugins/download-attachments/includes/download.php?id=7418</t>
        </is>
      </c>
      <c r="AF542" s="27" t="inlineStr">
        <is>
          <t>p2 r65</t>
        </is>
      </c>
      <c r="AG542" s="27" t="inlineStr">
        <is>
          <t>p2: R$ 226.966,22</t>
        </is>
      </c>
      <c r="AH542" s="27" t="inlineStr">
        <is>
          <t>DEBTOR_LIST</t>
        </is>
      </c>
      <c r="AI542" s="27" t="inlineStr">
        <is>
          <t>2026-07-28</t>
        </is>
      </c>
      <c r="AJ542" s="27" t="inlineStr">
        <is>
          <t>QUARANTINED</t>
        </is>
      </c>
      <c r="AK542" s="29" t="inlineStr">
        <is>
          <t>0822279-56.2026.8.15.2001</t>
        </is>
      </c>
      <c r="AL542" s="29" t="inlineStr">
        <is>
          <t>TJPB</t>
        </is>
      </c>
      <c r="AM542" s="29" t="inlineStr">
        <is>
          <t>ACTIVE</t>
        </is>
      </c>
      <c r="AN542" s="29" t="n">
        <v>2026</v>
      </c>
      <c r="AO542" s="29" t="inlineStr">
        <is>
          <t>live case, no plan document yet</t>
        </is>
      </c>
      <c r="AP542" s="29" t="inlineStr">
        <is>
          <t>GOIANIA</t>
        </is>
      </c>
      <c r="AQ542" s="29" t="inlineStr">
        <is>
          <t>GO</t>
        </is>
      </c>
      <c r="AR542" s="29" t="inlineStr">
        <is>
          <t>Serviços de diagnóstico por imagem com uso de radiação ionizante, exceto tomografia</t>
        </is>
      </c>
      <c r="AS542" s="29" t="inlineStr">
        <is>
          <t>DEMAIS</t>
        </is>
      </c>
      <c r="AT542" s="29" t="inlineStr">
        <is>
          <t>MID-MARKET</t>
        </is>
      </c>
      <c r="AU542" s="29" t="inlineStr">
        <is>
          <t>57378542</t>
        </is>
      </c>
      <c r="AV542" s="29" t="n">
        <v>1</v>
      </c>
      <c r="AW542" s="29" t="inlineStr">
        <is>
          <t>PARTIAL_DOC_CLASS_III_RECONCILED ROWS:p2r65</t>
        </is>
      </c>
    </row>
    <row r="543">
      <c r="A543" s="15" t="inlineStr">
        <is>
          <t>USECAR LOCADORA DE VEICULOS S/A</t>
        </is>
      </c>
      <c r="B543" s="16" t="n">
        <v>326730.53</v>
      </c>
      <c r="C543" s="17" t="inlineStr">
        <is>
          <t>EGESA ENGENHARIA S/A (Consórcio ETDI)</t>
        </is>
      </c>
      <c r="D543" s="18" t="inlineStr">
        <is>
          <t>NEW</t>
        </is>
      </c>
      <c r="E543" s="19" t="inlineStr"/>
      <c r="F543" s="18" t="inlineStr"/>
      <c r="G543" s="19" t="inlineStr"/>
      <c r="H543" s="18" t="inlineStr"/>
      <c r="I543" s="20" t="inlineStr">
        <is>
          <t>Ana Valle</t>
        </is>
      </c>
      <c r="J543" s="20" t="inlineStr">
        <is>
          <t>Supervisora de Marketing e Customer Experience</t>
        </is>
      </c>
      <c r="K543" s="20" t="inlineStr">
        <is>
          <t>(31) 4001-1408</t>
        </is>
      </c>
      <c r="L543" s="20" t="inlineStr"/>
      <c r="M543" s="20" t="inlineStr"/>
      <c r="N543" s="20" t="inlineStr">
        <is>
          <t>ana.valle@usecarbrasil.com.br</t>
        </is>
      </c>
      <c r="O543" s="20" t="inlineStr"/>
      <c r="P543" s="20" t="inlineStr">
        <is>
          <t>GRAZIELLA NIKOLAS NIKOLAIDIS ABRAS</t>
        </is>
      </c>
      <c r="Q543" s="20" t="inlineStr">
        <is>
          <t>Diretor</t>
        </is>
      </c>
      <c r="R543" s="20" t="inlineStr">
        <is>
          <t>(31) 4001-1408</t>
        </is>
      </c>
      <c r="S543" s="20" t="inlineStr"/>
      <c r="T543" s="21" t="n">
        <v>326730.53</v>
      </c>
      <c r="U543" s="30" t="inlineStr">
        <is>
          <t>?</t>
        </is>
      </c>
      <c r="V543" s="23">
        <f>IFERROR(VLOOKUP(U543,Assumptions!$A$7:$D$11,2,FALSE),0)</f>
        <v/>
      </c>
      <c r="W543" s="24">
        <f>MAX(0.5,IFERROR(VLOOKUP(U543,Assumptions!$A$7:$D$11,3,FALSE),3)+IFERROR(VLOOKUP(U543,Assumptions!$A$7:$D$11,4,FALSE),8)/2-IF(AN543="",0,YEAR(TODAY())-AN543))</f>
        <v/>
      </c>
      <c r="X543" s="21">
        <f>T543*V543/(1+Assumptions!$B$3)^W543</f>
        <v/>
      </c>
      <c r="Y543" s="25">
        <f>IF(T543=0,"",ROUND(X543/T543*100,1))</f>
        <v/>
      </c>
      <c r="Z543" s="26">
        <f>X543*Assumptions!$B$4</f>
        <v/>
      </c>
      <c r="AA543" s="25">
        <f>IF(T543=0,"",ROUND(Z543/T543*100,1))</f>
        <v/>
      </c>
      <c r="AB543" s="26">
        <f>X543-Z543</f>
        <v/>
      </c>
      <c r="AC543" s="25">
        <f>IF(T543=0,"",ROUND((X543-Z543)/T543*100,1))</f>
        <v/>
      </c>
      <c r="AD543" s="27" t="inlineStr">
        <is>
          <t>UNKNOWN</t>
        </is>
      </c>
      <c r="AE543" s="28" t="inlineStr">
        <is>
          <t>https://scalzilliaj.com.br/sgc/download.php?file=files/processo_documento/processo_documento09514021082025_1_.pdf&amp;nome=04 - Relação de credores das Recuperandas</t>
        </is>
      </c>
      <c r="AF543" s="27" t="inlineStr">
        <is>
          <t>p63 r13</t>
        </is>
      </c>
      <c r="AG543" s="27" t="inlineStr">
        <is>
          <t>p63: R$ 326.730,53</t>
        </is>
      </c>
      <c r="AH543" s="27" t="inlineStr">
        <is>
          <t>DEBTOR_LIST</t>
        </is>
      </c>
      <c r="AI543" s="27" t="inlineStr"/>
      <c r="AJ543" s="27" t="inlineStr">
        <is>
          <t>OK</t>
        </is>
      </c>
      <c r="AK543" s="29" t="inlineStr">
        <is>
          <t>(not printed)</t>
        </is>
      </c>
      <c r="AL543" s="29" t="inlineStr"/>
      <c r="AM543" s="29" t="inlineStr"/>
      <c r="AN543" s="29" t="inlineStr"/>
      <c r="AO543" s="29" t="inlineStr">
        <is>
          <t>RJ case number not identified on the document</t>
        </is>
      </c>
      <c r="AP543" s="29" t="inlineStr">
        <is>
          <t>BELO HORIZONTE</t>
        </is>
      </c>
      <c r="AQ543" s="29" t="inlineStr">
        <is>
          <t>MG</t>
        </is>
      </c>
      <c r="AR543" s="29" t="inlineStr">
        <is>
          <t>Locação de automóveis sem condutor</t>
        </is>
      </c>
      <c r="AS543" s="29" t="inlineStr">
        <is>
          <t>DEMAIS</t>
        </is>
      </c>
      <c r="AT543" s="29" t="inlineStr">
        <is>
          <t>LARGE CORP</t>
        </is>
      </c>
      <c r="AU543" s="29" t="inlineStr">
        <is>
          <t>02274615</t>
        </is>
      </c>
      <c r="AV543" s="29" t="n">
        <v>1</v>
      </c>
      <c r="AW543" s="29" t="inlineStr">
        <is>
          <t>ROWS:p63r13 VALUE_COL:Valor_Atualizado CASE_NUMBER_CORRECTED</t>
        </is>
      </c>
    </row>
    <row r="544">
      <c r="A544" s="15" t="inlineStr">
        <is>
          <t>SIEMENS HEALTHCARE DIAGNOSTICOS LTDA.</t>
        </is>
      </c>
      <c r="B544" s="16" t="n">
        <v>217731.21</v>
      </c>
      <c r="C544" s="17" t="inlineStr">
        <is>
          <t>DIAGSON DIAGNOSTICO EM ULTRA SONOGRAFIA MED FETAL LTDA - EM RECUPERACAO JUDICIAL</t>
        </is>
      </c>
      <c r="D544" s="18" t="inlineStr">
        <is>
          <t>NEW</t>
        </is>
      </c>
      <c r="E544" s="19" t="inlineStr"/>
      <c r="F544" s="18" t="inlineStr"/>
      <c r="G544" s="19" t="inlineStr"/>
      <c r="H544" s="18" t="inlineStr"/>
      <c r="I544" s="20" t="inlineStr">
        <is>
          <t>ADRIANA SILVA DA COSTA</t>
        </is>
      </c>
      <c r="J544" s="20" t="inlineStr">
        <is>
          <t>Administrador</t>
        </is>
      </c>
      <c r="K544" s="20" t="inlineStr">
        <is>
          <t>(11) 4585-7350</t>
        </is>
      </c>
      <c r="L544" s="20" t="inlineStr"/>
      <c r="M544" s="20" t="inlineStr"/>
      <c r="N544" s="20" t="inlineStr"/>
      <c r="O544" s="20" t="inlineStr"/>
      <c r="P544" s="20" t="inlineStr">
        <is>
          <t>CARLOS ALBERTO DI LORENZO</t>
        </is>
      </c>
      <c r="Q544" s="20" t="inlineStr">
        <is>
          <t>Administrador</t>
        </is>
      </c>
      <c r="R544" s="20" t="inlineStr">
        <is>
          <t>(11) 4585-7350</t>
        </is>
      </c>
      <c r="S544" s="20" t="inlineStr"/>
      <c r="T544" s="21" t="n">
        <v>217731.21</v>
      </c>
      <c r="U544" s="22" t="inlineStr">
        <is>
          <t>B</t>
        </is>
      </c>
      <c r="V544" s="23">
        <f>IFERROR(VLOOKUP(U544,Assumptions!$A$7:$D$11,2,FALSE),0)</f>
        <v/>
      </c>
      <c r="W544" s="24">
        <f>MAX(0.5,IFERROR(VLOOKUP(U544,Assumptions!$A$7:$D$11,3,FALSE),3)+IFERROR(VLOOKUP(U544,Assumptions!$A$7:$D$11,4,FALSE),8)/2-IF(AN544="",0,YEAR(TODAY())-AN544))</f>
        <v/>
      </c>
      <c r="X544" s="21">
        <f>T544*V544/(1+Assumptions!$B$3)^W544</f>
        <v/>
      </c>
      <c r="Y544" s="25">
        <f>IF(T544=0,"",ROUND(X544/T544*100,1))</f>
        <v/>
      </c>
      <c r="Z544" s="26">
        <f>X544*Assumptions!$B$4</f>
        <v/>
      </c>
      <c r="AA544" s="25">
        <f>IF(T544=0,"",ROUND(Z544/T544*100,1))</f>
        <v/>
      </c>
      <c r="AB544" s="26">
        <f>X544-Z544</f>
        <v/>
      </c>
      <c r="AC544" s="25">
        <f>IF(T544=0,"",ROUND((X544-Z544)/T544*100,1))</f>
        <v/>
      </c>
      <c r="AD544" s="27" t="inlineStr">
        <is>
          <t>ESTIMATED</t>
        </is>
      </c>
      <c r="AE544" s="28" t="inlineStr">
        <is>
          <t>https://lrflideres.com.br/wp-content/plugins/download-attachments/includes/download.php?id=7418</t>
        </is>
      </c>
      <c r="AF544" s="27" t="inlineStr">
        <is>
          <t>p2 r82</t>
        </is>
      </c>
      <c r="AG544" s="27" t="inlineStr">
        <is>
          <t>p2: R$ 217.731,21</t>
        </is>
      </c>
      <c r="AH544" s="27" t="inlineStr">
        <is>
          <t>DEBTOR_LIST</t>
        </is>
      </c>
      <c r="AI544" s="27" t="inlineStr">
        <is>
          <t>2026-07-28</t>
        </is>
      </c>
      <c r="AJ544" s="27" t="inlineStr">
        <is>
          <t>QUARANTINED</t>
        </is>
      </c>
      <c r="AK544" s="29" t="inlineStr">
        <is>
          <t>0822279-56.2026.8.15.2001</t>
        </is>
      </c>
      <c r="AL544" s="29" t="inlineStr">
        <is>
          <t>TJPB</t>
        </is>
      </c>
      <c r="AM544" s="29" t="inlineStr">
        <is>
          <t>ACTIVE</t>
        </is>
      </c>
      <c r="AN544" s="29" t="n">
        <v>2026</v>
      </c>
      <c r="AO544" s="29" t="inlineStr">
        <is>
          <t>live case, no plan document yet</t>
        </is>
      </c>
      <c r="AP544" s="29" t="inlineStr">
        <is>
          <t>SAO PAULO</t>
        </is>
      </c>
      <c r="AQ544" s="29" t="inlineStr">
        <is>
          <t>SP</t>
        </is>
      </c>
      <c r="AR544" s="29" t="inlineStr">
        <is>
          <t>Comércio atacadista de instrumentos e materiais para uso médico, cirúrgico, hospitalar e de laboratórios</t>
        </is>
      </c>
      <c r="AS544" s="29" t="inlineStr">
        <is>
          <t>DEMAIS</t>
        </is>
      </c>
      <c r="AT544" s="29" t="inlineStr">
        <is>
          <t>LARGE CORP</t>
        </is>
      </c>
      <c r="AU544" s="29" t="inlineStr">
        <is>
          <t>01449930</t>
        </is>
      </c>
      <c r="AV544" s="29" t="n">
        <v>1</v>
      </c>
      <c r="AW544" s="29" t="inlineStr">
        <is>
          <t>PARTIAL_DOC_CLASS_III_RECONCILED ROWS:p2r82</t>
        </is>
      </c>
    </row>
    <row r="545">
      <c r="A545" s="15" t="inlineStr">
        <is>
          <t>RENTALBRAS LOCACAO DE BENS MOVEIS PARA CONSTRUCAO CIVIL LTDA</t>
        </is>
      </c>
      <c r="B545" s="16" t="n">
        <v>324549.2</v>
      </c>
      <c r="C545" s="17" t="inlineStr">
        <is>
          <t>EGESA ENGENHARIA S/A (Consórcio ETDI)</t>
        </is>
      </c>
      <c r="D545" s="18" t="inlineStr">
        <is>
          <t>NEW</t>
        </is>
      </c>
      <c r="E545" s="19" t="inlineStr"/>
      <c r="F545" s="18" t="inlineStr"/>
      <c r="G545" s="19" t="inlineStr"/>
      <c r="H545" s="18" t="inlineStr"/>
      <c r="I545" s="20" t="inlineStr">
        <is>
          <t>Plinio Alencar</t>
        </is>
      </c>
      <c r="J545" s="20" t="inlineStr">
        <is>
          <t>Business Manager</t>
        </is>
      </c>
      <c r="K545" s="20" t="inlineStr">
        <is>
          <t>(19) 3227-0373</t>
        </is>
      </c>
      <c r="L545" s="20" t="inlineStr"/>
      <c r="M545" s="20" t="inlineStr"/>
      <c r="N545" s="20" t="inlineStr"/>
      <c r="O545" s="20" t="inlineStr"/>
      <c r="P545" s="20" t="inlineStr">
        <is>
          <t>PLINIO GOMES DE ALENCAR</t>
        </is>
      </c>
      <c r="Q545" s="20" t="inlineStr">
        <is>
          <t>Sócio-Administrador</t>
        </is>
      </c>
      <c r="R545" s="20" t="inlineStr">
        <is>
          <t>(19) 3227-0373</t>
        </is>
      </c>
      <c r="S545" s="20" t="inlineStr"/>
      <c r="T545" s="21" t="n">
        <v>324549.2</v>
      </c>
      <c r="U545" s="30" t="inlineStr">
        <is>
          <t>?</t>
        </is>
      </c>
      <c r="V545" s="23">
        <f>IFERROR(VLOOKUP(U545,Assumptions!$A$7:$D$11,2,FALSE),0)</f>
        <v/>
      </c>
      <c r="W545" s="24">
        <f>MAX(0.5,IFERROR(VLOOKUP(U545,Assumptions!$A$7:$D$11,3,FALSE),3)+IFERROR(VLOOKUP(U545,Assumptions!$A$7:$D$11,4,FALSE),8)/2-IF(AN545="",0,YEAR(TODAY())-AN545))</f>
        <v/>
      </c>
      <c r="X545" s="21">
        <f>T545*V545/(1+Assumptions!$B$3)^W545</f>
        <v/>
      </c>
      <c r="Y545" s="25">
        <f>IF(T545=0,"",ROUND(X545/T545*100,1))</f>
        <v/>
      </c>
      <c r="Z545" s="26">
        <f>X545*Assumptions!$B$4</f>
        <v/>
      </c>
      <c r="AA545" s="25">
        <f>IF(T545=0,"",ROUND(Z545/T545*100,1))</f>
        <v/>
      </c>
      <c r="AB545" s="26">
        <f>X545-Z545</f>
        <v/>
      </c>
      <c r="AC545" s="25">
        <f>IF(T545=0,"",ROUND((X545-Z545)/T545*100,1))</f>
        <v/>
      </c>
      <c r="AD545" s="27" t="inlineStr">
        <is>
          <t>UNKNOWN</t>
        </is>
      </c>
      <c r="AE545" s="28" t="inlineStr">
        <is>
          <t>https://scalzilliaj.com.br/sgc/download.php?file=files/processo_documento/processo_documento09514021082025_1_.pdf&amp;nome=04 - Relação de credores das Recuperandas</t>
        </is>
      </c>
      <c r="AF545" s="27" t="inlineStr">
        <is>
          <t>p72 r7</t>
        </is>
      </c>
      <c r="AG545" s="27" t="inlineStr">
        <is>
          <t>p72: R$ 324.549,20</t>
        </is>
      </c>
      <c r="AH545" s="27" t="inlineStr">
        <is>
          <t>DEBTOR_LIST</t>
        </is>
      </c>
      <c r="AI545" s="27" t="inlineStr"/>
      <c r="AJ545" s="27" t="inlineStr">
        <is>
          <t>OK</t>
        </is>
      </c>
      <c r="AK545" s="29" t="inlineStr">
        <is>
          <t>(not printed)</t>
        </is>
      </c>
      <c r="AL545" s="29" t="inlineStr"/>
      <c r="AM545" s="29" t="inlineStr"/>
      <c r="AN545" s="29" t="inlineStr"/>
      <c r="AO545" s="29" t="inlineStr">
        <is>
          <t>RJ case number not identified on the document</t>
        </is>
      </c>
      <c r="AP545" s="29" t="inlineStr">
        <is>
          <t>CAMPINAS</t>
        </is>
      </c>
      <c r="AQ545" s="29" t="inlineStr">
        <is>
          <t>SP</t>
        </is>
      </c>
      <c r="AR545" s="29" t="inlineStr">
        <is>
          <t>Aluguel de máquinas e equipamentos para construção sem operador, exceto andaimes</t>
        </is>
      </c>
      <c r="AS545" s="29" t="inlineStr">
        <is>
          <t>DEMAIS</t>
        </is>
      </c>
      <c r="AT545" s="29" t="inlineStr">
        <is>
          <t>MID-MARKET</t>
        </is>
      </c>
      <c r="AU545" s="29" t="inlineStr">
        <is>
          <t>07153791</t>
        </is>
      </c>
      <c r="AV545" s="29" t="n">
        <v>1</v>
      </c>
      <c r="AW545" s="29" t="inlineStr">
        <is>
          <t>ROWS:p72r7 VALUE_COL:Valor_Atualizado CASE_NUMBER_CORRECTED</t>
        </is>
      </c>
    </row>
    <row r="546">
      <c r="A546" s="15" t="inlineStr">
        <is>
          <t>CALDEX CONEXOES E EQUIPAMENTOS LTDA</t>
        </is>
      </c>
      <c r="B546" s="16" t="n">
        <v>322964.99</v>
      </c>
      <c r="C546" s="17" t="inlineStr">
        <is>
          <t>EGESA ENGENHARIA S/A (Consórcio ETDI)</t>
        </is>
      </c>
      <c r="D546" s="18" t="inlineStr">
        <is>
          <t>NEW</t>
        </is>
      </c>
      <c r="E546" s="19" t="inlineStr"/>
      <c r="F546" s="18" t="inlineStr"/>
      <c r="G546" s="19" t="inlineStr"/>
      <c r="H546" s="18" t="inlineStr"/>
      <c r="I546" s="20" t="inlineStr">
        <is>
          <t>Marcos Sanchez</t>
        </is>
      </c>
      <c r="J546" s="20" t="inlineStr">
        <is>
          <t>Industrial Director</t>
        </is>
      </c>
      <c r="K546" s="20" t="inlineStr">
        <is>
          <t>(11) 4061-2799</t>
        </is>
      </c>
      <c r="L546" s="20" t="inlineStr"/>
      <c r="M546" s="20" t="inlineStr"/>
      <c r="N546" s="20" t="inlineStr">
        <is>
          <t>marcos@caldex.com.br</t>
        </is>
      </c>
      <c r="O546" s="20" t="inlineStr">
        <is>
          <t>marilza@caldex.com.br</t>
        </is>
      </c>
      <c r="P546" s="20" t="inlineStr">
        <is>
          <t>Marilza Agonilla</t>
        </is>
      </c>
      <c r="Q546" s="20" t="inlineStr">
        <is>
          <t>Gerente/Coordenador (RH)</t>
        </is>
      </c>
      <c r="R546" s="20" t="inlineStr"/>
      <c r="S546" s="20" t="inlineStr">
        <is>
          <t>marilza@caldex.com.br</t>
        </is>
      </c>
      <c r="T546" s="21" t="n">
        <v>322964.99</v>
      </c>
      <c r="U546" s="30" t="inlineStr">
        <is>
          <t>?</t>
        </is>
      </c>
      <c r="V546" s="23">
        <f>IFERROR(VLOOKUP(U546,Assumptions!$A$7:$D$11,2,FALSE),0)</f>
        <v/>
      </c>
      <c r="W546" s="24">
        <f>MAX(0.5,IFERROR(VLOOKUP(U546,Assumptions!$A$7:$D$11,3,FALSE),3)+IFERROR(VLOOKUP(U546,Assumptions!$A$7:$D$11,4,FALSE),8)/2-IF(AN546="",0,YEAR(TODAY())-AN546))</f>
        <v/>
      </c>
      <c r="X546" s="21">
        <f>T546*V546/(1+Assumptions!$B$3)^W546</f>
        <v/>
      </c>
      <c r="Y546" s="25">
        <f>IF(T546=0,"",ROUND(X546/T546*100,1))</f>
        <v/>
      </c>
      <c r="Z546" s="26">
        <f>X546*Assumptions!$B$4</f>
        <v/>
      </c>
      <c r="AA546" s="25">
        <f>IF(T546=0,"",ROUND(Z546/T546*100,1))</f>
        <v/>
      </c>
      <c r="AB546" s="26">
        <f>X546-Z546</f>
        <v/>
      </c>
      <c r="AC546" s="25">
        <f>IF(T546=0,"",ROUND((X546-Z546)/T546*100,1))</f>
        <v/>
      </c>
      <c r="AD546" s="27" t="inlineStr">
        <is>
          <t>UNKNOWN</t>
        </is>
      </c>
      <c r="AE546" s="28" t="inlineStr">
        <is>
          <t>https://scalzilliaj.com.br/sgc/download.php?file=files/processo_documento/processo_documento09514021082025_1_.pdf&amp;nome=04 - Relação de credores das Recuperandas</t>
        </is>
      </c>
      <c r="AF546" s="27" t="inlineStr">
        <is>
          <t>p63 r18</t>
        </is>
      </c>
      <c r="AG546" s="27" t="inlineStr">
        <is>
          <t>p63: R$ 322.964,99</t>
        </is>
      </c>
      <c r="AH546" s="27" t="inlineStr">
        <is>
          <t>DEBTOR_LIST</t>
        </is>
      </c>
      <c r="AI546" s="27" t="inlineStr"/>
      <c r="AJ546" s="27" t="inlineStr">
        <is>
          <t>OK</t>
        </is>
      </c>
      <c r="AK546" s="29" t="inlineStr">
        <is>
          <t>(not printed)</t>
        </is>
      </c>
      <c r="AL546" s="29" t="inlineStr"/>
      <c r="AM546" s="29" t="inlineStr"/>
      <c r="AN546" s="29" t="inlineStr"/>
      <c r="AO546" s="29" t="inlineStr">
        <is>
          <t>RJ case number not identified on the document</t>
        </is>
      </c>
      <c r="AP546" s="29" t="inlineStr">
        <is>
          <t>DIADEMA</t>
        </is>
      </c>
      <c r="AQ546" s="29" t="inlineStr">
        <is>
          <t>SP</t>
        </is>
      </c>
      <c r="AR546" s="29" t="inlineStr">
        <is>
          <t>Fabricação de outros produtos de metal não especificados anteriormente</t>
        </is>
      </c>
      <c r="AS546" s="29" t="inlineStr">
        <is>
          <t>DEMAIS</t>
        </is>
      </c>
      <c r="AT546" s="29" t="inlineStr">
        <is>
          <t>MID-MARKET</t>
        </is>
      </c>
      <c r="AU546" s="29" t="inlineStr">
        <is>
          <t>44151413</t>
        </is>
      </c>
      <c r="AV546" s="29" t="n">
        <v>1</v>
      </c>
      <c r="AW546" s="29" t="inlineStr">
        <is>
          <t>ROWS:p63r18 VALUE_COL:Valor_Atualizado CASE_NUMBER_CORRECTED</t>
        </is>
      </c>
    </row>
    <row r="547">
      <c r="A547" s="15" t="inlineStr">
        <is>
          <t>DXS GESTAO E CONSULTORIA EMPRESARIAL LTDA</t>
        </is>
      </c>
      <c r="B547" s="16" t="n">
        <v>219405.51</v>
      </c>
      <c r="C547" s="17" t="inlineStr">
        <is>
          <t>VECTOR INDUSTRIA DE PRODUTOS METALURGICOS LTDA - EM RECUPERACAO JUDICIAL</t>
        </is>
      </c>
      <c r="D547" s="18" t="inlineStr">
        <is>
          <t>NEW</t>
        </is>
      </c>
      <c r="E547" s="19" t="inlineStr"/>
      <c r="F547" s="18" t="inlineStr"/>
      <c r="G547" s="19" t="inlineStr"/>
      <c r="H547" s="18" t="inlineStr"/>
      <c r="I547" s="20" t="inlineStr">
        <is>
          <t>ROSANA FERNANDES PACHECO</t>
        </is>
      </c>
      <c r="J547" s="20" t="inlineStr">
        <is>
          <t>Administrador</t>
        </is>
      </c>
      <c r="K547" s="20" t="inlineStr">
        <is>
          <t>(11) 4114-8566</t>
        </is>
      </c>
      <c r="L547" s="20" t="inlineStr"/>
      <c r="M547" s="20" t="inlineStr"/>
      <c r="N547" s="20" t="inlineStr"/>
      <c r="O547" s="20" t="inlineStr"/>
      <c r="P547" s="20" t="inlineStr"/>
      <c r="Q547" s="20" t="inlineStr"/>
      <c r="R547" s="20" t="inlineStr"/>
      <c r="S547" s="20" t="inlineStr"/>
      <c r="T547" s="21" t="n">
        <v>219405.51</v>
      </c>
      <c r="U547" s="31" t="inlineStr">
        <is>
          <t>C</t>
        </is>
      </c>
      <c r="V547" s="23">
        <f>IFERROR(VLOOKUP(U547,Assumptions!$A$7:$D$11,2,FALSE),0)</f>
        <v/>
      </c>
      <c r="W547" s="24">
        <f>MAX(0.5,IFERROR(VLOOKUP(U547,Assumptions!$A$7:$D$11,3,FALSE),3)+IFERROR(VLOOKUP(U547,Assumptions!$A$7:$D$11,4,FALSE),8)/2-IF(AN547="",0,YEAR(TODAY())-AN547))</f>
        <v/>
      </c>
      <c r="X547" s="21">
        <f>T547*V547/(1+Assumptions!$B$3)^W547</f>
        <v/>
      </c>
      <c r="Y547" s="25">
        <f>IF(T547=0,"",ROUND(X547/T547*100,1))</f>
        <v/>
      </c>
      <c r="Z547" s="26">
        <f>X547*Assumptions!$B$4</f>
        <v/>
      </c>
      <c r="AA547" s="25">
        <f>IF(T547=0,"",ROUND(Z547/T547*100,1))</f>
        <v/>
      </c>
      <c r="AB547" s="26">
        <f>X547-Z547</f>
        <v/>
      </c>
      <c r="AC547" s="25">
        <f>IF(T547=0,"",ROUND((X547-Z547)/T547*100,1))</f>
        <v/>
      </c>
      <c r="AD547" s="27" t="inlineStr">
        <is>
          <t>ESTIMATED</t>
        </is>
      </c>
      <c r="AE547" s="28" t="inlineStr">
        <is>
          <t>https://scalzilliaj.com.br/sgc/download.php?file=files/processo_documento/processo_documento15513401112022_1_.pdf&amp;nome=15 - Edital do art. 7º, §2º (segunda lista de credores) e do art. 53 da Lei 11.101/2005 (recebimento do plano)</t>
        </is>
      </c>
      <c r="AF547" s="27" t="inlineStr">
        <is>
          <t>p6 r36</t>
        </is>
      </c>
      <c r="AG547" s="27" t="inlineStr">
        <is>
          <t>p6: R$ 219.405,51</t>
        </is>
      </c>
      <c r="AH547" s="27" t="inlineStr">
        <is>
          <t>AJ_LIST</t>
        </is>
      </c>
      <c r="AI547" s="27" t="inlineStr">
        <is>
          <t>2022-11-01</t>
        </is>
      </c>
      <c r="AJ547" s="27" t="inlineStr">
        <is>
          <t>OK_NO_TOTALS</t>
        </is>
      </c>
      <c r="AK547" s="29" t="inlineStr">
        <is>
          <t>5014104-85.2021.8.21.0010</t>
        </is>
      </c>
      <c r="AL547" s="29" t="inlineStr">
        <is>
          <t>TJRS</t>
        </is>
      </c>
      <c r="AM547" s="29" t="inlineStr">
        <is>
          <t>ACTIVE</t>
        </is>
      </c>
      <c r="AN547" s="29" t="n">
        <v>2021</v>
      </c>
      <c r="AO547" s="29" t="inlineStr">
        <is>
          <t>5y since filing, no plan document</t>
        </is>
      </c>
      <c r="AP547" s="29" t="inlineStr">
        <is>
          <t>SAO PAULO</t>
        </is>
      </c>
      <c r="AQ547" s="29" t="inlineStr">
        <is>
          <t>SP</t>
        </is>
      </c>
      <c r="AR547" s="29" t="inlineStr">
        <is>
          <t>Consultoria em tecnologia da informação</t>
        </is>
      </c>
      <c r="AS547" s="29" t="inlineStr">
        <is>
          <t>DEMAIS</t>
        </is>
      </c>
      <c r="AT547" s="29" t="inlineStr">
        <is>
          <t>MID-MARKET</t>
        </is>
      </c>
      <c r="AU547" s="29" t="inlineStr">
        <is>
          <t>30177427</t>
        </is>
      </c>
      <c r="AV547" s="29" t="n">
        <v>1</v>
      </c>
      <c r="AW547" s="29" t="inlineStr">
        <is>
          <t>ROWS:p6r36 UNRECONCILED_SOURCE</t>
        </is>
      </c>
    </row>
    <row r="548">
      <c r="A548" s="15" t="inlineStr">
        <is>
          <t>LAPONIA SUDESTE LTDA.</t>
        </is>
      </c>
      <c r="B548" s="16" t="n">
        <v>316198.79</v>
      </c>
      <c r="C548" s="17" t="inlineStr"/>
      <c r="D548" s="18" t="inlineStr">
        <is>
          <t>NEW</t>
        </is>
      </c>
      <c r="E548" s="19" t="inlineStr"/>
      <c r="F548" s="18" t="inlineStr"/>
      <c r="G548" s="19" t="inlineStr"/>
      <c r="H548" s="18" t="inlineStr"/>
      <c r="I548" s="20" t="inlineStr">
        <is>
          <t>Rosane Pafetti</t>
        </is>
      </c>
      <c r="J548" s="20" t="inlineStr">
        <is>
          <t>Administrative Coordinator</t>
        </is>
      </c>
      <c r="K548" s="20" t="inlineStr">
        <is>
          <t>(11) 4026-9800</t>
        </is>
      </c>
      <c r="L548" s="20" t="inlineStr">
        <is>
          <t>(11) 4026-9810</t>
        </is>
      </c>
      <c r="M548" s="20" t="inlineStr"/>
      <c r="N548" s="20" t="inlineStr"/>
      <c r="O548" s="20" t="inlineStr"/>
      <c r="P548" s="20" t="inlineStr">
        <is>
          <t>ALCIDES RIBAS CAVALCANTI</t>
        </is>
      </c>
      <c r="Q548" s="20" t="inlineStr">
        <is>
          <t>Administrador</t>
        </is>
      </c>
      <c r="R548" s="20" t="inlineStr">
        <is>
          <t>(11) 4026-9810</t>
        </is>
      </c>
      <c r="S548" s="20" t="inlineStr"/>
      <c r="T548" s="21" t="n">
        <v>316198.79</v>
      </c>
      <c r="U548" s="30" t="inlineStr">
        <is>
          <t>?</t>
        </is>
      </c>
      <c r="V548" s="23">
        <f>IFERROR(VLOOKUP(U548,Assumptions!$A$7:$D$11,2,FALSE),0)</f>
        <v/>
      </c>
      <c r="W548" s="24">
        <f>MAX(0.5,IFERROR(VLOOKUP(U548,Assumptions!$A$7:$D$11,3,FALSE),3)+IFERROR(VLOOKUP(U548,Assumptions!$A$7:$D$11,4,FALSE),8)/2-IF(AN548="",0,YEAR(TODAY())-AN548))</f>
        <v/>
      </c>
      <c r="X548" s="21">
        <f>T548*V548/(1+Assumptions!$B$3)^W548</f>
        <v/>
      </c>
      <c r="Y548" s="25">
        <f>IF(T548=0,"",ROUND(X548/T548*100,1))</f>
        <v/>
      </c>
      <c r="Z548" s="26">
        <f>X548*Assumptions!$B$4</f>
        <v/>
      </c>
      <c r="AA548" s="25">
        <f>IF(T548=0,"",ROUND(Z548/T548*100,1))</f>
        <v/>
      </c>
      <c r="AB548" s="26">
        <f>X548-Z548</f>
        <v/>
      </c>
      <c r="AC548" s="25">
        <f>IF(T548=0,"",ROUND((X548-Z548)/T548*100,1))</f>
        <v/>
      </c>
      <c r="AD548" s="27" t="inlineStr">
        <is>
          <t>UNKNOWN</t>
        </is>
      </c>
      <c r="AE548" s="28" t="inlineStr">
        <is>
          <t>https://ajruiz.com.br/sites/default/files/public/arquivos-processos/2023-11/4_relacao_de_credores_analitica_art._51_iii_da_lre.pdf</t>
        </is>
      </c>
      <c r="AF548" s="27" t="inlineStr">
        <is>
          <t>p3 r24; p3 r25</t>
        </is>
      </c>
      <c r="AG548" s="27" t="inlineStr">
        <is>
          <t>p3: R$ 111.893,80; p3: R$ 204.304,99</t>
        </is>
      </c>
      <c r="AH548" s="27" t="inlineStr">
        <is>
          <t>UNKNOWN</t>
        </is>
      </c>
      <c r="AI548" s="27" t="inlineStr"/>
      <c r="AJ548" s="27" t="inlineStr">
        <is>
          <t>OK</t>
        </is>
      </c>
      <c r="AK548" s="29" t="inlineStr">
        <is>
          <t>(not printed)</t>
        </is>
      </c>
      <c r="AL548" s="29" t="inlineStr"/>
      <c r="AM548" s="29" t="inlineStr"/>
      <c r="AN548" s="29" t="inlineStr"/>
      <c r="AO548" s="29" t="inlineStr">
        <is>
          <t>RJ case number not identified on the document</t>
        </is>
      </c>
      <c r="AP548" s="29" t="inlineStr">
        <is>
          <t>ITU</t>
        </is>
      </c>
      <c r="AQ548" s="29" t="inlineStr">
        <is>
          <t>SP</t>
        </is>
      </c>
      <c r="AR548" s="29" t="inlineStr">
        <is>
          <t>Comércio por atacado de caminhões novos e usados</t>
        </is>
      </c>
      <c r="AS548" s="29" t="inlineStr">
        <is>
          <t>DEMAIS</t>
        </is>
      </c>
      <c r="AT548" s="29" t="inlineStr">
        <is>
          <t>MID-MARKET</t>
        </is>
      </c>
      <c r="AU548" s="29" t="inlineStr">
        <is>
          <t>04422548</t>
        </is>
      </c>
      <c r="AV548" s="29" t="n">
        <v>2</v>
      </c>
      <c r="AW548" s="29" t="inlineStr">
        <is>
          <t>ROWS:p3r24,p3r25 CASE_NUMBER_CORRECTED</t>
        </is>
      </c>
    </row>
    <row r="549">
      <c r="A549" s="15" t="inlineStr">
        <is>
          <t>PARVI LOCADORA S.A</t>
        </is>
      </c>
      <c r="B549" s="16" t="n">
        <v>311892.18</v>
      </c>
      <c r="C549" s="17" t="inlineStr">
        <is>
          <t>EGESA ENGENHARIA S/A (Consórcio ETDI)</t>
        </is>
      </c>
      <c r="D549" s="18" t="inlineStr">
        <is>
          <t>NEW</t>
        </is>
      </c>
      <c r="E549" s="19" t="inlineStr"/>
      <c r="F549" s="18" t="inlineStr"/>
      <c r="G549" s="19" t="inlineStr"/>
      <c r="H549" s="18" t="inlineStr"/>
      <c r="I549" s="20" t="inlineStr">
        <is>
          <t>Bruna Buonafina</t>
        </is>
      </c>
      <c r="J549" s="20" t="inlineStr">
        <is>
          <t>Diretora Financeira / Gerente de Tesouraria</t>
        </is>
      </c>
      <c r="K549" s="20" t="inlineStr">
        <is>
          <t>(81) 3256-6100</t>
        </is>
      </c>
      <c r="L549" s="20" t="inlineStr"/>
      <c r="M549" s="20" t="inlineStr"/>
      <c r="N549" s="20" t="inlineStr">
        <is>
          <t>bruna@parvi.com.br</t>
        </is>
      </c>
      <c r="O549" s="20" t="inlineStr">
        <is>
          <t>rita.correia@parvi.com.br</t>
        </is>
      </c>
      <c r="P549" s="20" t="inlineStr">
        <is>
          <t>Rita Correia</t>
        </is>
      </c>
      <c r="Q549" s="20" t="inlineStr">
        <is>
          <t>Supervisora de Crédito e Cobrança</t>
        </is>
      </c>
      <c r="R549" s="20" t="inlineStr"/>
      <c r="S549" s="20" t="inlineStr">
        <is>
          <t>rita.correia@parvi.com.br</t>
        </is>
      </c>
      <c r="T549" s="21" t="n">
        <v>311892.18</v>
      </c>
      <c r="U549" s="30" t="inlineStr">
        <is>
          <t>?</t>
        </is>
      </c>
      <c r="V549" s="23">
        <f>IFERROR(VLOOKUP(U549,Assumptions!$A$7:$D$11,2,FALSE),0)</f>
        <v/>
      </c>
      <c r="W549" s="24">
        <f>MAX(0.5,IFERROR(VLOOKUP(U549,Assumptions!$A$7:$D$11,3,FALSE),3)+IFERROR(VLOOKUP(U549,Assumptions!$A$7:$D$11,4,FALSE),8)/2-IF(AN549="",0,YEAR(TODAY())-AN549))</f>
        <v/>
      </c>
      <c r="X549" s="21">
        <f>T549*V549/(1+Assumptions!$B$3)^W549</f>
        <v/>
      </c>
      <c r="Y549" s="25">
        <f>IF(T549=0,"",ROUND(X549/T549*100,1))</f>
        <v/>
      </c>
      <c r="Z549" s="26">
        <f>X549*Assumptions!$B$4</f>
        <v/>
      </c>
      <c r="AA549" s="25">
        <f>IF(T549=0,"",ROUND(Z549/T549*100,1))</f>
        <v/>
      </c>
      <c r="AB549" s="26">
        <f>X549-Z549</f>
        <v/>
      </c>
      <c r="AC549" s="25">
        <f>IF(T549=0,"",ROUND((X549-Z549)/T549*100,1))</f>
        <v/>
      </c>
      <c r="AD549" s="27" t="inlineStr">
        <is>
          <t>UNKNOWN</t>
        </is>
      </c>
      <c r="AE549" s="28" t="inlineStr">
        <is>
          <t>https://scalzilliaj.com.br/sgc/download.php?file=files/processo_documento/processo_documento09514021082025_1_.pdf&amp;nome=04 - Relação de credores das Recuperandas</t>
        </is>
      </c>
      <c r="AF549" s="27" t="inlineStr">
        <is>
          <t>p69 r5; p69 r6</t>
        </is>
      </c>
      <c r="AG549" s="27" t="inlineStr">
        <is>
          <t>p69: R$ 225.397,01; p69: R$ 86.495,17</t>
        </is>
      </c>
      <c r="AH549" s="27" t="inlineStr">
        <is>
          <t>DEBTOR_LIST</t>
        </is>
      </c>
      <c r="AI549" s="27" t="inlineStr"/>
      <c r="AJ549" s="27" t="inlineStr">
        <is>
          <t>OK</t>
        </is>
      </c>
      <c r="AK549" s="29" t="inlineStr">
        <is>
          <t>(not printed)</t>
        </is>
      </c>
      <c r="AL549" s="29" t="inlineStr"/>
      <c r="AM549" s="29" t="inlineStr"/>
      <c r="AN549" s="29" t="inlineStr"/>
      <c r="AO549" s="29" t="inlineStr">
        <is>
          <t>RJ case number not identified on the document</t>
        </is>
      </c>
      <c r="AP549" s="29" t="inlineStr">
        <is>
          <t>RECIFE</t>
        </is>
      </c>
      <c r="AQ549" s="29" t="inlineStr">
        <is>
          <t>PE</t>
        </is>
      </c>
      <c r="AR549" s="29" t="inlineStr">
        <is>
          <t>Locação de automóveis sem condutor</t>
        </is>
      </c>
      <c r="AS549" s="29" t="inlineStr">
        <is>
          <t>DEMAIS</t>
        </is>
      </c>
      <c r="AT549" s="29" t="inlineStr">
        <is>
          <t>LARGE CORP</t>
        </is>
      </c>
      <c r="AU549" s="29" t="inlineStr">
        <is>
          <t>08228146</t>
        </is>
      </c>
      <c r="AV549" s="29" t="n">
        <v>2</v>
      </c>
      <c r="AW549" s="29" t="inlineStr">
        <is>
          <t>ROWS:p69r5,p69r6 VALUE_COL:Valor_Atualizado CASE_NUMBER_CORRECTED</t>
        </is>
      </c>
    </row>
    <row r="550">
      <c r="A550" s="15" t="inlineStr">
        <is>
          <t>SAFEGOLD GERENCIAMENTO DE CAPITAL LTDA</t>
        </is>
      </c>
      <c r="B550" s="16" t="n">
        <v>203501.15</v>
      </c>
      <c r="C550" s="17" t="inlineStr">
        <is>
          <t>VECTOR INDUSTRIA DE PRODUTOS METALURGICOS LTDA - EM RECUPERACAO JUDICIAL</t>
        </is>
      </c>
      <c r="D550" s="18" t="inlineStr">
        <is>
          <t>NEW</t>
        </is>
      </c>
      <c r="E550" s="19" t="inlineStr"/>
      <c r="F550" s="18" t="inlineStr"/>
      <c r="G550" s="19" t="inlineStr"/>
      <c r="H550" s="18" t="inlineStr"/>
      <c r="I550" s="20" t="inlineStr">
        <is>
          <t>EZEQUIEL DOUGLAS WILBERT</t>
        </is>
      </c>
      <c r="J550" s="20" t="inlineStr">
        <is>
          <t>Sócio-Administrador</t>
        </is>
      </c>
      <c r="K550" s="20" t="inlineStr">
        <is>
          <t>(41) 3500-8044</t>
        </is>
      </c>
      <c r="L550" s="20" t="inlineStr"/>
      <c r="M550" s="20" t="inlineStr"/>
      <c r="N550" s="20" t="inlineStr"/>
      <c r="O550" s="20" t="inlineStr"/>
      <c r="P550" s="20" t="inlineStr"/>
      <c r="Q550" s="20" t="inlineStr"/>
      <c r="R550" s="20" t="inlineStr"/>
      <c r="S550" s="20" t="inlineStr"/>
      <c r="T550" s="21" t="n">
        <v>203501.15</v>
      </c>
      <c r="U550" s="31" t="inlineStr">
        <is>
          <t>C</t>
        </is>
      </c>
      <c r="V550" s="23">
        <f>IFERROR(VLOOKUP(U550,Assumptions!$A$7:$D$11,2,FALSE),0)</f>
        <v/>
      </c>
      <c r="W550" s="24">
        <f>MAX(0.5,IFERROR(VLOOKUP(U550,Assumptions!$A$7:$D$11,3,FALSE),3)+IFERROR(VLOOKUP(U550,Assumptions!$A$7:$D$11,4,FALSE),8)/2-IF(AN550="",0,YEAR(TODAY())-AN550))</f>
        <v/>
      </c>
      <c r="X550" s="21">
        <f>T550*V550/(1+Assumptions!$B$3)^W550</f>
        <v/>
      </c>
      <c r="Y550" s="25">
        <f>IF(T550=0,"",ROUND(X550/T550*100,1))</f>
        <v/>
      </c>
      <c r="Z550" s="26">
        <f>X550*Assumptions!$B$4</f>
        <v/>
      </c>
      <c r="AA550" s="25">
        <f>IF(T550=0,"",ROUND(Z550/T550*100,1))</f>
        <v/>
      </c>
      <c r="AB550" s="26">
        <f>X550-Z550</f>
        <v/>
      </c>
      <c r="AC550" s="25">
        <f>IF(T550=0,"",ROUND((X550-Z550)/T550*100,1))</f>
        <v/>
      </c>
      <c r="AD550" s="27" t="inlineStr">
        <is>
          <t>ESTIMATED</t>
        </is>
      </c>
      <c r="AE550" s="28" t="inlineStr">
        <is>
          <t>https://scalzilliaj.com.br/sgc/download.php?file=files/processo_documento/processo_documento15513401112022_1_.pdf&amp;nome=15 - Edital do art. 7º, §2º (segunda lista de credores) e do art. 53 da Lei 11.101/2005 (recebimento do plano)</t>
        </is>
      </c>
      <c r="AF550" s="27" t="inlineStr">
        <is>
          <t>p9 r25</t>
        </is>
      </c>
      <c r="AG550" s="27" t="inlineStr">
        <is>
          <t>p9: R$ 203.501,15</t>
        </is>
      </c>
      <c r="AH550" s="27" t="inlineStr">
        <is>
          <t>AJ_LIST</t>
        </is>
      </c>
      <c r="AI550" s="27" t="inlineStr">
        <is>
          <t>2022-11-01</t>
        </is>
      </c>
      <c r="AJ550" s="27" t="inlineStr">
        <is>
          <t>OK_NO_TOTALS</t>
        </is>
      </c>
      <c r="AK550" s="29" t="inlineStr">
        <is>
          <t>5014104-85.2021.8.21.0010</t>
        </is>
      </c>
      <c r="AL550" s="29" t="inlineStr">
        <is>
          <t>TJRS</t>
        </is>
      </c>
      <c r="AM550" s="29" t="inlineStr">
        <is>
          <t>ACTIVE</t>
        </is>
      </c>
      <c r="AN550" s="29" t="n">
        <v>2021</v>
      </c>
      <c r="AO550" s="29" t="inlineStr">
        <is>
          <t>5y since filing, no plan document</t>
        </is>
      </c>
      <c r="AP550" s="29" t="inlineStr">
        <is>
          <t>CURITIBA</t>
        </is>
      </c>
      <c r="AQ550" s="29" t="inlineStr">
        <is>
          <t>PR</t>
        </is>
      </c>
      <c r="AR550" s="29" t="inlineStr">
        <is>
          <t>Atividades de consultoria em gestão empresarial, exceto consultoria técnica específica</t>
        </is>
      </c>
      <c r="AS550" s="29" t="inlineStr">
        <is>
          <t>DEMAIS</t>
        </is>
      </c>
      <c r="AT550" s="29" t="inlineStr">
        <is>
          <t>MID-MARKET</t>
        </is>
      </c>
      <c r="AU550" s="29" t="inlineStr">
        <is>
          <t>13177802</t>
        </is>
      </c>
      <c r="AV550" s="29" t="n">
        <v>1</v>
      </c>
      <c r="AW550" s="29" t="inlineStr">
        <is>
          <t>ROWS:p9r25 UNRECONCILED_SOURCE</t>
        </is>
      </c>
    </row>
    <row r="551">
      <c r="A551" s="15" t="inlineStr">
        <is>
          <t>WEG LINHARES EQUIPAMENTOS ELETRICOS S/A</t>
        </is>
      </c>
      <c r="B551" s="16" t="n">
        <v>200577.9</v>
      </c>
      <c r="C551" s="17" t="inlineStr">
        <is>
          <t>VECTOR INDUSTRIA DE PRODUTOS METALURGICOS LTDA - EM RECUPERACAO JUDICIAL</t>
        </is>
      </c>
      <c r="D551" s="18" t="inlineStr">
        <is>
          <t>NEW</t>
        </is>
      </c>
      <c r="E551" s="19" t="inlineStr"/>
      <c r="F551" s="18" t="inlineStr"/>
      <c r="G551" s="19" t="inlineStr"/>
      <c r="H551" s="18" t="inlineStr"/>
      <c r="I551" s="20" t="inlineStr">
        <is>
          <t>ANDRE LUIS RODRIGUES</t>
        </is>
      </c>
      <c r="J551" s="20" t="inlineStr">
        <is>
          <t>Diretor</t>
        </is>
      </c>
      <c r="K551" s="20" t="inlineStr">
        <is>
          <t>(27) 3048-1714</t>
        </is>
      </c>
      <c r="L551" s="20" t="inlineStr"/>
      <c r="M551" s="20" t="inlineStr"/>
      <c r="N551" s="20" t="inlineStr"/>
      <c r="O551" s="20" t="inlineStr"/>
      <c r="P551" s="20" t="inlineStr">
        <is>
          <t>JULIANO SALDANHA VARGAS</t>
        </is>
      </c>
      <c r="Q551" s="20" t="inlineStr">
        <is>
          <t>Diretor</t>
        </is>
      </c>
      <c r="R551" s="20" t="inlineStr">
        <is>
          <t>(27) 3048-1714</t>
        </is>
      </c>
      <c r="S551" s="20" t="inlineStr"/>
      <c r="T551" s="21" t="n">
        <v>200577.9</v>
      </c>
      <c r="U551" s="31" t="inlineStr">
        <is>
          <t>C</t>
        </is>
      </c>
      <c r="V551" s="23">
        <f>IFERROR(VLOOKUP(U551,Assumptions!$A$7:$D$11,2,FALSE),0)</f>
        <v/>
      </c>
      <c r="W551" s="24">
        <f>MAX(0.5,IFERROR(VLOOKUP(U551,Assumptions!$A$7:$D$11,3,FALSE),3)+IFERROR(VLOOKUP(U551,Assumptions!$A$7:$D$11,4,FALSE),8)/2-IF(AN551="",0,YEAR(TODAY())-AN551))</f>
        <v/>
      </c>
      <c r="X551" s="21">
        <f>T551*V551/(1+Assumptions!$B$3)^W551</f>
        <v/>
      </c>
      <c r="Y551" s="25">
        <f>IF(T551=0,"",ROUND(X551/T551*100,1))</f>
        <v/>
      </c>
      <c r="Z551" s="26">
        <f>X551*Assumptions!$B$4</f>
        <v/>
      </c>
      <c r="AA551" s="25">
        <f>IF(T551=0,"",ROUND(Z551/T551*100,1))</f>
        <v/>
      </c>
      <c r="AB551" s="26">
        <f>X551-Z551</f>
        <v/>
      </c>
      <c r="AC551" s="25">
        <f>IF(T551=0,"",ROUND((X551-Z551)/T551*100,1))</f>
        <v/>
      </c>
      <c r="AD551" s="27" t="inlineStr">
        <is>
          <t>ESTIMATED</t>
        </is>
      </c>
      <c r="AE551" s="28" t="inlineStr">
        <is>
          <t>https://scalzilliaj.com.br/sgc/download.php?file=files/processo_documento/processo_documento15513401112022_1_.pdf&amp;nome=15 - Edital do art. 7º, §2º (segunda lista de credores) e do art. 53 da Lei 11.101/2005 (recebimento do plano)</t>
        </is>
      </c>
      <c r="AF551" s="27" t="inlineStr">
        <is>
          <t>p10 r35</t>
        </is>
      </c>
      <c r="AG551" s="27" t="inlineStr">
        <is>
          <t>p10: R$ 200.577,90</t>
        </is>
      </c>
      <c r="AH551" s="27" t="inlineStr">
        <is>
          <t>AJ_LIST</t>
        </is>
      </c>
      <c r="AI551" s="27" t="inlineStr">
        <is>
          <t>2022-11-01</t>
        </is>
      </c>
      <c r="AJ551" s="27" t="inlineStr">
        <is>
          <t>OK_NO_TOTALS</t>
        </is>
      </c>
      <c r="AK551" s="29" t="inlineStr">
        <is>
          <t>5014104-85.2021.8.21.0010</t>
        </is>
      </c>
      <c r="AL551" s="29" t="inlineStr">
        <is>
          <t>TJRS</t>
        </is>
      </c>
      <c r="AM551" s="29" t="inlineStr">
        <is>
          <t>ACTIVE</t>
        </is>
      </c>
      <c r="AN551" s="29" t="n">
        <v>2021</v>
      </c>
      <c r="AO551" s="29" t="inlineStr">
        <is>
          <t>5y since filing, no plan document</t>
        </is>
      </c>
      <c r="AP551" s="29" t="inlineStr">
        <is>
          <t>LINHARES</t>
        </is>
      </c>
      <c r="AQ551" s="29" t="inlineStr">
        <is>
          <t>ES</t>
        </is>
      </c>
      <c r="AR551" s="29" t="inlineStr">
        <is>
          <t>Fabricação de motores elétricos, peças e acessórios</t>
        </is>
      </c>
      <c r="AS551" s="29" t="inlineStr">
        <is>
          <t>DEMAIS</t>
        </is>
      </c>
      <c r="AT551" s="29" t="inlineStr">
        <is>
          <t>LARGE CORP</t>
        </is>
      </c>
      <c r="AU551" s="29" t="inlineStr">
        <is>
          <t>10885321</t>
        </is>
      </c>
      <c r="AV551" s="29" t="n">
        <v>1</v>
      </c>
      <c r="AW551" s="29" t="inlineStr">
        <is>
          <t>ROWS:p10r35 UNRECONCILED_SOURCE</t>
        </is>
      </c>
    </row>
    <row r="552">
      <c r="A552" s="15" t="inlineStr">
        <is>
          <t>TECFLUX LTDA.</t>
        </is>
      </c>
      <c r="B552" s="16" t="n">
        <v>291540.68</v>
      </c>
      <c r="C552" s="17" t="inlineStr">
        <is>
          <t>EGESA ENGENHARIA S/A (Consórcio ETDI)</t>
        </is>
      </c>
      <c r="D552" s="18" t="inlineStr">
        <is>
          <t>NEW</t>
        </is>
      </c>
      <c r="E552" s="19" t="inlineStr"/>
      <c r="F552" s="18" t="inlineStr"/>
      <c r="G552" s="19" t="inlineStr"/>
      <c r="H552" s="18" t="inlineStr"/>
      <c r="I552" s="20" t="inlineStr">
        <is>
          <t>Mauricio Uyeda</t>
        </is>
      </c>
      <c r="J552" s="20" t="inlineStr">
        <is>
          <t>Head of F&amp;A</t>
        </is>
      </c>
      <c r="K552" s="20" t="inlineStr">
        <is>
          <t>(11) 2199-6965</t>
        </is>
      </c>
      <c r="L552" s="20" t="inlineStr"/>
      <c r="M552" s="20" t="inlineStr"/>
      <c r="N552" s="20" t="inlineStr">
        <is>
          <t>mauricio.uyeda@tecflux.com.br</t>
        </is>
      </c>
      <c r="O552" s="20" t="inlineStr">
        <is>
          <t>ailton.conceicao@tecflux.com.br</t>
        </is>
      </c>
      <c r="P552" s="20" t="inlineStr">
        <is>
          <t>Ailton Conceicao</t>
        </is>
      </c>
      <c r="Q552" s="20" t="inlineStr">
        <is>
          <t>Operations General Manager</t>
        </is>
      </c>
      <c r="R552" s="20" t="inlineStr"/>
      <c r="S552" s="20" t="inlineStr">
        <is>
          <t>ailton.conceicao@tecflux.com.br</t>
        </is>
      </c>
      <c r="T552" s="21" t="n">
        <v>291540.68</v>
      </c>
      <c r="U552" s="30" t="inlineStr">
        <is>
          <t>?</t>
        </is>
      </c>
      <c r="V552" s="23">
        <f>IFERROR(VLOOKUP(U552,Assumptions!$A$7:$D$11,2,FALSE),0)</f>
        <v/>
      </c>
      <c r="W552" s="24">
        <f>MAX(0.5,IFERROR(VLOOKUP(U552,Assumptions!$A$7:$D$11,3,FALSE),3)+IFERROR(VLOOKUP(U552,Assumptions!$A$7:$D$11,4,FALSE),8)/2-IF(AN552="",0,YEAR(TODAY())-AN552))</f>
        <v/>
      </c>
      <c r="X552" s="21">
        <f>T552*V552/(1+Assumptions!$B$3)^W552</f>
        <v/>
      </c>
      <c r="Y552" s="25">
        <f>IF(T552=0,"",ROUND(X552/T552*100,1))</f>
        <v/>
      </c>
      <c r="Z552" s="26">
        <f>X552*Assumptions!$B$4</f>
        <v/>
      </c>
      <c r="AA552" s="25">
        <f>IF(T552=0,"",ROUND(Z552/T552*100,1))</f>
        <v/>
      </c>
      <c r="AB552" s="26">
        <f>X552-Z552</f>
        <v/>
      </c>
      <c r="AC552" s="25">
        <f>IF(T552=0,"",ROUND((X552-Z552)/T552*100,1))</f>
        <v/>
      </c>
      <c r="AD552" s="27" t="inlineStr">
        <is>
          <t>UNKNOWN</t>
        </is>
      </c>
      <c r="AE552" s="28" t="inlineStr">
        <is>
          <t>https://scalzilliaj.com.br/sgc/download.php?file=files/processo_documento/processo_documento09514021082025_1_.pdf&amp;nome=04 - Relação de credores das Recuperandas</t>
        </is>
      </c>
      <c r="AF552" s="27" t="inlineStr">
        <is>
          <t>p74 r3; p74 r4</t>
        </is>
      </c>
      <c r="AG552" s="27" t="inlineStr">
        <is>
          <t>p74: R$ 227.901,38; p74: R$ 63.639,30</t>
        </is>
      </c>
      <c r="AH552" s="27" t="inlineStr">
        <is>
          <t>DEBTOR_LIST</t>
        </is>
      </c>
      <c r="AI552" s="27" t="inlineStr"/>
      <c r="AJ552" s="27" t="inlineStr">
        <is>
          <t>OK</t>
        </is>
      </c>
      <c r="AK552" s="29" t="inlineStr">
        <is>
          <t>(not printed)</t>
        </is>
      </c>
      <c r="AL552" s="29" t="inlineStr"/>
      <c r="AM552" s="29" t="inlineStr"/>
      <c r="AN552" s="29" t="inlineStr"/>
      <c r="AO552" s="29" t="inlineStr">
        <is>
          <t>RJ case number not identified on the document</t>
        </is>
      </c>
      <c r="AP552" s="29" t="inlineStr">
        <is>
          <t>CARAPICUIBA</t>
        </is>
      </c>
      <c r="AQ552" s="29" t="inlineStr">
        <is>
          <t>SP</t>
        </is>
      </c>
      <c r="AR552" s="29" t="inlineStr">
        <is>
          <t>Comércio atacadista de Máquinas e equipamentos para uso industrial; partes e peças</t>
        </is>
      </c>
      <c r="AS552" s="29" t="inlineStr">
        <is>
          <t>DEMAIS</t>
        </is>
      </c>
      <c r="AT552" s="29" t="inlineStr">
        <is>
          <t>MID-MARKET</t>
        </is>
      </c>
      <c r="AU552" s="29" t="inlineStr">
        <is>
          <t>60933017</t>
        </is>
      </c>
      <c r="AV552" s="29" t="n">
        <v>2</v>
      </c>
      <c r="AW552" s="29" t="inlineStr">
        <is>
          <t>ROWS:p74r3,p74r4 VALUE_COL:Valor_Atualizado CASE_NUMBER_CORRECTED</t>
        </is>
      </c>
    </row>
    <row r="553">
      <c r="A553" s="15" t="inlineStr">
        <is>
          <t>MAB - SP SERVICOS ADMINISTRATIVOS LTDA</t>
        </is>
      </c>
      <c r="B553" s="16" t="n">
        <v>288822.7</v>
      </c>
      <c r="C553" s="17" t="inlineStr">
        <is>
          <t>EGESA ENGENHARIA S/A (Consórcio ETDI)</t>
        </is>
      </c>
      <c r="D553" s="18" t="inlineStr">
        <is>
          <t>NEW</t>
        </is>
      </c>
      <c r="E553" s="19" t="inlineStr"/>
      <c r="F553" s="18" t="inlineStr"/>
      <c r="G553" s="19" t="inlineStr"/>
      <c r="H553" s="18" t="inlineStr"/>
      <c r="I553" s="20" t="inlineStr">
        <is>
          <t>GISELMA TATIANA DOS SANTOS DE ROSSI</t>
        </is>
      </c>
      <c r="J553" s="20" t="inlineStr">
        <is>
          <t>Sócio-Administrador</t>
        </is>
      </c>
      <c r="K553" s="20" t="inlineStr">
        <is>
          <t>(11) 4436-1775</t>
        </is>
      </c>
      <c r="L553" s="20" t="inlineStr"/>
      <c r="M553" s="20" t="inlineStr"/>
      <c r="N553" s="20" t="inlineStr"/>
      <c r="O553" s="20" t="inlineStr"/>
      <c r="P553" s="20" t="inlineStr"/>
      <c r="Q553" s="20" t="inlineStr"/>
      <c r="R553" s="20" t="inlineStr"/>
      <c r="S553" s="20" t="inlineStr"/>
      <c r="T553" s="21" t="n">
        <v>288822.7</v>
      </c>
      <c r="U553" s="30" t="inlineStr">
        <is>
          <t>?</t>
        </is>
      </c>
      <c r="V553" s="23">
        <f>IFERROR(VLOOKUP(U553,Assumptions!$A$7:$D$11,2,FALSE),0)</f>
        <v/>
      </c>
      <c r="W553" s="24">
        <f>MAX(0.5,IFERROR(VLOOKUP(U553,Assumptions!$A$7:$D$11,3,FALSE),3)+IFERROR(VLOOKUP(U553,Assumptions!$A$7:$D$11,4,FALSE),8)/2-IF(AN553="",0,YEAR(TODAY())-AN553))</f>
        <v/>
      </c>
      <c r="X553" s="21">
        <f>T553*V553/(1+Assumptions!$B$3)^W553</f>
        <v/>
      </c>
      <c r="Y553" s="25">
        <f>IF(T553=0,"",ROUND(X553/T553*100,1))</f>
        <v/>
      </c>
      <c r="Z553" s="26">
        <f>X553*Assumptions!$B$4</f>
        <v/>
      </c>
      <c r="AA553" s="25">
        <f>IF(T553=0,"",ROUND(Z553/T553*100,1))</f>
        <v/>
      </c>
      <c r="AB553" s="26">
        <f>X553-Z553</f>
        <v/>
      </c>
      <c r="AC553" s="25">
        <f>IF(T553=0,"",ROUND((X553-Z553)/T553*100,1))</f>
        <v/>
      </c>
      <c r="AD553" s="27" t="inlineStr">
        <is>
          <t>UNKNOWN</t>
        </is>
      </c>
      <c r="AE553" s="28" t="inlineStr">
        <is>
          <t>https://scalzilliaj.com.br/sgc/download.php?file=files/processo_documento/processo_documento09514021082025_1_.pdf&amp;nome=04 - Relação de credores das Recuperandas</t>
        </is>
      </c>
      <c r="AF553" s="27" t="inlineStr">
        <is>
          <t>p69 r8</t>
        </is>
      </c>
      <c r="AG553" s="27" t="inlineStr">
        <is>
          <t>p69: R$ 288.822,70</t>
        </is>
      </c>
      <c r="AH553" s="27" t="inlineStr">
        <is>
          <t>DEBTOR_LIST</t>
        </is>
      </c>
      <c r="AI553" s="27" t="inlineStr"/>
      <c r="AJ553" s="27" t="inlineStr">
        <is>
          <t>OK</t>
        </is>
      </c>
      <c r="AK553" s="29" t="inlineStr">
        <is>
          <t>(not printed)</t>
        </is>
      </c>
      <c r="AL553" s="29" t="inlineStr"/>
      <c r="AM553" s="29" t="inlineStr"/>
      <c r="AN553" s="29" t="inlineStr"/>
      <c r="AO553" s="29" t="inlineStr">
        <is>
          <t>RJ case number not identified on the document</t>
        </is>
      </c>
      <c r="AP553" s="29" t="inlineStr">
        <is>
          <t>BARUERI</t>
        </is>
      </c>
      <c r="AQ553" s="29" t="inlineStr">
        <is>
          <t>SP</t>
        </is>
      </c>
      <c r="AR553" s="29" t="inlineStr">
        <is>
          <t>Serviços combinados de escritório e apoio administrativo</t>
        </is>
      </c>
      <c r="AS553" s="29" t="inlineStr">
        <is>
          <t>EMPRESA DE PEQUENO PORTE</t>
        </is>
      </c>
      <c r="AT553" s="29" t="inlineStr">
        <is>
          <t>SMALL</t>
        </is>
      </c>
      <c r="AU553" s="29" t="inlineStr">
        <is>
          <t>01144076</t>
        </is>
      </c>
      <c r="AV553" s="29" t="n">
        <v>1</v>
      </c>
      <c r="AW553" s="29" t="inlineStr">
        <is>
          <t>ROWS:p69r8 VALUE_COL:Valor_Atualizado CASE_NUMBER_CORRECTED</t>
        </is>
      </c>
    </row>
    <row r="554">
      <c r="A554" s="15" t="inlineStr">
        <is>
          <t>RCA CONSTRUTORA LTDA EM RECUPERACAO JUDICIAL</t>
        </is>
      </c>
      <c r="B554" s="16" t="n">
        <v>280030.53</v>
      </c>
      <c r="C554" s="17" t="inlineStr">
        <is>
          <t>EGESA ENGENHARIA S/A (Consórcio ETDI)</t>
        </is>
      </c>
      <c r="D554" s="18" t="inlineStr">
        <is>
          <t>NEW</t>
        </is>
      </c>
      <c r="E554" s="19" t="inlineStr"/>
      <c r="F554" s="18" t="inlineStr"/>
      <c r="G554" s="19" t="inlineStr"/>
      <c r="H554" s="18" t="inlineStr"/>
      <c r="I554" s="20" t="inlineStr">
        <is>
          <t>ALTAMIR DE ARAUJO ROSO FILHO</t>
        </is>
      </c>
      <c r="J554" s="20" t="inlineStr">
        <is>
          <t>Sócio-Administrador</t>
        </is>
      </c>
      <c r="K554" s="20" t="inlineStr">
        <is>
          <t>(34) 3334-6600</t>
        </is>
      </c>
      <c r="L554" s="20" t="inlineStr"/>
      <c r="M554" s="20" t="inlineStr"/>
      <c r="N554" s="20" t="inlineStr"/>
      <c r="O554" s="20" t="inlineStr"/>
      <c r="P554" s="20" t="inlineStr">
        <is>
          <t>ELCION EMERENCIANO DE CASTRO</t>
        </is>
      </c>
      <c r="Q554" s="20" t="inlineStr">
        <is>
          <t>Sócio-Administrador</t>
        </is>
      </c>
      <c r="R554" s="20" t="inlineStr">
        <is>
          <t>(34) 3334-6600</t>
        </is>
      </c>
      <c r="S554" s="20" t="inlineStr"/>
      <c r="T554" s="21" t="n">
        <v>280030.53</v>
      </c>
      <c r="U554" s="30" t="inlineStr">
        <is>
          <t>?</t>
        </is>
      </c>
      <c r="V554" s="23">
        <f>IFERROR(VLOOKUP(U554,Assumptions!$A$7:$D$11,2,FALSE),0)</f>
        <v/>
      </c>
      <c r="W554" s="24">
        <f>MAX(0.5,IFERROR(VLOOKUP(U554,Assumptions!$A$7:$D$11,3,FALSE),3)+IFERROR(VLOOKUP(U554,Assumptions!$A$7:$D$11,4,FALSE),8)/2-IF(AN554="",0,YEAR(TODAY())-AN554))</f>
        <v/>
      </c>
      <c r="X554" s="21">
        <f>T554*V554/(1+Assumptions!$B$3)^W554</f>
        <v/>
      </c>
      <c r="Y554" s="25">
        <f>IF(T554=0,"",ROUND(X554/T554*100,1))</f>
        <v/>
      </c>
      <c r="Z554" s="26">
        <f>X554*Assumptions!$B$4</f>
        <v/>
      </c>
      <c r="AA554" s="25">
        <f>IF(T554=0,"",ROUND(Z554/T554*100,1))</f>
        <v/>
      </c>
      <c r="AB554" s="26">
        <f>X554-Z554</f>
        <v/>
      </c>
      <c r="AC554" s="25">
        <f>IF(T554=0,"",ROUND((X554-Z554)/T554*100,1))</f>
        <v/>
      </c>
      <c r="AD554" s="27" t="inlineStr">
        <is>
          <t>UNKNOWN</t>
        </is>
      </c>
      <c r="AE554" s="28" t="inlineStr">
        <is>
          <t>https://scalzilliaj.com.br/sgc/download.php?file=files/processo_documento/processo_documento09514021082025_1_.pdf&amp;nome=04 - Relação de credores das Recuperandas</t>
        </is>
      </c>
      <c r="AF554" s="27" t="inlineStr">
        <is>
          <t>p72 r3</t>
        </is>
      </c>
      <c r="AG554" s="27" t="inlineStr">
        <is>
          <t>p72: R$ 280.030,53</t>
        </is>
      </c>
      <c r="AH554" s="27" t="inlineStr">
        <is>
          <t>DEBTOR_LIST</t>
        </is>
      </c>
      <c r="AI554" s="27" t="inlineStr"/>
      <c r="AJ554" s="27" t="inlineStr">
        <is>
          <t>OK</t>
        </is>
      </c>
      <c r="AK554" s="29" t="inlineStr">
        <is>
          <t>(not printed)</t>
        </is>
      </c>
      <c r="AL554" s="29" t="inlineStr"/>
      <c r="AM554" s="29" t="inlineStr"/>
      <c r="AN554" s="29" t="inlineStr"/>
      <c r="AO554" s="29" t="inlineStr">
        <is>
          <t>RJ case number not identified on the document</t>
        </is>
      </c>
      <c r="AP554" s="29" t="inlineStr">
        <is>
          <t>UBERABA</t>
        </is>
      </c>
      <c r="AQ554" s="29" t="inlineStr">
        <is>
          <t>MG</t>
        </is>
      </c>
      <c r="AR554" s="29" t="inlineStr">
        <is>
          <t>Construção de edifícios</t>
        </is>
      </c>
      <c r="AS554" s="29" t="inlineStr">
        <is>
          <t>DEMAIS</t>
        </is>
      </c>
      <c r="AT554" s="29" t="inlineStr">
        <is>
          <t>MID-MARKET</t>
        </is>
      </c>
      <c r="AU554" s="29" t="inlineStr">
        <is>
          <t>86559960</t>
        </is>
      </c>
      <c r="AV554" s="29" t="n">
        <v>1</v>
      </c>
      <c r="AW554" s="29" t="inlineStr">
        <is>
          <t>ROWS:p72r3 VALUE_COL:Valor_Atualizado CASE_NUMBER_CORRECTED</t>
        </is>
      </c>
    </row>
    <row r="555">
      <c r="A555" s="15" t="inlineStr">
        <is>
          <t>ECOPNEUS COMERCIO DE PNEUMATICOS E SERVICOS LTDA</t>
        </is>
      </c>
      <c r="B555" s="16" t="n">
        <v>265611.35</v>
      </c>
      <c r="C555" s="17" t="inlineStr">
        <is>
          <t>EGESA ENGENHARIA S/A (Consórcio ETDI)</t>
        </is>
      </c>
      <c r="D555" s="18" t="inlineStr">
        <is>
          <t>NEW</t>
        </is>
      </c>
      <c r="E555" s="19" t="inlineStr"/>
      <c r="F555" s="18" t="inlineStr"/>
      <c r="G555" s="19" t="inlineStr"/>
      <c r="H555" s="18" t="inlineStr"/>
      <c r="I555" s="20" t="inlineStr">
        <is>
          <t>ANTONIO VANDIMAR SIMOES</t>
        </is>
      </c>
      <c r="J555" s="20" t="inlineStr">
        <is>
          <t>Sócio-Administrador</t>
        </is>
      </c>
      <c r="K555" s="20" t="inlineStr"/>
      <c r="L555" s="20" t="inlineStr"/>
      <c r="M555" s="20" t="inlineStr"/>
      <c r="N555" s="20" t="inlineStr"/>
      <c r="O555" s="20" t="inlineStr"/>
      <c r="P555" s="20" t="inlineStr"/>
      <c r="Q555" s="20" t="inlineStr"/>
      <c r="R555" s="20" t="inlineStr"/>
      <c r="S555" s="20" t="inlineStr"/>
      <c r="T555" s="21" t="n">
        <v>265611.35</v>
      </c>
      <c r="U555" s="30" t="inlineStr">
        <is>
          <t>?</t>
        </is>
      </c>
      <c r="V555" s="23">
        <f>IFERROR(VLOOKUP(U555,Assumptions!$A$7:$D$11,2,FALSE),0)</f>
        <v/>
      </c>
      <c r="W555" s="24">
        <f>MAX(0.5,IFERROR(VLOOKUP(U555,Assumptions!$A$7:$D$11,3,FALSE),3)+IFERROR(VLOOKUP(U555,Assumptions!$A$7:$D$11,4,FALSE),8)/2-IF(AN555="",0,YEAR(TODAY())-AN555))</f>
        <v/>
      </c>
      <c r="X555" s="21">
        <f>T555*V555/(1+Assumptions!$B$3)^W555</f>
        <v/>
      </c>
      <c r="Y555" s="25">
        <f>IF(T555=0,"",ROUND(X555/T555*100,1))</f>
        <v/>
      </c>
      <c r="Z555" s="26">
        <f>X555*Assumptions!$B$4</f>
        <v/>
      </c>
      <c r="AA555" s="25">
        <f>IF(T555=0,"",ROUND(Z555/T555*100,1))</f>
        <v/>
      </c>
      <c r="AB555" s="26">
        <f>X555-Z555</f>
        <v/>
      </c>
      <c r="AC555" s="25">
        <f>IF(T555=0,"",ROUND((X555-Z555)/T555*100,1))</f>
        <v/>
      </c>
      <c r="AD555" s="27" t="inlineStr">
        <is>
          <t>UNKNOWN</t>
        </is>
      </c>
      <c r="AE555" s="28" t="inlineStr">
        <is>
          <t>https://scalzilliaj.com.br/sgc/download.php?file=files/processo_documento/processo_documento09514021082025_1_.pdf&amp;nome=04 - Relação de credores das Recuperandas</t>
        </is>
      </c>
      <c r="AF555" s="27" t="inlineStr">
        <is>
          <t>p65 r10</t>
        </is>
      </c>
      <c r="AG555" s="27" t="inlineStr">
        <is>
          <t>p65: R$ 265.611,35</t>
        </is>
      </c>
      <c r="AH555" s="27" t="inlineStr">
        <is>
          <t>DEBTOR_LIST</t>
        </is>
      </c>
      <c r="AI555" s="27" t="inlineStr"/>
      <c r="AJ555" s="27" t="inlineStr">
        <is>
          <t>OK</t>
        </is>
      </c>
      <c r="AK555" s="29" t="inlineStr">
        <is>
          <t>(not printed)</t>
        </is>
      </c>
      <c r="AL555" s="29" t="inlineStr"/>
      <c r="AM555" s="29" t="inlineStr"/>
      <c r="AN555" s="29" t="inlineStr"/>
      <c r="AO555" s="29" t="inlineStr">
        <is>
          <t>RJ case number not identified on the document</t>
        </is>
      </c>
      <c r="AP555" s="29" t="inlineStr">
        <is>
          <t>BARCARENA</t>
        </is>
      </c>
      <c r="AQ555" s="29" t="inlineStr">
        <is>
          <t>PA</t>
        </is>
      </c>
      <c r="AR555" s="29" t="inlineStr">
        <is>
          <t>Comércio por atacado de pneumáticos e câmaras-de-ar</t>
        </is>
      </c>
      <c r="AS555" s="29" t="inlineStr">
        <is>
          <t>DEMAIS</t>
        </is>
      </c>
      <c r="AT555" s="29" t="inlineStr">
        <is>
          <t>MID-MARKET</t>
        </is>
      </c>
      <c r="AU555" s="29" t="inlineStr">
        <is>
          <t>07478963</t>
        </is>
      </c>
      <c r="AV555" s="29" t="n">
        <v>1</v>
      </c>
      <c r="AW555" s="29" t="inlineStr">
        <is>
          <t>ROWS:p65r10 VALUE_COL:Valor_Atualizado CASE_NUMBER_CORRECTED</t>
        </is>
      </c>
    </row>
    <row r="556">
      <c r="A556" s="15" t="inlineStr">
        <is>
          <t>DOREMUS ALIMENTOS LTDA</t>
        </is>
      </c>
      <c r="B556" s="16" t="n">
        <v>235792.34</v>
      </c>
      <c r="C556" s="17" t="inlineStr"/>
      <c r="D556" s="18" t="inlineStr">
        <is>
          <t>NEW</t>
        </is>
      </c>
      <c r="E556" s="19" t="inlineStr"/>
      <c r="F556" s="18" t="inlineStr"/>
      <c r="G556" s="19" t="inlineStr"/>
      <c r="H556" s="18" t="inlineStr"/>
      <c r="I556" s="20" t="inlineStr">
        <is>
          <t>JOSE AUGUSTO SCHITTKOWSKI</t>
        </is>
      </c>
      <c r="J556" s="20" t="inlineStr">
        <is>
          <t>Administrador</t>
        </is>
      </c>
      <c r="K556" s="20" t="inlineStr">
        <is>
          <t>(11) 2436-3333</t>
        </is>
      </c>
      <c r="L556" s="20" t="inlineStr"/>
      <c r="M556" s="20" t="inlineStr"/>
      <c r="N556" s="20" t="inlineStr"/>
      <c r="O556" s="20" t="inlineStr"/>
      <c r="P556" s="20" t="inlineStr">
        <is>
          <t>MICHEL LOUIS GROJEAN</t>
        </is>
      </c>
      <c r="Q556" s="20" t="inlineStr">
        <is>
          <t>Administrador</t>
        </is>
      </c>
      <c r="R556" s="20" t="inlineStr">
        <is>
          <t>(11) 2436-3333</t>
        </is>
      </c>
      <c r="S556" s="20" t="inlineStr"/>
      <c r="T556" s="21" t="n">
        <v>235792.34</v>
      </c>
      <c r="U556" s="30" t="inlineStr">
        <is>
          <t>?</t>
        </is>
      </c>
      <c r="V556" s="23">
        <f>IFERROR(VLOOKUP(U556,Assumptions!$A$7:$D$11,2,FALSE),0)</f>
        <v/>
      </c>
      <c r="W556" s="24">
        <f>MAX(0.5,IFERROR(VLOOKUP(U556,Assumptions!$A$7:$D$11,3,FALSE),3)+IFERROR(VLOOKUP(U556,Assumptions!$A$7:$D$11,4,FALSE),8)/2-IF(AN556="",0,YEAR(TODAY())-AN556))</f>
        <v/>
      </c>
      <c r="X556" s="21">
        <f>T556*V556/(1+Assumptions!$B$3)^W556</f>
        <v/>
      </c>
      <c r="Y556" s="25">
        <f>IF(T556=0,"",ROUND(X556/T556*100,1))</f>
        <v/>
      </c>
      <c r="Z556" s="26">
        <f>X556*Assumptions!$B$4</f>
        <v/>
      </c>
      <c r="AA556" s="25">
        <f>IF(T556=0,"",ROUND(Z556/T556*100,1))</f>
        <v/>
      </c>
      <c r="AB556" s="26">
        <f>X556-Z556</f>
        <v/>
      </c>
      <c r="AC556" s="25">
        <f>IF(T556=0,"",ROUND((X556-Z556)/T556*100,1))</f>
        <v/>
      </c>
      <c r="AD556" s="27" t="inlineStr">
        <is>
          <t>UNKNOWN</t>
        </is>
      </c>
      <c r="AE556" s="28" t="inlineStr">
        <is>
          <t>http://bernardobicalho.com.br/login/app/documents/Rela%C3%A7%C3%A3o%20de%20Credores/6.%20RVC-%20Nutricium%20-%20simplificada.pdf</t>
        </is>
      </c>
      <c r="AF556" s="27" t="inlineStr">
        <is>
          <t>p3 r14</t>
        </is>
      </c>
      <c r="AG556" s="27" t="inlineStr">
        <is>
          <t>p3: R$ 235.792,34</t>
        </is>
      </c>
      <c r="AH556" s="27" t="inlineStr">
        <is>
          <t>AJ_LIST</t>
        </is>
      </c>
      <c r="AI556" s="27" t="inlineStr"/>
      <c r="AJ556" s="27" t="inlineStr">
        <is>
          <t>OK</t>
        </is>
      </c>
      <c r="AK556" s="29" t="inlineStr">
        <is>
          <t>(not printed)</t>
        </is>
      </c>
      <c r="AL556" s="29" t="inlineStr"/>
      <c r="AM556" s="29" t="inlineStr"/>
      <c r="AN556" s="29" t="inlineStr"/>
      <c r="AO556" s="29" t="inlineStr">
        <is>
          <t>RJ case number not identified on the document</t>
        </is>
      </c>
      <c r="AP556" s="29" t="inlineStr">
        <is>
          <t>GUARULHOS</t>
        </is>
      </c>
      <c r="AQ556" s="29" t="inlineStr">
        <is>
          <t>SP</t>
        </is>
      </c>
      <c r="AR556" s="29" t="inlineStr">
        <is>
          <t>Fabricação de outros produtos alimentícios não especificados anteriormente</t>
        </is>
      </c>
      <c r="AS556" s="29" t="inlineStr">
        <is>
          <t>DEMAIS</t>
        </is>
      </c>
      <c r="AT556" s="29" t="inlineStr">
        <is>
          <t>MID-MARKET</t>
        </is>
      </c>
      <c r="AU556" s="29" t="inlineStr">
        <is>
          <t>54289830</t>
        </is>
      </c>
      <c r="AV556" s="29" t="n">
        <v>1</v>
      </c>
      <c r="AW556" s="29" t="inlineStr">
        <is>
          <t>CASE_NUMBER_MISSING ROWS:p3r14</t>
        </is>
      </c>
    </row>
    <row r="557">
      <c r="A557" s="15" t="inlineStr">
        <is>
          <t>ALUMAQ LOCACAO E COMERCIO DE MAQUINAS DE SOLDA LTDA</t>
        </is>
      </c>
      <c r="B557" s="16" t="n">
        <v>231035.6</v>
      </c>
      <c r="C557" s="17" t="inlineStr">
        <is>
          <t>EGESA ENGENHARIA S/A (Consórcio ETDI)</t>
        </is>
      </c>
      <c r="D557" s="18" t="inlineStr">
        <is>
          <t>NEW</t>
        </is>
      </c>
      <c r="E557" s="19" t="inlineStr"/>
      <c r="F557" s="18" t="inlineStr"/>
      <c r="G557" s="19" t="inlineStr"/>
      <c r="H557" s="18" t="inlineStr"/>
      <c r="I557" s="20" t="inlineStr">
        <is>
          <t>EDUARDO GAMA TAMBURUS</t>
        </is>
      </c>
      <c r="J557" s="20" t="inlineStr">
        <is>
          <t>Sócio-Administrador</t>
        </is>
      </c>
      <c r="K557" s="20" t="inlineStr">
        <is>
          <t>(19) 3794-1201</t>
        </is>
      </c>
      <c r="L557" s="20" t="inlineStr"/>
      <c r="M557" s="20" t="inlineStr"/>
      <c r="N557" s="20" t="inlineStr"/>
      <c r="O557" s="20" t="inlineStr"/>
      <c r="P557" s="20" t="inlineStr">
        <is>
          <t>LUCAS GAMA TAMBURUS</t>
        </is>
      </c>
      <c r="Q557" s="20" t="inlineStr">
        <is>
          <t>Sócio-Administrador</t>
        </is>
      </c>
      <c r="R557" s="20" t="inlineStr">
        <is>
          <t>(19) 3794-1201</t>
        </is>
      </c>
      <c r="S557" s="20" t="inlineStr"/>
      <c r="T557" s="21" t="n">
        <v>231035.6</v>
      </c>
      <c r="U557" s="30" t="inlineStr">
        <is>
          <t>?</t>
        </is>
      </c>
      <c r="V557" s="23">
        <f>IFERROR(VLOOKUP(U557,Assumptions!$A$7:$D$11,2,FALSE),0)</f>
        <v/>
      </c>
      <c r="W557" s="24">
        <f>MAX(0.5,IFERROR(VLOOKUP(U557,Assumptions!$A$7:$D$11,3,FALSE),3)+IFERROR(VLOOKUP(U557,Assumptions!$A$7:$D$11,4,FALSE),8)/2-IF(AN557="",0,YEAR(TODAY())-AN557))</f>
        <v/>
      </c>
      <c r="X557" s="21">
        <f>T557*V557/(1+Assumptions!$B$3)^W557</f>
        <v/>
      </c>
      <c r="Y557" s="25">
        <f>IF(T557=0,"",ROUND(X557/T557*100,1))</f>
        <v/>
      </c>
      <c r="Z557" s="26">
        <f>X557*Assumptions!$B$4</f>
        <v/>
      </c>
      <c r="AA557" s="25">
        <f>IF(T557=0,"",ROUND(Z557/T557*100,1))</f>
        <v/>
      </c>
      <c r="AB557" s="26">
        <f>X557-Z557</f>
        <v/>
      </c>
      <c r="AC557" s="25">
        <f>IF(T557=0,"",ROUND((X557-Z557)/T557*100,1))</f>
        <v/>
      </c>
      <c r="AD557" s="27" t="inlineStr">
        <is>
          <t>UNKNOWN</t>
        </is>
      </c>
      <c r="AE557" s="28" t="inlineStr">
        <is>
          <t>https://scalzilliaj.com.br/sgc/download.php?file=files/processo_documento/processo_documento09514021082025_1_.pdf&amp;nome=04 - Relação de credores das Recuperandas</t>
        </is>
      </c>
      <c r="AF557" s="27" t="inlineStr">
        <is>
          <t>p62 r4</t>
        </is>
      </c>
      <c r="AG557" s="27" t="inlineStr">
        <is>
          <t>p62: R$ 231.035,60</t>
        </is>
      </c>
      <c r="AH557" s="27" t="inlineStr">
        <is>
          <t>DEBTOR_LIST</t>
        </is>
      </c>
      <c r="AI557" s="27" t="inlineStr"/>
      <c r="AJ557" s="27" t="inlineStr">
        <is>
          <t>OK</t>
        </is>
      </c>
      <c r="AK557" s="29" t="inlineStr">
        <is>
          <t>(not printed)</t>
        </is>
      </c>
      <c r="AL557" s="29" t="inlineStr"/>
      <c r="AM557" s="29" t="inlineStr"/>
      <c r="AN557" s="29" t="inlineStr"/>
      <c r="AO557" s="29" t="inlineStr">
        <is>
          <t>RJ case number not identified on the document</t>
        </is>
      </c>
      <c r="AP557" s="29" t="inlineStr">
        <is>
          <t>CAMPINAS</t>
        </is>
      </c>
      <c r="AQ557" s="29" t="inlineStr">
        <is>
          <t>SP</t>
        </is>
      </c>
      <c r="AR557" s="29" t="inlineStr">
        <is>
          <t>Comércio atacadista de Máquinas e equipamentos para uso industrial; partes e peças</t>
        </is>
      </c>
      <c r="AS557" s="29" t="inlineStr">
        <is>
          <t>DEMAIS</t>
        </is>
      </c>
      <c r="AT557" s="29" t="inlineStr">
        <is>
          <t>MID-MARKET</t>
        </is>
      </c>
      <c r="AU557" s="29" t="inlineStr">
        <is>
          <t>46991618</t>
        </is>
      </c>
      <c r="AV557" s="29" t="n">
        <v>1</v>
      </c>
      <c r="AW557" s="29" t="inlineStr">
        <is>
          <t>ROWS:p62r4 VALUE_COL:Valor_Atualizado CASE_NUMBER_CORRECTED</t>
        </is>
      </c>
    </row>
    <row r="558">
      <c r="A558" s="15" t="inlineStr">
        <is>
          <t>GEOQUEST BRASIL LTDA</t>
        </is>
      </c>
      <c r="B558" s="16" t="n">
        <v>220382.08</v>
      </c>
      <c r="C558" s="17" t="inlineStr">
        <is>
          <t>EGESA ENGENHARIA S/A (Consórcio ETDI)</t>
        </is>
      </c>
      <c r="D558" s="18" t="inlineStr">
        <is>
          <t>NEW</t>
        </is>
      </c>
      <c r="E558" s="19" t="inlineStr"/>
      <c r="F558" s="18" t="inlineStr"/>
      <c r="G558" s="19" t="inlineStr"/>
      <c r="H558" s="18" t="inlineStr"/>
      <c r="I558" s="20" t="inlineStr">
        <is>
          <t>BRUNO LUIZ MARSON FRANCO</t>
        </is>
      </c>
      <c r="J558" s="20" t="inlineStr">
        <is>
          <t>Administrador</t>
        </is>
      </c>
      <c r="K558" s="20" t="inlineStr">
        <is>
          <t>(21) 2233-7353</t>
        </is>
      </c>
      <c r="L558" s="20" t="inlineStr">
        <is>
          <t>(21) 2233-7354</t>
        </is>
      </c>
      <c r="M558" s="20" t="inlineStr"/>
      <c r="N558" s="20" t="inlineStr"/>
      <c r="O558" s="20" t="inlineStr"/>
      <c r="P558" s="20" t="inlineStr"/>
      <c r="Q558" s="20" t="inlineStr"/>
      <c r="R558" s="20" t="inlineStr"/>
      <c r="S558" s="20" t="inlineStr"/>
      <c r="T558" s="21" t="n">
        <v>220382.08</v>
      </c>
      <c r="U558" s="30" t="inlineStr">
        <is>
          <t>?</t>
        </is>
      </c>
      <c r="V558" s="23">
        <f>IFERROR(VLOOKUP(U558,Assumptions!$A$7:$D$11,2,FALSE),0)</f>
        <v/>
      </c>
      <c r="W558" s="24">
        <f>MAX(0.5,IFERROR(VLOOKUP(U558,Assumptions!$A$7:$D$11,3,FALSE),3)+IFERROR(VLOOKUP(U558,Assumptions!$A$7:$D$11,4,FALSE),8)/2-IF(AN558="",0,YEAR(TODAY())-AN558))</f>
        <v/>
      </c>
      <c r="X558" s="21">
        <f>T558*V558/(1+Assumptions!$B$3)^W558</f>
        <v/>
      </c>
      <c r="Y558" s="25">
        <f>IF(T558=0,"",ROUND(X558/T558*100,1))</f>
        <v/>
      </c>
      <c r="Z558" s="26">
        <f>X558*Assumptions!$B$4</f>
        <v/>
      </c>
      <c r="AA558" s="25">
        <f>IF(T558=0,"",ROUND(Z558/T558*100,1))</f>
        <v/>
      </c>
      <c r="AB558" s="26">
        <f>X558-Z558</f>
        <v/>
      </c>
      <c r="AC558" s="25">
        <f>IF(T558=0,"",ROUND((X558-Z558)/T558*100,1))</f>
        <v/>
      </c>
      <c r="AD558" s="27" t="inlineStr">
        <is>
          <t>UNKNOWN</t>
        </is>
      </c>
      <c r="AE558" s="28" t="inlineStr">
        <is>
          <t>https://scalzilliaj.com.br/sgc/download.php?file=files/processo_documento/processo_documento09514021082025_1_.pdf&amp;nome=04 - Relação de credores das Recuperandas</t>
        </is>
      </c>
      <c r="AF558" s="27" t="inlineStr">
        <is>
          <t>p74 r6</t>
        </is>
      </c>
      <c r="AG558" s="27" t="inlineStr">
        <is>
          <t>p74: R$ 220.382,08</t>
        </is>
      </c>
      <c r="AH558" s="27" t="inlineStr">
        <is>
          <t>DEBTOR_LIST</t>
        </is>
      </c>
      <c r="AI558" s="27" t="inlineStr"/>
      <c r="AJ558" s="27" t="inlineStr">
        <is>
          <t>OK</t>
        </is>
      </c>
      <c r="AK558" s="29" t="inlineStr">
        <is>
          <t>(not printed)</t>
        </is>
      </c>
      <c r="AL558" s="29" t="inlineStr"/>
      <c r="AM558" s="29" t="inlineStr"/>
      <c r="AN558" s="29" t="inlineStr"/>
      <c r="AO558" s="29" t="inlineStr">
        <is>
          <t>RJ case number not identified on the document</t>
        </is>
      </c>
      <c r="AP558" s="29" t="inlineStr">
        <is>
          <t>RIO DE JANEIRO</t>
        </is>
      </c>
      <c r="AQ558" s="29" t="inlineStr">
        <is>
          <t>RJ</t>
        </is>
      </c>
      <c r="AR558" s="29" t="inlineStr">
        <is>
          <t>Outras obras de engenharia civil não especificadas anteriormente</t>
        </is>
      </c>
      <c r="AS558" s="29" t="inlineStr">
        <is>
          <t>DEMAIS</t>
        </is>
      </c>
      <c r="AT558" s="29" t="inlineStr">
        <is>
          <t>MID-MARKET</t>
        </is>
      </c>
      <c r="AU558" s="29" t="inlineStr">
        <is>
          <t>42470088</t>
        </is>
      </c>
      <c r="AV558" s="29" t="n">
        <v>1</v>
      </c>
      <c r="AW558" s="29" t="inlineStr">
        <is>
          <t>ROWS:p74r6 VALUE_COL:Valor_Atualizado CASE_NUMBER_CORRECTED</t>
        </is>
      </c>
    </row>
    <row r="559">
      <c r="A559" s="15" t="inlineStr">
        <is>
          <t>CANADA LOCADORA DE EQUIPAMENTOS LIMITADA</t>
        </is>
      </c>
      <c r="B559" s="16" t="n">
        <v>212769.31</v>
      </c>
      <c r="C559" s="17" t="inlineStr">
        <is>
          <t>EGESA ENGENHARIA S/A (Consórcio ETDI)</t>
        </is>
      </c>
      <c r="D559" s="18" t="inlineStr">
        <is>
          <t>NEW</t>
        </is>
      </c>
      <c r="E559" s="19" t="inlineStr"/>
      <c r="F559" s="18" t="inlineStr"/>
      <c r="G559" s="19" t="inlineStr"/>
      <c r="H559" s="18" t="inlineStr"/>
      <c r="I559" s="20" t="inlineStr">
        <is>
          <t>DANIELA ZIEGLER MAGALHAES</t>
        </is>
      </c>
      <c r="J559" s="20" t="inlineStr">
        <is>
          <t>Sócio-Administrador</t>
        </is>
      </c>
      <c r="K559" s="20" t="inlineStr">
        <is>
          <t>(31) 3589-4500</t>
        </is>
      </c>
      <c r="L559" s="20" t="inlineStr"/>
      <c r="M559" s="20" t="inlineStr"/>
      <c r="N559" s="20" t="inlineStr"/>
      <c r="O559" s="20" t="inlineStr"/>
      <c r="P559" s="20" t="inlineStr">
        <is>
          <t>GUILHERME RUGANI ZIEGLER</t>
        </is>
      </c>
      <c r="Q559" s="20" t="inlineStr">
        <is>
          <t>Sócio-Administrador</t>
        </is>
      </c>
      <c r="R559" s="20" t="inlineStr">
        <is>
          <t>(31) 3589-4500</t>
        </is>
      </c>
      <c r="S559" s="20" t="inlineStr"/>
      <c r="T559" s="21" t="n">
        <v>212769.31</v>
      </c>
      <c r="U559" s="30" t="inlineStr">
        <is>
          <t>?</t>
        </is>
      </c>
      <c r="V559" s="23">
        <f>IFERROR(VLOOKUP(U559,Assumptions!$A$7:$D$11,2,FALSE),0)</f>
        <v/>
      </c>
      <c r="W559" s="24">
        <f>MAX(0.5,IFERROR(VLOOKUP(U559,Assumptions!$A$7:$D$11,3,FALSE),3)+IFERROR(VLOOKUP(U559,Assumptions!$A$7:$D$11,4,FALSE),8)/2-IF(AN559="",0,YEAR(TODAY())-AN559))</f>
        <v/>
      </c>
      <c r="X559" s="21">
        <f>T559*V559/(1+Assumptions!$B$3)^W559</f>
        <v/>
      </c>
      <c r="Y559" s="25">
        <f>IF(T559=0,"",ROUND(X559/T559*100,1))</f>
        <v/>
      </c>
      <c r="Z559" s="26">
        <f>X559*Assumptions!$B$4</f>
        <v/>
      </c>
      <c r="AA559" s="25">
        <f>IF(T559=0,"",ROUND(Z559/T559*100,1))</f>
        <v/>
      </c>
      <c r="AB559" s="26">
        <f>X559-Z559</f>
        <v/>
      </c>
      <c r="AC559" s="25">
        <f>IF(T559=0,"",ROUND((X559-Z559)/T559*100,1))</f>
        <v/>
      </c>
      <c r="AD559" s="27" t="inlineStr">
        <is>
          <t>UNKNOWN</t>
        </is>
      </c>
      <c r="AE559" s="28" t="inlineStr">
        <is>
          <t>https://scalzilliaj.com.br/sgc/download.php?file=files/processo_documento/processo_documento09514021082025_1_.pdf&amp;nome=04 - Relação de credores das Recuperandas</t>
        </is>
      </c>
      <c r="AF559" s="27" t="inlineStr">
        <is>
          <t>p64 r2</t>
        </is>
      </c>
      <c r="AG559" s="27" t="inlineStr">
        <is>
          <t>p64: R$ 212.769,31</t>
        </is>
      </c>
      <c r="AH559" s="27" t="inlineStr">
        <is>
          <t>DEBTOR_LIST</t>
        </is>
      </c>
      <c r="AI559" s="27" t="inlineStr"/>
      <c r="AJ559" s="27" t="inlineStr">
        <is>
          <t>OK</t>
        </is>
      </c>
      <c r="AK559" s="29" t="inlineStr">
        <is>
          <t>(not printed)</t>
        </is>
      </c>
      <c r="AL559" s="29" t="inlineStr"/>
      <c r="AM559" s="29" t="inlineStr"/>
      <c r="AN559" s="29" t="inlineStr"/>
      <c r="AO559" s="29" t="inlineStr">
        <is>
          <t>RJ case number not identified on the document</t>
        </is>
      </c>
      <c r="AP559" s="29" t="inlineStr">
        <is>
          <t>NOVA LIMA</t>
        </is>
      </c>
      <c r="AQ559" s="29" t="inlineStr">
        <is>
          <t>MG</t>
        </is>
      </c>
      <c r="AR559" s="29" t="inlineStr">
        <is>
          <t>Fabricação de máquinas e equipamentos para uso industrial específico não especificados anteriormente, peças e acessórios</t>
        </is>
      </c>
      <c r="AS559" s="29" t="inlineStr">
        <is>
          <t>EMPRESA DE PEQUENO PORTE</t>
        </is>
      </c>
      <c r="AT559" s="29" t="inlineStr">
        <is>
          <t>SMALL</t>
        </is>
      </c>
      <c r="AU559" s="29" t="inlineStr">
        <is>
          <t>02694691</t>
        </is>
      </c>
      <c r="AV559" s="29" t="n">
        <v>1</v>
      </c>
      <c r="AW559" s="29" t="inlineStr">
        <is>
          <t>ROWS:p64r2 VALUE_COL:Valor_Atualizado CASE_NUMBER_CORRECTED</t>
        </is>
      </c>
    </row>
    <row r="560">
      <c r="A560" s="15" t="inlineStr">
        <is>
          <t>WAL CONSULTORIA AERONAUTICA LTDA</t>
        </is>
      </c>
      <c r="B560" s="16" t="n">
        <v>208303.18</v>
      </c>
      <c r="C560" s="17" t="inlineStr">
        <is>
          <t>EGESA ENGENHARIA S/A (Consórcio ETDI)</t>
        </is>
      </c>
      <c r="D560" s="18" t="inlineStr">
        <is>
          <t>NEW</t>
        </is>
      </c>
      <c r="E560" s="19" t="inlineStr"/>
      <c r="F560" s="18" t="inlineStr"/>
      <c r="G560" s="19" t="inlineStr"/>
      <c r="H560" s="18" t="inlineStr"/>
      <c r="I560" s="20" t="inlineStr">
        <is>
          <t>ADRIANE COSTA ZOGLIO</t>
        </is>
      </c>
      <c r="J560" s="20" t="inlineStr">
        <is>
          <t>Sócio-Administrador</t>
        </is>
      </c>
      <c r="K560" s="20" t="inlineStr">
        <is>
          <t>(31) 2536-4813</t>
        </is>
      </c>
      <c r="L560" s="20" t="inlineStr"/>
      <c r="M560" s="20" t="inlineStr"/>
      <c r="N560" s="20" t="inlineStr"/>
      <c r="O560" s="20" t="inlineStr"/>
      <c r="P560" s="20" t="inlineStr">
        <is>
          <t>WANDERSON LOUIS COSTA</t>
        </is>
      </c>
      <c r="Q560" s="20" t="inlineStr">
        <is>
          <t>Sócio-Administrador</t>
        </is>
      </c>
      <c r="R560" s="20" t="inlineStr">
        <is>
          <t>(31) 2536-4813</t>
        </is>
      </c>
      <c r="S560" s="20" t="inlineStr"/>
      <c r="T560" s="21" t="n">
        <v>208303.18</v>
      </c>
      <c r="U560" s="30" t="inlineStr">
        <is>
          <t>?</t>
        </is>
      </c>
      <c r="V560" s="23">
        <f>IFERROR(VLOOKUP(U560,Assumptions!$A$7:$D$11,2,FALSE),0)</f>
        <v/>
      </c>
      <c r="W560" s="24">
        <f>MAX(0.5,IFERROR(VLOOKUP(U560,Assumptions!$A$7:$D$11,3,FALSE),3)+IFERROR(VLOOKUP(U560,Assumptions!$A$7:$D$11,4,FALSE),8)/2-IF(AN560="",0,YEAR(TODAY())-AN560))</f>
        <v/>
      </c>
      <c r="X560" s="21">
        <f>T560*V560/(1+Assumptions!$B$3)^W560</f>
        <v/>
      </c>
      <c r="Y560" s="25">
        <f>IF(T560=0,"",ROUND(X560/T560*100,1))</f>
        <v/>
      </c>
      <c r="Z560" s="26">
        <f>X560*Assumptions!$B$4</f>
        <v/>
      </c>
      <c r="AA560" s="25">
        <f>IF(T560=0,"",ROUND(Z560/T560*100,1))</f>
        <v/>
      </c>
      <c r="AB560" s="26">
        <f>X560-Z560</f>
        <v/>
      </c>
      <c r="AC560" s="25">
        <f>IF(T560=0,"",ROUND((X560-Z560)/T560*100,1))</f>
        <v/>
      </c>
      <c r="AD560" s="27" t="inlineStr">
        <is>
          <t>UNKNOWN</t>
        </is>
      </c>
      <c r="AE560" s="28" t="inlineStr">
        <is>
          <t>https://scalzilliaj.com.br/sgc/download.php?file=files/processo_documento/processo_documento09514021082025_1_.pdf&amp;nome=04 - Relação de credores das Recuperandas</t>
        </is>
      </c>
      <c r="AF560" s="27" t="inlineStr">
        <is>
          <t>p76 r6</t>
        </is>
      </c>
      <c r="AG560" s="27" t="inlineStr">
        <is>
          <t>p76: R$ 208.303,18</t>
        </is>
      </c>
      <c r="AH560" s="27" t="inlineStr">
        <is>
          <t>DEBTOR_LIST</t>
        </is>
      </c>
      <c r="AI560" s="27" t="inlineStr"/>
      <c r="AJ560" s="27" t="inlineStr">
        <is>
          <t>OK</t>
        </is>
      </c>
      <c r="AK560" s="29" t="inlineStr">
        <is>
          <t>(not printed)</t>
        </is>
      </c>
      <c r="AL560" s="29" t="inlineStr"/>
      <c r="AM560" s="29" t="inlineStr"/>
      <c r="AN560" s="29" t="inlineStr"/>
      <c r="AO560" s="29" t="inlineStr">
        <is>
          <t>RJ case number not identified on the document</t>
        </is>
      </c>
      <c r="AP560" s="29" t="inlineStr">
        <is>
          <t>BELO HORIZONTE</t>
        </is>
      </c>
      <c r="AQ560" s="29" t="inlineStr">
        <is>
          <t>MG</t>
        </is>
      </c>
      <c r="AR560" s="29" t="inlineStr">
        <is>
          <t>Outras atividades profissionais, científicas e técnicas não especificadas anteriormente</t>
        </is>
      </c>
      <c r="AS560" s="29" t="inlineStr">
        <is>
          <t>DEMAIS</t>
        </is>
      </c>
      <c r="AT560" s="29" t="inlineStr">
        <is>
          <t>MID-MARKET</t>
        </is>
      </c>
      <c r="AU560" s="29" t="inlineStr">
        <is>
          <t>08464282</t>
        </is>
      </c>
      <c r="AV560" s="29" t="n">
        <v>1</v>
      </c>
      <c r="AW560" s="29" t="inlineStr">
        <is>
          <t>ROWS:p76r6 VALUE_COL:Valor_Atualizado CASE_NUMBER_CORRECTED</t>
        </is>
      </c>
    </row>
  </sheetData>
  <autoFilter ref="A1:AW560"/>
  <conditionalFormatting sqref="D2:D560">
    <cfRule type="cellIs" priority="1" operator="equal" dxfId="0">
      <formula>"DEAL"</formula>
    </cfRule>
    <cfRule type="cellIs" priority="2" operator="equal" dxfId="0">
      <formula>"INTERESTED"</formula>
    </cfRule>
    <cfRule type="cellIs" priority="3" operator="equal" dxfId="1">
      <formula>"DEAD"</formula>
    </cfRule>
    <cfRule type="cellIs" priority="4" operator="equal" dxfId="1">
      <formula>"NOT INTERESTED"</formula>
    </cfRule>
  </conditionalFormatting>
  <conditionalFormatting sqref="G2:G560">
    <cfRule type="expression" priority="5" dxfId="1">
      <formula>AND(G2&lt;&gt;"",G2&lt;TODAY(),D2&lt;&gt;"DEAD",D2&lt;&gt;"DEAL")</formula>
    </cfRule>
    <cfRule type="expression" priority="6" dxfId="2">
      <formula>G2=TODAY()</formula>
    </cfRule>
  </conditionalFormatting>
  <dataValidations count="2">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showDropDown="0" showInputMessage="0" showErrorMessage="0" allowBlank="1" type="list">
      <formula1>"NEW,QUEUED,EMAILED,CALLED,VOICEMAIL,CONNECTED,INTERESTED,NOT INTERESTED,CALL BACK,DEAD,DEAL"</formula1>
    </dataValidation>
    <dataValidation sqref="U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U203 U204 U205 U206 U207 U208 U209 U210 U211 U212 U213 U214 U215 U216 U217 U218 U219 U220 U221 U222 U223 U224 U225 U226 U227 U228 U229 U230 U231 U232 U233 U234 U235 U236 U237 U238 U239 U240 U241 U242 U243 U244 U245 U246 U247 U248 U249 U250 U251 U252 U253 U254 U255 U256 U257 U258 U259 U260 U261 U262 U263 U264 U265 U266 U267 U268 U269 U270 U271 U272 U273 U274 U275 U276 U277 U278 U279 U280 U281 U282 U283 U284 U285 U286 U287 U288 U289 U290 U291 U292 U293 U294 U295 U296 U297 U298 U299 U300 U301 U302 U303 U304 U305 U306 U307 U308 U309 U310 U311 U312 U313 U314 U315 U316 U317 U318 U319 U320 U321 U322 U323 U324 U325 U326 U327 U328 U329 U330 U331 U332 U333 U334 U335 U336 U337 U338 U339 U340 U341 U342 U343 U344 U345 U346 U347 U348 U349 U350 U351 U352 U353 U354 U355 U356 U357 U358 U359 U360 U361 U362 U363 U364 U365 U366 U367 U368 U369 U370 U371 U372 U373 U374 U375 U376 U377 U378 U379 U380 U381 U382 U383 U384 U385 U386 U387 U388 U389 U390 U391 U392 U393 U394 U395 U396 U397 U398 U399 U400 U401 U402 U403 U404 U405 U406 U407 U408 U409 U410 U411 U412 U413 U414 U415 U416 U417 U418 U419 U420 U421 U422 U423 U424 U425 U426 U427 U428 U429 U430 U431 U432 U433 U434 U435 U436 U437 U438 U439 U440 U441 U442 U443 U444 U445 U446 U447 U448 U449 U450 U451 U452 U453 U454 U455 U456 U457 U458 U459 U460 U461 U462 U463 U464 U465 U466 U467 U468 U469 U470 U471 U472 U473 U474 U475 U476 U477 U478 U479 U480 U481 U482 U483 U484 U485 U486 U487 U488 U489 U490 U491 U492 U493 U494 U495 U496 U497 U498 U499 U500 U501 U502 U503 U504 U505 U506 U507 U508 U509 U510 U511 U512 U513 U514 U515 U516 U517 U518 U519 U520 U521 U522 U523 U524 U525 U526 U527 U528 U529 U530 U531 U532 U533 U534 U535 U536 U537 U538 U539 U540 U541 U542 U543 U544 U545 U546 U547 U548 U549 U550 U551 U552 U553 U554 U555 U556 U557 U558 U559 U560" showDropDown="0" showInputMessage="0" showErrorMessage="0" allowBlank="1" type="list">
      <formula1>"A,B,C,D,?"</formula1>
    </dataValidation>
  </dataValidations>
  <hyperlinks>
    <hyperlink xmlns:r="http://schemas.openxmlformats.org/officeDocument/2006/relationships" ref="AE2" r:id="rId1"/>
    <hyperlink xmlns:r="http://schemas.openxmlformats.org/officeDocument/2006/relationships" ref="AE3" r:id="rId2"/>
    <hyperlink xmlns:r="http://schemas.openxmlformats.org/officeDocument/2006/relationships" ref="AE4" r:id="rId3"/>
    <hyperlink xmlns:r="http://schemas.openxmlformats.org/officeDocument/2006/relationships" ref="AE5" r:id="rId4"/>
    <hyperlink xmlns:r="http://schemas.openxmlformats.org/officeDocument/2006/relationships" ref="AE6" r:id="rId5"/>
    <hyperlink xmlns:r="http://schemas.openxmlformats.org/officeDocument/2006/relationships" ref="AE7" r:id="rId6"/>
    <hyperlink xmlns:r="http://schemas.openxmlformats.org/officeDocument/2006/relationships" ref="AE8" r:id="rId7"/>
    <hyperlink xmlns:r="http://schemas.openxmlformats.org/officeDocument/2006/relationships" ref="AE9" r:id="rId8"/>
    <hyperlink xmlns:r="http://schemas.openxmlformats.org/officeDocument/2006/relationships" ref="AE10" r:id="rId9"/>
    <hyperlink xmlns:r="http://schemas.openxmlformats.org/officeDocument/2006/relationships" ref="AE11" r:id="rId10"/>
    <hyperlink xmlns:r="http://schemas.openxmlformats.org/officeDocument/2006/relationships" ref="AE12" r:id="rId11"/>
    <hyperlink xmlns:r="http://schemas.openxmlformats.org/officeDocument/2006/relationships" ref="AE13" r:id="rId12"/>
    <hyperlink xmlns:r="http://schemas.openxmlformats.org/officeDocument/2006/relationships" ref="AE14" r:id="rId13"/>
    <hyperlink xmlns:r="http://schemas.openxmlformats.org/officeDocument/2006/relationships" ref="AE15" r:id="rId14"/>
    <hyperlink xmlns:r="http://schemas.openxmlformats.org/officeDocument/2006/relationships" ref="AE16" r:id="rId15"/>
    <hyperlink xmlns:r="http://schemas.openxmlformats.org/officeDocument/2006/relationships" ref="AE17" r:id="rId16"/>
    <hyperlink xmlns:r="http://schemas.openxmlformats.org/officeDocument/2006/relationships" ref="AE18" r:id="rId17"/>
    <hyperlink xmlns:r="http://schemas.openxmlformats.org/officeDocument/2006/relationships" ref="AE19" r:id="rId18"/>
    <hyperlink xmlns:r="http://schemas.openxmlformats.org/officeDocument/2006/relationships" ref="AE20" r:id="rId19"/>
    <hyperlink xmlns:r="http://schemas.openxmlformats.org/officeDocument/2006/relationships" ref="AE21" r:id="rId20"/>
    <hyperlink xmlns:r="http://schemas.openxmlformats.org/officeDocument/2006/relationships" ref="AE22" r:id="rId21"/>
    <hyperlink xmlns:r="http://schemas.openxmlformats.org/officeDocument/2006/relationships" ref="AE23" r:id="rId22"/>
    <hyperlink xmlns:r="http://schemas.openxmlformats.org/officeDocument/2006/relationships" ref="AE24" r:id="rId23"/>
    <hyperlink xmlns:r="http://schemas.openxmlformats.org/officeDocument/2006/relationships" ref="AE25" r:id="rId24"/>
    <hyperlink xmlns:r="http://schemas.openxmlformats.org/officeDocument/2006/relationships" ref="AE26" r:id="rId25"/>
    <hyperlink xmlns:r="http://schemas.openxmlformats.org/officeDocument/2006/relationships" ref="AE27" r:id="rId26"/>
    <hyperlink xmlns:r="http://schemas.openxmlformats.org/officeDocument/2006/relationships" ref="AE28" r:id="rId27"/>
    <hyperlink xmlns:r="http://schemas.openxmlformats.org/officeDocument/2006/relationships" ref="AE29" r:id="rId28"/>
    <hyperlink xmlns:r="http://schemas.openxmlformats.org/officeDocument/2006/relationships" ref="AE30" r:id="rId29"/>
    <hyperlink xmlns:r="http://schemas.openxmlformats.org/officeDocument/2006/relationships" ref="AE31" r:id="rId30"/>
    <hyperlink xmlns:r="http://schemas.openxmlformats.org/officeDocument/2006/relationships" ref="AE32" r:id="rId31"/>
    <hyperlink xmlns:r="http://schemas.openxmlformats.org/officeDocument/2006/relationships" ref="AE33" r:id="rId32"/>
    <hyperlink xmlns:r="http://schemas.openxmlformats.org/officeDocument/2006/relationships" ref="AE34" r:id="rId33"/>
    <hyperlink xmlns:r="http://schemas.openxmlformats.org/officeDocument/2006/relationships" ref="AE35" r:id="rId34"/>
    <hyperlink xmlns:r="http://schemas.openxmlformats.org/officeDocument/2006/relationships" ref="AE36" r:id="rId35"/>
    <hyperlink xmlns:r="http://schemas.openxmlformats.org/officeDocument/2006/relationships" ref="AE37" r:id="rId36"/>
    <hyperlink xmlns:r="http://schemas.openxmlformats.org/officeDocument/2006/relationships" ref="AE38" r:id="rId37"/>
    <hyperlink xmlns:r="http://schemas.openxmlformats.org/officeDocument/2006/relationships" ref="AE39" r:id="rId38"/>
    <hyperlink xmlns:r="http://schemas.openxmlformats.org/officeDocument/2006/relationships" ref="AE40" r:id="rId39"/>
    <hyperlink xmlns:r="http://schemas.openxmlformats.org/officeDocument/2006/relationships" ref="AE41" r:id="rId40"/>
    <hyperlink xmlns:r="http://schemas.openxmlformats.org/officeDocument/2006/relationships" ref="AE42" r:id="rId41"/>
    <hyperlink xmlns:r="http://schemas.openxmlformats.org/officeDocument/2006/relationships" ref="AE43" r:id="rId42"/>
    <hyperlink xmlns:r="http://schemas.openxmlformats.org/officeDocument/2006/relationships" ref="AE44" r:id="rId43"/>
    <hyperlink xmlns:r="http://schemas.openxmlformats.org/officeDocument/2006/relationships" ref="AE45" r:id="rId44"/>
    <hyperlink xmlns:r="http://schemas.openxmlformats.org/officeDocument/2006/relationships" ref="AE46" r:id="rId45"/>
    <hyperlink xmlns:r="http://schemas.openxmlformats.org/officeDocument/2006/relationships" ref="AE47" r:id="rId46"/>
    <hyperlink xmlns:r="http://schemas.openxmlformats.org/officeDocument/2006/relationships" ref="AE48" r:id="rId47"/>
    <hyperlink xmlns:r="http://schemas.openxmlformats.org/officeDocument/2006/relationships" ref="AE49" r:id="rId48"/>
    <hyperlink xmlns:r="http://schemas.openxmlformats.org/officeDocument/2006/relationships" ref="AE50" r:id="rId49"/>
    <hyperlink xmlns:r="http://schemas.openxmlformats.org/officeDocument/2006/relationships" ref="AE51" r:id="rId50"/>
    <hyperlink xmlns:r="http://schemas.openxmlformats.org/officeDocument/2006/relationships" ref="AE52" r:id="rId51"/>
    <hyperlink xmlns:r="http://schemas.openxmlformats.org/officeDocument/2006/relationships" ref="AE53" r:id="rId52"/>
    <hyperlink xmlns:r="http://schemas.openxmlformats.org/officeDocument/2006/relationships" ref="AE54" r:id="rId53"/>
    <hyperlink xmlns:r="http://schemas.openxmlformats.org/officeDocument/2006/relationships" ref="AE55" r:id="rId54"/>
    <hyperlink xmlns:r="http://schemas.openxmlformats.org/officeDocument/2006/relationships" ref="AE56" r:id="rId55"/>
    <hyperlink xmlns:r="http://schemas.openxmlformats.org/officeDocument/2006/relationships" ref="AE57" r:id="rId56"/>
    <hyperlink xmlns:r="http://schemas.openxmlformats.org/officeDocument/2006/relationships" ref="AE58" r:id="rId57"/>
    <hyperlink xmlns:r="http://schemas.openxmlformats.org/officeDocument/2006/relationships" ref="AE59" r:id="rId58"/>
    <hyperlink xmlns:r="http://schemas.openxmlformats.org/officeDocument/2006/relationships" ref="AE60" r:id="rId59"/>
    <hyperlink xmlns:r="http://schemas.openxmlformats.org/officeDocument/2006/relationships" ref="AE61" r:id="rId60"/>
    <hyperlink xmlns:r="http://schemas.openxmlformats.org/officeDocument/2006/relationships" ref="AE62" r:id="rId61"/>
    <hyperlink xmlns:r="http://schemas.openxmlformats.org/officeDocument/2006/relationships" ref="AE63" r:id="rId62"/>
    <hyperlink xmlns:r="http://schemas.openxmlformats.org/officeDocument/2006/relationships" ref="AE64" r:id="rId63"/>
    <hyperlink xmlns:r="http://schemas.openxmlformats.org/officeDocument/2006/relationships" ref="AE65" r:id="rId64"/>
    <hyperlink xmlns:r="http://schemas.openxmlformats.org/officeDocument/2006/relationships" ref="AE66" r:id="rId65"/>
    <hyperlink xmlns:r="http://schemas.openxmlformats.org/officeDocument/2006/relationships" ref="AE67" r:id="rId66"/>
    <hyperlink xmlns:r="http://schemas.openxmlformats.org/officeDocument/2006/relationships" ref="AE68" r:id="rId67"/>
    <hyperlink xmlns:r="http://schemas.openxmlformats.org/officeDocument/2006/relationships" ref="AE69" r:id="rId68"/>
    <hyperlink xmlns:r="http://schemas.openxmlformats.org/officeDocument/2006/relationships" ref="AE70" r:id="rId69"/>
    <hyperlink xmlns:r="http://schemas.openxmlformats.org/officeDocument/2006/relationships" ref="AE71" r:id="rId70"/>
    <hyperlink xmlns:r="http://schemas.openxmlformats.org/officeDocument/2006/relationships" ref="AE72" r:id="rId71"/>
    <hyperlink xmlns:r="http://schemas.openxmlformats.org/officeDocument/2006/relationships" ref="AE73" r:id="rId72"/>
    <hyperlink xmlns:r="http://schemas.openxmlformats.org/officeDocument/2006/relationships" ref="AE74" r:id="rId73"/>
    <hyperlink xmlns:r="http://schemas.openxmlformats.org/officeDocument/2006/relationships" ref="AE75" r:id="rId74"/>
    <hyperlink xmlns:r="http://schemas.openxmlformats.org/officeDocument/2006/relationships" ref="AE76" r:id="rId75"/>
    <hyperlink xmlns:r="http://schemas.openxmlformats.org/officeDocument/2006/relationships" ref="AE77" r:id="rId76"/>
    <hyperlink xmlns:r="http://schemas.openxmlformats.org/officeDocument/2006/relationships" ref="AE78" r:id="rId77"/>
    <hyperlink xmlns:r="http://schemas.openxmlformats.org/officeDocument/2006/relationships" ref="AE79" r:id="rId78"/>
    <hyperlink xmlns:r="http://schemas.openxmlformats.org/officeDocument/2006/relationships" ref="AE80" r:id="rId79"/>
    <hyperlink xmlns:r="http://schemas.openxmlformats.org/officeDocument/2006/relationships" ref="AE81" r:id="rId80"/>
    <hyperlink xmlns:r="http://schemas.openxmlformats.org/officeDocument/2006/relationships" ref="AE82" r:id="rId81"/>
    <hyperlink xmlns:r="http://schemas.openxmlformats.org/officeDocument/2006/relationships" ref="AE83" r:id="rId82"/>
    <hyperlink xmlns:r="http://schemas.openxmlformats.org/officeDocument/2006/relationships" ref="AE84" r:id="rId83"/>
    <hyperlink xmlns:r="http://schemas.openxmlformats.org/officeDocument/2006/relationships" ref="AE85" r:id="rId84"/>
    <hyperlink xmlns:r="http://schemas.openxmlformats.org/officeDocument/2006/relationships" ref="AE86" r:id="rId85"/>
    <hyperlink xmlns:r="http://schemas.openxmlformats.org/officeDocument/2006/relationships" ref="AE87" r:id="rId86"/>
    <hyperlink xmlns:r="http://schemas.openxmlformats.org/officeDocument/2006/relationships" ref="AE88" r:id="rId87"/>
    <hyperlink xmlns:r="http://schemas.openxmlformats.org/officeDocument/2006/relationships" ref="AE89" r:id="rId88"/>
    <hyperlink xmlns:r="http://schemas.openxmlformats.org/officeDocument/2006/relationships" ref="AE90" r:id="rId89"/>
    <hyperlink xmlns:r="http://schemas.openxmlformats.org/officeDocument/2006/relationships" ref="AE91" r:id="rId90"/>
    <hyperlink xmlns:r="http://schemas.openxmlformats.org/officeDocument/2006/relationships" ref="AE92" r:id="rId91"/>
    <hyperlink xmlns:r="http://schemas.openxmlformats.org/officeDocument/2006/relationships" ref="AE93" r:id="rId92"/>
    <hyperlink xmlns:r="http://schemas.openxmlformats.org/officeDocument/2006/relationships" ref="AE94" r:id="rId93"/>
    <hyperlink xmlns:r="http://schemas.openxmlformats.org/officeDocument/2006/relationships" ref="AE95" r:id="rId94"/>
    <hyperlink xmlns:r="http://schemas.openxmlformats.org/officeDocument/2006/relationships" ref="AE96" r:id="rId95"/>
    <hyperlink xmlns:r="http://schemas.openxmlformats.org/officeDocument/2006/relationships" ref="AE97" r:id="rId96"/>
    <hyperlink xmlns:r="http://schemas.openxmlformats.org/officeDocument/2006/relationships" ref="AE98" r:id="rId97"/>
    <hyperlink xmlns:r="http://schemas.openxmlformats.org/officeDocument/2006/relationships" ref="AE99" r:id="rId98"/>
    <hyperlink xmlns:r="http://schemas.openxmlformats.org/officeDocument/2006/relationships" ref="AE100" r:id="rId99"/>
    <hyperlink xmlns:r="http://schemas.openxmlformats.org/officeDocument/2006/relationships" ref="AE101" r:id="rId100"/>
    <hyperlink xmlns:r="http://schemas.openxmlformats.org/officeDocument/2006/relationships" ref="AE102" r:id="rId101"/>
    <hyperlink xmlns:r="http://schemas.openxmlformats.org/officeDocument/2006/relationships" ref="AE103" r:id="rId102"/>
    <hyperlink xmlns:r="http://schemas.openxmlformats.org/officeDocument/2006/relationships" ref="AE104" r:id="rId103"/>
    <hyperlink xmlns:r="http://schemas.openxmlformats.org/officeDocument/2006/relationships" ref="AE105" r:id="rId104"/>
    <hyperlink xmlns:r="http://schemas.openxmlformats.org/officeDocument/2006/relationships" ref="AE106" r:id="rId105"/>
    <hyperlink xmlns:r="http://schemas.openxmlformats.org/officeDocument/2006/relationships" ref="AE107" r:id="rId106"/>
    <hyperlink xmlns:r="http://schemas.openxmlformats.org/officeDocument/2006/relationships" ref="AE108" r:id="rId107"/>
    <hyperlink xmlns:r="http://schemas.openxmlformats.org/officeDocument/2006/relationships" ref="AE109" r:id="rId108"/>
    <hyperlink xmlns:r="http://schemas.openxmlformats.org/officeDocument/2006/relationships" ref="AE110" r:id="rId109"/>
    <hyperlink xmlns:r="http://schemas.openxmlformats.org/officeDocument/2006/relationships" ref="AE111" r:id="rId110"/>
    <hyperlink xmlns:r="http://schemas.openxmlformats.org/officeDocument/2006/relationships" ref="AE112" r:id="rId111"/>
    <hyperlink xmlns:r="http://schemas.openxmlformats.org/officeDocument/2006/relationships" ref="AE113" r:id="rId112"/>
    <hyperlink xmlns:r="http://schemas.openxmlformats.org/officeDocument/2006/relationships" ref="AE114" r:id="rId113"/>
    <hyperlink xmlns:r="http://schemas.openxmlformats.org/officeDocument/2006/relationships" ref="AE115" r:id="rId114"/>
    <hyperlink xmlns:r="http://schemas.openxmlformats.org/officeDocument/2006/relationships" ref="AE116" r:id="rId115"/>
    <hyperlink xmlns:r="http://schemas.openxmlformats.org/officeDocument/2006/relationships" ref="AE117" r:id="rId116"/>
    <hyperlink xmlns:r="http://schemas.openxmlformats.org/officeDocument/2006/relationships" ref="AE118" r:id="rId117"/>
    <hyperlink xmlns:r="http://schemas.openxmlformats.org/officeDocument/2006/relationships" ref="AE119" r:id="rId118"/>
    <hyperlink xmlns:r="http://schemas.openxmlformats.org/officeDocument/2006/relationships" ref="AE120" r:id="rId119"/>
    <hyperlink xmlns:r="http://schemas.openxmlformats.org/officeDocument/2006/relationships" ref="AE121" r:id="rId120"/>
    <hyperlink xmlns:r="http://schemas.openxmlformats.org/officeDocument/2006/relationships" ref="AE122" r:id="rId121"/>
    <hyperlink xmlns:r="http://schemas.openxmlformats.org/officeDocument/2006/relationships" ref="AE123" r:id="rId122"/>
    <hyperlink xmlns:r="http://schemas.openxmlformats.org/officeDocument/2006/relationships" ref="AE124" r:id="rId123"/>
    <hyperlink xmlns:r="http://schemas.openxmlformats.org/officeDocument/2006/relationships" ref="AE125" r:id="rId124"/>
    <hyperlink xmlns:r="http://schemas.openxmlformats.org/officeDocument/2006/relationships" ref="AE126" r:id="rId125"/>
    <hyperlink xmlns:r="http://schemas.openxmlformats.org/officeDocument/2006/relationships" ref="AE127" r:id="rId126"/>
    <hyperlink xmlns:r="http://schemas.openxmlformats.org/officeDocument/2006/relationships" ref="AE128" r:id="rId127"/>
    <hyperlink xmlns:r="http://schemas.openxmlformats.org/officeDocument/2006/relationships" ref="AE129" r:id="rId128"/>
    <hyperlink xmlns:r="http://schemas.openxmlformats.org/officeDocument/2006/relationships" ref="AE130" r:id="rId129"/>
    <hyperlink xmlns:r="http://schemas.openxmlformats.org/officeDocument/2006/relationships" ref="AE131" r:id="rId130"/>
    <hyperlink xmlns:r="http://schemas.openxmlformats.org/officeDocument/2006/relationships" ref="AE132" r:id="rId131"/>
    <hyperlink xmlns:r="http://schemas.openxmlformats.org/officeDocument/2006/relationships" ref="AE133" r:id="rId132"/>
    <hyperlink xmlns:r="http://schemas.openxmlformats.org/officeDocument/2006/relationships" ref="AE134" r:id="rId133"/>
    <hyperlink xmlns:r="http://schemas.openxmlformats.org/officeDocument/2006/relationships" ref="AE135" r:id="rId134"/>
    <hyperlink xmlns:r="http://schemas.openxmlformats.org/officeDocument/2006/relationships" ref="AE136" r:id="rId135"/>
    <hyperlink xmlns:r="http://schemas.openxmlformats.org/officeDocument/2006/relationships" ref="AE137" r:id="rId136"/>
    <hyperlink xmlns:r="http://schemas.openxmlformats.org/officeDocument/2006/relationships" ref="AE138" r:id="rId137"/>
    <hyperlink xmlns:r="http://schemas.openxmlformats.org/officeDocument/2006/relationships" ref="AE139" r:id="rId138"/>
    <hyperlink xmlns:r="http://schemas.openxmlformats.org/officeDocument/2006/relationships" ref="AE140" r:id="rId139"/>
    <hyperlink xmlns:r="http://schemas.openxmlformats.org/officeDocument/2006/relationships" ref="AE141" r:id="rId140"/>
    <hyperlink xmlns:r="http://schemas.openxmlformats.org/officeDocument/2006/relationships" ref="AE142" r:id="rId141"/>
    <hyperlink xmlns:r="http://schemas.openxmlformats.org/officeDocument/2006/relationships" ref="AE143" r:id="rId142"/>
    <hyperlink xmlns:r="http://schemas.openxmlformats.org/officeDocument/2006/relationships" ref="AE144" r:id="rId143"/>
    <hyperlink xmlns:r="http://schemas.openxmlformats.org/officeDocument/2006/relationships" ref="AE145" r:id="rId144"/>
    <hyperlink xmlns:r="http://schemas.openxmlformats.org/officeDocument/2006/relationships" ref="AE146" r:id="rId145"/>
    <hyperlink xmlns:r="http://schemas.openxmlformats.org/officeDocument/2006/relationships" ref="AE147" r:id="rId146"/>
    <hyperlink xmlns:r="http://schemas.openxmlformats.org/officeDocument/2006/relationships" ref="AE148" r:id="rId147"/>
    <hyperlink xmlns:r="http://schemas.openxmlformats.org/officeDocument/2006/relationships" ref="AE149" r:id="rId148"/>
    <hyperlink xmlns:r="http://schemas.openxmlformats.org/officeDocument/2006/relationships" ref="AE150" r:id="rId149"/>
    <hyperlink xmlns:r="http://schemas.openxmlformats.org/officeDocument/2006/relationships" ref="AE151" r:id="rId150"/>
    <hyperlink xmlns:r="http://schemas.openxmlformats.org/officeDocument/2006/relationships" ref="AE152" r:id="rId151"/>
    <hyperlink xmlns:r="http://schemas.openxmlformats.org/officeDocument/2006/relationships" ref="AE153" r:id="rId152"/>
    <hyperlink xmlns:r="http://schemas.openxmlformats.org/officeDocument/2006/relationships" ref="AE154" r:id="rId153"/>
    <hyperlink xmlns:r="http://schemas.openxmlformats.org/officeDocument/2006/relationships" ref="AE155" r:id="rId154"/>
    <hyperlink xmlns:r="http://schemas.openxmlformats.org/officeDocument/2006/relationships" ref="AE156" r:id="rId155"/>
    <hyperlink xmlns:r="http://schemas.openxmlformats.org/officeDocument/2006/relationships" ref="AE157" r:id="rId156"/>
    <hyperlink xmlns:r="http://schemas.openxmlformats.org/officeDocument/2006/relationships" ref="AE158" r:id="rId157"/>
    <hyperlink xmlns:r="http://schemas.openxmlformats.org/officeDocument/2006/relationships" ref="AE159" r:id="rId158"/>
    <hyperlink xmlns:r="http://schemas.openxmlformats.org/officeDocument/2006/relationships" ref="AE160" r:id="rId159"/>
    <hyperlink xmlns:r="http://schemas.openxmlformats.org/officeDocument/2006/relationships" ref="AE161" r:id="rId160"/>
    <hyperlink xmlns:r="http://schemas.openxmlformats.org/officeDocument/2006/relationships" ref="AE162" r:id="rId161"/>
    <hyperlink xmlns:r="http://schemas.openxmlformats.org/officeDocument/2006/relationships" ref="AE163" r:id="rId162"/>
    <hyperlink xmlns:r="http://schemas.openxmlformats.org/officeDocument/2006/relationships" ref="AE164" r:id="rId163"/>
    <hyperlink xmlns:r="http://schemas.openxmlformats.org/officeDocument/2006/relationships" ref="AE165" r:id="rId164"/>
    <hyperlink xmlns:r="http://schemas.openxmlformats.org/officeDocument/2006/relationships" ref="AE166" r:id="rId165"/>
    <hyperlink xmlns:r="http://schemas.openxmlformats.org/officeDocument/2006/relationships" ref="AE167" r:id="rId166"/>
    <hyperlink xmlns:r="http://schemas.openxmlformats.org/officeDocument/2006/relationships" ref="AE168" r:id="rId167"/>
    <hyperlink xmlns:r="http://schemas.openxmlformats.org/officeDocument/2006/relationships" ref="AE169" r:id="rId168"/>
    <hyperlink xmlns:r="http://schemas.openxmlformats.org/officeDocument/2006/relationships" ref="AE170" r:id="rId169"/>
    <hyperlink xmlns:r="http://schemas.openxmlformats.org/officeDocument/2006/relationships" ref="AE171" r:id="rId170"/>
    <hyperlink xmlns:r="http://schemas.openxmlformats.org/officeDocument/2006/relationships" ref="AE172" r:id="rId171"/>
    <hyperlink xmlns:r="http://schemas.openxmlformats.org/officeDocument/2006/relationships" ref="AE173" r:id="rId172"/>
    <hyperlink xmlns:r="http://schemas.openxmlformats.org/officeDocument/2006/relationships" ref="AE174" r:id="rId173"/>
    <hyperlink xmlns:r="http://schemas.openxmlformats.org/officeDocument/2006/relationships" ref="AE175" r:id="rId174"/>
    <hyperlink xmlns:r="http://schemas.openxmlformats.org/officeDocument/2006/relationships" ref="AE176" r:id="rId175"/>
    <hyperlink xmlns:r="http://schemas.openxmlformats.org/officeDocument/2006/relationships" ref="AE177" r:id="rId176"/>
    <hyperlink xmlns:r="http://schemas.openxmlformats.org/officeDocument/2006/relationships" ref="AE178" r:id="rId177"/>
    <hyperlink xmlns:r="http://schemas.openxmlformats.org/officeDocument/2006/relationships" ref="AE179" r:id="rId178"/>
    <hyperlink xmlns:r="http://schemas.openxmlformats.org/officeDocument/2006/relationships" ref="AE180" r:id="rId179"/>
    <hyperlink xmlns:r="http://schemas.openxmlformats.org/officeDocument/2006/relationships" ref="AE181" r:id="rId180"/>
    <hyperlink xmlns:r="http://schemas.openxmlformats.org/officeDocument/2006/relationships" ref="AE182" r:id="rId181"/>
    <hyperlink xmlns:r="http://schemas.openxmlformats.org/officeDocument/2006/relationships" ref="AE183" r:id="rId182"/>
    <hyperlink xmlns:r="http://schemas.openxmlformats.org/officeDocument/2006/relationships" ref="AE184" r:id="rId183"/>
    <hyperlink xmlns:r="http://schemas.openxmlformats.org/officeDocument/2006/relationships" ref="AE185" r:id="rId184"/>
    <hyperlink xmlns:r="http://schemas.openxmlformats.org/officeDocument/2006/relationships" ref="AE186" r:id="rId185"/>
    <hyperlink xmlns:r="http://schemas.openxmlformats.org/officeDocument/2006/relationships" ref="AE187" r:id="rId186"/>
    <hyperlink xmlns:r="http://schemas.openxmlformats.org/officeDocument/2006/relationships" ref="AE188" r:id="rId187"/>
    <hyperlink xmlns:r="http://schemas.openxmlformats.org/officeDocument/2006/relationships" ref="AE189" r:id="rId188"/>
    <hyperlink xmlns:r="http://schemas.openxmlformats.org/officeDocument/2006/relationships" ref="AE190" r:id="rId189"/>
    <hyperlink xmlns:r="http://schemas.openxmlformats.org/officeDocument/2006/relationships" ref="AE191" r:id="rId190"/>
    <hyperlink xmlns:r="http://schemas.openxmlformats.org/officeDocument/2006/relationships" ref="AE192" r:id="rId191"/>
    <hyperlink xmlns:r="http://schemas.openxmlformats.org/officeDocument/2006/relationships" ref="AE193" r:id="rId192"/>
    <hyperlink xmlns:r="http://schemas.openxmlformats.org/officeDocument/2006/relationships" ref="AE194" r:id="rId193"/>
    <hyperlink xmlns:r="http://schemas.openxmlformats.org/officeDocument/2006/relationships" ref="AE195" r:id="rId194"/>
    <hyperlink xmlns:r="http://schemas.openxmlformats.org/officeDocument/2006/relationships" ref="AE196" r:id="rId195"/>
    <hyperlink xmlns:r="http://schemas.openxmlformats.org/officeDocument/2006/relationships" ref="AE197" r:id="rId196"/>
    <hyperlink xmlns:r="http://schemas.openxmlformats.org/officeDocument/2006/relationships" ref="AE198" r:id="rId197"/>
    <hyperlink xmlns:r="http://schemas.openxmlformats.org/officeDocument/2006/relationships" ref="AE199" r:id="rId198"/>
    <hyperlink xmlns:r="http://schemas.openxmlformats.org/officeDocument/2006/relationships" ref="AE200" r:id="rId199"/>
    <hyperlink xmlns:r="http://schemas.openxmlformats.org/officeDocument/2006/relationships" ref="AE201" r:id="rId200"/>
    <hyperlink xmlns:r="http://schemas.openxmlformats.org/officeDocument/2006/relationships" ref="AE202" r:id="rId201"/>
    <hyperlink xmlns:r="http://schemas.openxmlformats.org/officeDocument/2006/relationships" ref="AE203" r:id="rId202"/>
    <hyperlink xmlns:r="http://schemas.openxmlformats.org/officeDocument/2006/relationships" ref="AE204" r:id="rId203"/>
    <hyperlink xmlns:r="http://schemas.openxmlformats.org/officeDocument/2006/relationships" ref="AE205" r:id="rId204"/>
    <hyperlink xmlns:r="http://schemas.openxmlformats.org/officeDocument/2006/relationships" ref="AE206" r:id="rId205"/>
    <hyperlink xmlns:r="http://schemas.openxmlformats.org/officeDocument/2006/relationships" ref="AE207" r:id="rId206"/>
    <hyperlink xmlns:r="http://schemas.openxmlformats.org/officeDocument/2006/relationships" ref="AE208" r:id="rId207"/>
    <hyperlink xmlns:r="http://schemas.openxmlformats.org/officeDocument/2006/relationships" ref="AE209" r:id="rId208"/>
    <hyperlink xmlns:r="http://schemas.openxmlformats.org/officeDocument/2006/relationships" ref="AE210" r:id="rId209"/>
    <hyperlink xmlns:r="http://schemas.openxmlformats.org/officeDocument/2006/relationships" ref="AE211" r:id="rId210"/>
    <hyperlink xmlns:r="http://schemas.openxmlformats.org/officeDocument/2006/relationships" ref="AE212" r:id="rId211"/>
    <hyperlink xmlns:r="http://schemas.openxmlformats.org/officeDocument/2006/relationships" ref="AE213" r:id="rId212"/>
    <hyperlink xmlns:r="http://schemas.openxmlformats.org/officeDocument/2006/relationships" ref="AE214" r:id="rId213"/>
    <hyperlink xmlns:r="http://schemas.openxmlformats.org/officeDocument/2006/relationships" ref="AE215" r:id="rId214"/>
    <hyperlink xmlns:r="http://schemas.openxmlformats.org/officeDocument/2006/relationships" ref="AE216" r:id="rId215"/>
    <hyperlink xmlns:r="http://schemas.openxmlformats.org/officeDocument/2006/relationships" ref="AE217" r:id="rId216"/>
    <hyperlink xmlns:r="http://schemas.openxmlformats.org/officeDocument/2006/relationships" ref="AE218" r:id="rId217"/>
    <hyperlink xmlns:r="http://schemas.openxmlformats.org/officeDocument/2006/relationships" ref="AE219" r:id="rId218"/>
    <hyperlink xmlns:r="http://schemas.openxmlformats.org/officeDocument/2006/relationships" ref="AE220" r:id="rId219"/>
    <hyperlink xmlns:r="http://schemas.openxmlformats.org/officeDocument/2006/relationships" ref="AE221" r:id="rId220"/>
    <hyperlink xmlns:r="http://schemas.openxmlformats.org/officeDocument/2006/relationships" ref="AE222" r:id="rId221"/>
    <hyperlink xmlns:r="http://schemas.openxmlformats.org/officeDocument/2006/relationships" ref="AE223" r:id="rId222"/>
    <hyperlink xmlns:r="http://schemas.openxmlformats.org/officeDocument/2006/relationships" ref="AE224" r:id="rId223"/>
    <hyperlink xmlns:r="http://schemas.openxmlformats.org/officeDocument/2006/relationships" ref="AE225" r:id="rId224"/>
    <hyperlink xmlns:r="http://schemas.openxmlformats.org/officeDocument/2006/relationships" ref="AE226" r:id="rId225"/>
    <hyperlink xmlns:r="http://schemas.openxmlformats.org/officeDocument/2006/relationships" ref="AE227" r:id="rId226"/>
    <hyperlink xmlns:r="http://schemas.openxmlformats.org/officeDocument/2006/relationships" ref="AE228" r:id="rId227"/>
    <hyperlink xmlns:r="http://schemas.openxmlformats.org/officeDocument/2006/relationships" ref="AE229" r:id="rId228"/>
    <hyperlink xmlns:r="http://schemas.openxmlformats.org/officeDocument/2006/relationships" ref="AE230" r:id="rId229"/>
    <hyperlink xmlns:r="http://schemas.openxmlformats.org/officeDocument/2006/relationships" ref="AE231" r:id="rId230"/>
    <hyperlink xmlns:r="http://schemas.openxmlformats.org/officeDocument/2006/relationships" ref="AE232" r:id="rId231"/>
    <hyperlink xmlns:r="http://schemas.openxmlformats.org/officeDocument/2006/relationships" ref="AE233" r:id="rId232"/>
    <hyperlink xmlns:r="http://schemas.openxmlformats.org/officeDocument/2006/relationships" ref="AE234" r:id="rId233"/>
    <hyperlink xmlns:r="http://schemas.openxmlformats.org/officeDocument/2006/relationships" ref="AE235" r:id="rId234"/>
    <hyperlink xmlns:r="http://schemas.openxmlformats.org/officeDocument/2006/relationships" ref="AE236" r:id="rId235"/>
    <hyperlink xmlns:r="http://schemas.openxmlformats.org/officeDocument/2006/relationships" ref="AE237" r:id="rId236"/>
    <hyperlink xmlns:r="http://schemas.openxmlformats.org/officeDocument/2006/relationships" ref="AE238" r:id="rId237"/>
    <hyperlink xmlns:r="http://schemas.openxmlformats.org/officeDocument/2006/relationships" ref="AE239" r:id="rId238"/>
    <hyperlink xmlns:r="http://schemas.openxmlformats.org/officeDocument/2006/relationships" ref="AE240" r:id="rId239"/>
    <hyperlink xmlns:r="http://schemas.openxmlformats.org/officeDocument/2006/relationships" ref="AE241" r:id="rId240"/>
    <hyperlink xmlns:r="http://schemas.openxmlformats.org/officeDocument/2006/relationships" ref="AE242" r:id="rId241"/>
    <hyperlink xmlns:r="http://schemas.openxmlformats.org/officeDocument/2006/relationships" ref="AE243" r:id="rId242"/>
    <hyperlink xmlns:r="http://schemas.openxmlformats.org/officeDocument/2006/relationships" ref="AE244" r:id="rId243"/>
    <hyperlink xmlns:r="http://schemas.openxmlformats.org/officeDocument/2006/relationships" ref="AE245" r:id="rId244"/>
    <hyperlink xmlns:r="http://schemas.openxmlformats.org/officeDocument/2006/relationships" ref="AE246" r:id="rId245"/>
    <hyperlink xmlns:r="http://schemas.openxmlformats.org/officeDocument/2006/relationships" ref="AE247" r:id="rId246"/>
    <hyperlink xmlns:r="http://schemas.openxmlformats.org/officeDocument/2006/relationships" ref="AE248" r:id="rId247"/>
    <hyperlink xmlns:r="http://schemas.openxmlformats.org/officeDocument/2006/relationships" ref="AE249" r:id="rId248"/>
    <hyperlink xmlns:r="http://schemas.openxmlformats.org/officeDocument/2006/relationships" ref="AE250" r:id="rId249"/>
    <hyperlink xmlns:r="http://schemas.openxmlformats.org/officeDocument/2006/relationships" ref="AE251" r:id="rId250"/>
    <hyperlink xmlns:r="http://schemas.openxmlformats.org/officeDocument/2006/relationships" ref="AE252" r:id="rId251"/>
    <hyperlink xmlns:r="http://schemas.openxmlformats.org/officeDocument/2006/relationships" ref="AE253" r:id="rId252"/>
    <hyperlink xmlns:r="http://schemas.openxmlformats.org/officeDocument/2006/relationships" ref="AE254" r:id="rId253"/>
    <hyperlink xmlns:r="http://schemas.openxmlformats.org/officeDocument/2006/relationships" ref="AE255" r:id="rId254"/>
    <hyperlink xmlns:r="http://schemas.openxmlformats.org/officeDocument/2006/relationships" ref="AE256" r:id="rId255"/>
    <hyperlink xmlns:r="http://schemas.openxmlformats.org/officeDocument/2006/relationships" ref="AE257" r:id="rId256"/>
    <hyperlink xmlns:r="http://schemas.openxmlformats.org/officeDocument/2006/relationships" ref="AE258" r:id="rId257"/>
    <hyperlink xmlns:r="http://schemas.openxmlformats.org/officeDocument/2006/relationships" ref="AE259" r:id="rId258"/>
    <hyperlink xmlns:r="http://schemas.openxmlformats.org/officeDocument/2006/relationships" ref="AE260" r:id="rId259"/>
    <hyperlink xmlns:r="http://schemas.openxmlformats.org/officeDocument/2006/relationships" ref="AE261" r:id="rId260"/>
    <hyperlink xmlns:r="http://schemas.openxmlformats.org/officeDocument/2006/relationships" ref="AE262" r:id="rId261"/>
    <hyperlink xmlns:r="http://schemas.openxmlformats.org/officeDocument/2006/relationships" ref="AE263" r:id="rId262"/>
    <hyperlink xmlns:r="http://schemas.openxmlformats.org/officeDocument/2006/relationships" ref="AE264" r:id="rId263"/>
    <hyperlink xmlns:r="http://schemas.openxmlformats.org/officeDocument/2006/relationships" ref="AE265" r:id="rId264"/>
    <hyperlink xmlns:r="http://schemas.openxmlformats.org/officeDocument/2006/relationships" ref="AE266" r:id="rId265"/>
    <hyperlink xmlns:r="http://schemas.openxmlformats.org/officeDocument/2006/relationships" ref="AE267" r:id="rId266"/>
    <hyperlink xmlns:r="http://schemas.openxmlformats.org/officeDocument/2006/relationships" ref="AE268" r:id="rId267"/>
    <hyperlink xmlns:r="http://schemas.openxmlformats.org/officeDocument/2006/relationships" ref="AE269" r:id="rId268"/>
    <hyperlink xmlns:r="http://schemas.openxmlformats.org/officeDocument/2006/relationships" ref="AE270" r:id="rId269"/>
    <hyperlink xmlns:r="http://schemas.openxmlformats.org/officeDocument/2006/relationships" ref="AE271" r:id="rId270"/>
    <hyperlink xmlns:r="http://schemas.openxmlformats.org/officeDocument/2006/relationships" ref="AE272" r:id="rId271"/>
    <hyperlink xmlns:r="http://schemas.openxmlformats.org/officeDocument/2006/relationships" ref="AE273" r:id="rId272"/>
    <hyperlink xmlns:r="http://schemas.openxmlformats.org/officeDocument/2006/relationships" ref="AE274" r:id="rId273"/>
    <hyperlink xmlns:r="http://schemas.openxmlformats.org/officeDocument/2006/relationships" ref="AE275" r:id="rId274"/>
    <hyperlink xmlns:r="http://schemas.openxmlformats.org/officeDocument/2006/relationships" ref="AE276" r:id="rId275"/>
    <hyperlink xmlns:r="http://schemas.openxmlformats.org/officeDocument/2006/relationships" ref="AE277" r:id="rId276"/>
    <hyperlink xmlns:r="http://schemas.openxmlformats.org/officeDocument/2006/relationships" ref="AE278" r:id="rId277"/>
    <hyperlink xmlns:r="http://schemas.openxmlformats.org/officeDocument/2006/relationships" ref="AE279" r:id="rId278"/>
    <hyperlink xmlns:r="http://schemas.openxmlformats.org/officeDocument/2006/relationships" ref="AE280" r:id="rId279"/>
    <hyperlink xmlns:r="http://schemas.openxmlformats.org/officeDocument/2006/relationships" ref="AE281" r:id="rId280"/>
    <hyperlink xmlns:r="http://schemas.openxmlformats.org/officeDocument/2006/relationships" ref="AE282" r:id="rId281"/>
    <hyperlink xmlns:r="http://schemas.openxmlformats.org/officeDocument/2006/relationships" ref="AE283" r:id="rId282"/>
    <hyperlink xmlns:r="http://schemas.openxmlformats.org/officeDocument/2006/relationships" ref="AE284" r:id="rId283"/>
    <hyperlink xmlns:r="http://schemas.openxmlformats.org/officeDocument/2006/relationships" ref="AE285" r:id="rId284"/>
    <hyperlink xmlns:r="http://schemas.openxmlformats.org/officeDocument/2006/relationships" ref="AE286" r:id="rId285"/>
    <hyperlink xmlns:r="http://schemas.openxmlformats.org/officeDocument/2006/relationships" ref="AE287" r:id="rId286"/>
    <hyperlink xmlns:r="http://schemas.openxmlformats.org/officeDocument/2006/relationships" ref="AE288" r:id="rId287"/>
    <hyperlink xmlns:r="http://schemas.openxmlformats.org/officeDocument/2006/relationships" ref="AE289" r:id="rId288"/>
    <hyperlink xmlns:r="http://schemas.openxmlformats.org/officeDocument/2006/relationships" ref="AE290" r:id="rId289"/>
    <hyperlink xmlns:r="http://schemas.openxmlformats.org/officeDocument/2006/relationships" ref="AE291" r:id="rId290"/>
    <hyperlink xmlns:r="http://schemas.openxmlformats.org/officeDocument/2006/relationships" ref="AE292" r:id="rId291"/>
    <hyperlink xmlns:r="http://schemas.openxmlformats.org/officeDocument/2006/relationships" ref="AE293" r:id="rId292"/>
    <hyperlink xmlns:r="http://schemas.openxmlformats.org/officeDocument/2006/relationships" ref="AE294" r:id="rId293"/>
    <hyperlink xmlns:r="http://schemas.openxmlformats.org/officeDocument/2006/relationships" ref="AE295" r:id="rId294"/>
    <hyperlink xmlns:r="http://schemas.openxmlformats.org/officeDocument/2006/relationships" ref="AE296" r:id="rId295"/>
    <hyperlink xmlns:r="http://schemas.openxmlformats.org/officeDocument/2006/relationships" ref="AE297" r:id="rId296"/>
    <hyperlink xmlns:r="http://schemas.openxmlformats.org/officeDocument/2006/relationships" ref="AE298" r:id="rId297"/>
    <hyperlink xmlns:r="http://schemas.openxmlformats.org/officeDocument/2006/relationships" ref="AE299" r:id="rId298"/>
    <hyperlink xmlns:r="http://schemas.openxmlformats.org/officeDocument/2006/relationships" ref="AE300" r:id="rId299"/>
    <hyperlink xmlns:r="http://schemas.openxmlformats.org/officeDocument/2006/relationships" ref="AE301" r:id="rId300"/>
    <hyperlink xmlns:r="http://schemas.openxmlformats.org/officeDocument/2006/relationships" ref="AE302" r:id="rId301"/>
    <hyperlink xmlns:r="http://schemas.openxmlformats.org/officeDocument/2006/relationships" ref="AE303" r:id="rId302"/>
    <hyperlink xmlns:r="http://schemas.openxmlformats.org/officeDocument/2006/relationships" ref="AE304" r:id="rId303"/>
    <hyperlink xmlns:r="http://schemas.openxmlformats.org/officeDocument/2006/relationships" ref="AE305" r:id="rId304"/>
    <hyperlink xmlns:r="http://schemas.openxmlformats.org/officeDocument/2006/relationships" ref="AE306" r:id="rId305"/>
    <hyperlink xmlns:r="http://schemas.openxmlformats.org/officeDocument/2006/relationships" ref="AE307" r:id="rId306"/>
    <hyperlink xmlns:r="http://schemas.openxmlformats.org/officeDocument/2006/relationships" ref="AE308" r:id="rId307"/>
    <hyperlink xmlns:r="http://schemas.openxmlformats.org/officeDocument/2006/relationships" ref="AE309" r:id="rId308"/>
    <hyperlink xmlns:r="http://schemas.openxmlformats.org/officeDocument/2006/relationships" ref="AE310" r:id="rId309"/>
    <hyperlink xmlns:r="http://schemas.openxmlformats.org/officeDocument/2006/relationships" ref="AE311" r:id="rId310"/>
    <hyperlink xmlns:r="http://schemas.openxmlformats.org/officeDocument/2006/relationships" ref="AE312" r:id="rId311"/>
    <hyperlink xmlns:r="http://schemas.openxmlformats.org/officeDocument/2006/relationships" ref="AE313" r:id="rId312"/>
    <hyperlink xmlns:r="http://schemas.openxmlformats.org/officeDocument/2006/relationships" ref="AE314" r:id="rId313"/>
    <hyperlink xmlns:r="http://schemas.openxmlformats.org/officeDocument/2006/relationships" ref="AE315" r:id="rId314"/>
    <hyperlink xmlns:r="http://schemas.openxmlformats.org/officeDocument/2006/relationships" ref="AE316" r:id="rId315"/>
    <hyperlink xmlns:r="http://schemas.openxmlformats.org/officeDocument/2006/relationships" ref="AE317" r:id="rId316"/>
    <hyperlink xmlns:r="http://schemas.openxmlformats.org/officeDocument/2006/relationships" ref="AE318" r:id="rId317"/>
    <hyperlink xmlns:r="http://schemas.openxmlformats.org/officeDocument/2006/relationships" ref="AE319" r:id="rId318"/>
    <hyperlink xmlns:r="http://schemas.openxmlformats.org/officeDocument/2006/relationships" ref="AE320" r:id="rId319"/>
    <hyperlink xmlns:r="http://schemas.openxmlformats.org/officeDocument/2006/relationships" ref="AE321" r:id="rId320"/>
    <hyperlink xmlns:r="http://schemas.openxmlformats.org/officeDocument/2006/relationships" ref="AE322" r:id="rId321"/>
    <hyperlink xmlns:r="http://schemas.openxmlformats.org/officeDocument/2006/relationships" ref="AE323" r:id="rId322"/>
    <hyperlink xmlns:r="http://schemas.openxmlformats.org/officeDocument/2006/relationships" ref="AE324" r:id="rId323"/>
    <hyperlink xmlns:r="http://schemas.openxmlformats.org/officeDocument/2006/relationships" ref="AE325" r:id="rId324"/>
    <hyperlink xmlns:r="http://schemas.openxmlformats.org/officeDocument/2006/relationships" ref="AE326" r:id="rId325"/>
    <hyperlink xmlns:r="http://schemas.openxmlformats.org/officeDocument/2006/relationships" ref="AE327" r:id="rId326"/>
    <hyperlink xmlns:r="http://schemas.openxmlformats.org/officeDocument/2006/relationships" ref="AE328" r:id="rId327"/>
    <hyperlink xmlns:r="http://schemas.openxmlformats.org/officeDocument/2006/relationships" ref="AE329" r:id="rId328"/>
    <hyperlink xmlns:r="http://schemas.openxmlformats.org/officeDocument/2006/relationships" ref="AE330" r:id="rId329"/>
    <hyperlink xmlns:r="http://schemas.openxmlformats.org/officeDocument/2006/relationships" ref="AE331" r:id="rId330"/>
    <hyperlink xmlns:r="http://schemas.openxmlformats.org/officeDocument/2006/relationships" ref="AE332" r:id="rId331"/>
    <hyperlink xmlns:r="http://schemas.openxmlformats.org/officeDocument/2006/relationships" ref="AE333" r:id="rId332"/>
    <hyperlink xmlns:r="http://schemas.openxmlformats.org/officeDocument/2006/relationships" ref="AE334" r:id="rId333"/>
    <hyperlink xmlns:r="http://schemas.openxmlformats.org/officeDocument/2006/relationships" ref="AE335" r:id="rId334"/>
    <hyperlink xmlns:r="http://schemas.openxmlformats.org/officeDocument/2006/relationships" ref="AE336" r:id="rId335"/>
    <hyperlink xmlns:r="http://schemas.openxmlformats.org/officeDocument/2006/relationships" ref="AE337" r:id="rId336"/>
    <hyperlink xmlns:r="http://schemas.openxmlformats.org/officeDocument/2006/relationships" ref="AE338" r:id="rId337"/>
    <hyperlink xmlns:r="http://schemas.openxmlformats.org/officeDocument/2006/relationships" ref="AE339" r:id="rId338"/>
    <hyperlink xmlns:r="http://schemas.openxmlformats.org/officeDocument/2006/relationships" ref="AE340" r:id="rId339"/>
    <hyperlink xmlns:r="http://schemas.openxmlformats.org/officeDocument/2006/relationships" ref="AE341" r:id="rId340"/>
    <hyperlink xmlns:r="http://schemas.openxmlformats.org/officeDocument/2006/relationships" ref="AE342" r:id="rId341"/>
    <hyperlink xmlns:r="http://schemas.openxmlformats.org/officeDocument/2006/relationships" ref="AE343" r:id="rId342"/>
    <hyperlink xmlns:r="http://schemas.openxmlformats.org/officeDocument/2006/relationships" ref="AE344" r:id="rId343"/>
    <hyperlink xmlns:r="http://schemas.openxmlformats.org/officeDocument/2006/relationships" ref="AE345" r:id="rId344"/>
    <hyperlink xmlns:r="http://schemas.openxmlformats.org/officeDocument/2006/relationships" ref="AE346" r:id="rId345"/>
    <hyperlink xmlns:r="http://schemas.openxmlformats.org/officeDocument/2006/relationships" ref="AE347" r:id="rId346"/>
    <hyperlink xmlns:r="http://schemas.openxmlformats.org/officeDocument/2006/relationships" ref="AE348" r:id="rId347"/>
    <hyperlink xmlns:r="http://schemas.openxmlformats.org/officeDocument/2006/relationships" ref="AE349" r:id="rId348"/>
    <hyperlink xmlns:r="http://schemas.openxmlformats.org/officeDocument/2006/relationships" ref="AE350" r:id="rId349"/>
    <hyperlink xmlns:r="http://schemas.openxmlformats.org/officeDocument/2006/relationships" ref="AE351" r:id="rId350"/>
    <hyperlink xmlns:r="http://schemas.openxmlformats.org/officeDocument/2006/relationships" ref="AE352" r:id="rId351"/>
    <hyperlink xmlns:r="http://schemas.openxmlformats.org/officeDocument/2006/relationships" ref="AE353" r:id="rId352"/>
    <hyperlink xmlns:r="http://schemas.openxmlformats.org/officeDocument/2006/relationships" ref="AE354" r:id="rId353"/>
    <hyperlink xmlns:r="http://schemas.openxmlformats.org/officeDocument/2006/relationships" ref="AE355" r:id="rId354"/>
    <hyperlink xmlns:r="http://schemas.openxmlformats.org/officeDocument/2006/relationships" ref="AE356" r:id="rId355"/>
    <hyperlink xmlns:r="http://schemas.openxmlformats.org/officeDocument/2006/relationships" ref="AE357" r:id="rId356"/>
    <hyperlink xmlns:r="http://schemas.openxmlformats.org/officeDocument/2006/relationships" ref="AE358" r:id="rId357"/>
    <hyperlink xmlns:r="http://schemas.openxmlformats.org/officeDocument/2006/relationships" ref="AE359" r:id="rId358"/>
    <hyperlink xmlns:r="http://schemas.openxmlformats.org/officeDocument/2006/relationships" ref="AE360" r:id="rId359"/>
    <hyperlink xmlns:r="http://schemas.openxmlformats.org/officeDocument/2006/relationships" ref="AE361" r:id="rId360"/>
    <hyperlink xmlns:r="http://schemas.openxmlformats.org/officeDocument/2006/relationships" ref="AE362" r:id="rId361"/>
    <hyperlink xmlns:r="http://schemas.openxmlformats.org/officeDocument/2006/relationships" ref="AE363" r:id="rId362"/>
    <hyperlink xmlns:r="http://schemas.openxmlformats.org/officeDocument/2006/relationships" ref="AE364" r:id="rId363"/>
    <hyperlink xmlns:r="http://schemas.openxmlformats.org/officeDocument/2006/relationships" ref="AE365" r:id="rId364"/>
    <hyperlink xmlns:r="http://schemas.openxmlformats.org/officeDocument/2006/relationships" ref="AE366" r:id="rId365"/>
    <hyperlink xmlns:r="http://schemas.openxmlformats.org/officeDocument/2006/relationships" ref="AE367" r:id="rId366"/>
    <hyperlink xmlns:r="http://schemas.openxmlformats.org/officeDocument/2006/relationships" ref="AE368" r:id="rId367"/>
    <hyperlink xmlns:r="http://schemas.openxmlformats.org/officeDocument/2006/relationships" ref="AE369" r:id="rId368"/>
    <hyperlink xmlns:r="http://schemas.openxmlformats.org/officeDocument/2006/relationships" ref="AE370" r:id="rId369"/>
    <hyperlink xmlns:r="http://schemas.openxmlformats.org/officeDocument/2006/relationships" ref="AE371" r:id="rId370"/>
    <hyperlink xmlns:r="http://schemas.openxmlformats.org/officeDocument/2006/relationships" ref="AE372" r:id="rId371"/>
    <hyperlink xmlns:r="http://schemas.openxmlformats.org/officeDocument/2006/relationships" ref="AE373" r:id="rId372"/>
    <hyperlink xmlns:r="http://schemas.openxmlformats.org/officeDocument/2006/relationships" ref="AE374" r:id="rId373"/>
    <hyperlink xmlns:r="http://schemas.openxmlformats.org/officeDocument/2006/relationships" ref="AE375" r:id="rId374"/>
    <hyperlink xmlns:r="http://schemas.openxmlformats.org/officeDocument/2006/relationships" ref="AE376" r:id="rId375"/>
    <hyperlink xmlns:r="http://schemas.openxmlformats.org/officeDocument/2006/relationships" ref="AE377" r:id="rId376"/>
    <hyperlink xmlns:r="http://schemas.openxmlformats.org/officeDocument/2006/relationships" ref="AE378" r:id="rId377"/>
    <hyperlink xmlns:r="http://schemas.openxmlformats.org/officeDocument/2006/relationships" ref="AE379" r:id="rId378"/>
    <hyperlink xmlns:r="http://schemas.openxmlformats.org/officeDocument/2006/relationships" ref="AE380" r:id="rId379"/>
    <hyperlink xmlns:r="http://schemas.openxmlformats.org/officeDocument/2006/relationships" ref="AE381" r:id="rId380"/>
    <hyperlink xmlns:r="http://schemas.openxmlformats.org/officeDocument/2006/relationships" ref="AE382" r:id="rId381"/>
    <hyperlink xmlns:r="http://schemas.openxmlformats.org/officeDocument/2006/relationships" ref="AE383" r:id="rId382"/>
    <hyperlink xmlns:r="http://schemas.openxmlformats.org/officeDocument/2006/relationships" ref="AE384" r:id="rId383"/>
    <hyperlink xmlns:r="http://schemas.openxmlformats.org/officeDocument/2006/relationships" ref="AE385" r:id="rId384"/>
    <hyperlink xmlns:r="http://schemas.openxmlformats.org/officeDocument/2006/relationships" ref="AE386" r:id="rId385"/>
    <hyperlink xmlns:r="http://schemas.openxmlformats.org/officeDocument/2006/relationships" ref="AE387" r:id="rId386"/>
    <hyperlink xmlns:r="http://schemas.openxmlformats.org/officeDocument/2006/relationships" ref="AE388" r:id="rId387"/>
    <hyperlink xmlns:r="http://schemas.openxmlformats.org/officeDocument/2006/relationships" ref="AE389" r:id="rId388"/>
    <hyperlink xmlns:r="http://schemas.openxmlformats.org/officeDocument/2006/relationships" ref="AE390" r:id="rId389"/>
    <hyperlink xmlns:r="http://schemas.openxmlformats.org/officeDocument/2006/relationships" ref="AE391" r:id="rId390"/>
    <hyperlink xmlns:r="http://schemas.openxmlformats.org/officeDocument/2006/relationships" ref="AE392" r:id="rId391"/>
    <hyperlink xmlns:r="http://schemas.openxmlformats.org/officeDocument/2006/relationships" ref="AE393" r:id="rId392"/>
    <hyperlink xmlns:r="http://schemas.openxmlformats.org/officeDocument/2006/relationships" ref="AE394" r:id="rId393"/>
    <hyperlink xmlns:r="http://schemas.openxmlformats.org/officeDocument/2006/relationships" ref="AE395" r:id="rId394"/>
    <hyperlink xmlns:r="http://schemas.openxmlformats.org/officeDocument/2006/relationships" ref="AE396" r:id="rId395"/>
    <hyperlink xmlns:r="http://schemas.openxmlformats.org/officeDocument/2006/relationships" ref="AE397" r:id="rId396"/>
    <hyperlink xmlns:r="http://schemas.openxmlformats.org/officeDocument/2006/relationships" ref="AE398" r:id="rId397"/>
    <hyperlink xmlns:r="http://schemas.openxmlformats.org/officeDocument/2006/relationships" ref="AE399" r:id="rId398"/>
    <hyperlink xmlns:r="http://schemas.openxmlformats.org/officeDocument/2006/relationships" ref="AE400" r:id="rId399"/>
    <hyperlink xmlns:r="http://schemas.openxmlformats.org/officeDocument/2006/relationships" ref="AE401" r:id="rId400"/>
    <hyperlink xmlns:r="http://schemas.openxmlformats.org/officeDocument/2006/relationships" ref="AE402" r:id="rId401"/>
    <hyperlink xmlns:r="http://schemas.openxmlformats.org/officeDocument/2006/relationships" ref="AE403" r:id="rId402"/>
    <hyperlink xmlns:r="http://schemas.openxmlformats.org/officeDocument/2006/relationships" ref="AE404" r:id="rId403"/>
    <hyperlink xmlns:r="http://schemas.openxmlformats.org/officeDocument/2006/relationships" ref="AE405" r:id="rId404"/>
    <hyperlink xmlns:r="http://schemas.openxmlformats.org/officeDocument/2006/relationships" ref="AE406" r:id="rId405"/>
    <hyperlink xmlns:r="http://schemas.openxmlformats.org/officeDocument/2006/relationships" ref="AE407" r:id="rId406"/>
    <hyperlink xmlns:r="http://schemas.openxmlformats.org/officeDocument/2006/relationships" ref="AE408" r:id="rId407"/>
    <hyperlink xmlns:r="http://schemas.openxmlformats.org/officeDocument/2006/relationships" ref="AE409" r:id="rId408"/>
    <hyperlink xmlns:r="http://schemas.openxmlformats.org/officeDocument/2006/relationships" ref="AE410" r:id="rId409"/>
    <hyperlink xmlns:r="http://schemas.openxmlformats.org/officeDocument/2006/relationships" ref="AE411" r:id="rId410"/>
    <hyperlink xmlns:r="http://schemas.openxmlformats.org/officeDocument/2006/relationships" ref="AE412" r:id="rId411"/>
    <hyperlink xmlns:r="http://schemas.openxmlformats.org/officeDocument/2006/relationships" ref="AE413" r:id="rId412"/>
    <hyperlink xmlns:r="http://schemas.openxmlformats.org/officeDocument/2006/relationships" ref="AE414" r:id="rId413"/>
    <hyperlink xmlns:r="http://schemas.openxmlformats.org/officeDocument/2006/relationships" ref="AE415" r:id="rId414"/>
    <hyperlink xmlns:r="http://schemas.openxmlformats.org/officeDocument/2006/relationships" ref="AE416" r:id="rId415"/>
    <hyperlink xmlns:r="http://schemas.openxmlformats.org/officeDocument/2006/relationships" ref="AE417" r:id="rId416"/>
    <hyperlink xmlns:r="http://schemas.openxmlformats.org/officeDocument/2006/relationships" ref="AE418" r:id="rId417"/>
    <hyperlink xmlns:r="http://schemas.openxmlformats.org/officeDocument/2006/relationships" ref="AE419" r:id="rId418"/>
    <hyperlink xmlns:r="http://schemas.openxmlformats.org/officeDocument/2006/relationships" ref="AE420" r:id="rId419"/>
    <hyperlink xmlns:r="http://schemas.openxmlformats.org/officeDocument/2006/relationships" ref="AE421" r:id="rId420"/>
    <hyperlink xmlns:r="http://schemas.openxmlformats.org/officeDocument/2006/relationships" ref="AE422" r:id="rId421"/>
    <hyperlink xmlns:r="http://schemas.openxmlformats.org/officeDocument/2006/relationships" ref="AE423" r:id="rId422"/>
    <hyperlink xmlns:r="http://schemas.openxmlformats.org/officeDocument/2006/relationships" ref="AE424" r:id="rId423"/>
    <hyperlink xmlns:r="http://schemas.openxmlformats.org/officeDocument/2006/relationships" ref="AE425" r:id="rId424"/>
    <hyperlink xmlns:r="http://schemas.openxmlformats.org/officeDocument/2006/relationships" ref="AE426" r:id="rId425"/>
    <hyperlink xmlns:r="http://schemas.openxmlformats.org/officeDocument/2006/relationships" ref="AE427" r:id="rId426"/>
    <hyperlink xmlns:r="http://schemas.openxmlformats.org/officeDocument/2006/relationships" ref="AE428" r:id="rId427"/>
    <hyperlink xmlns:r="http://schemas.openxmlformats.org/officeDocument/2006/relationships" ref="AE429" r:id="rId428"/>
    <hyperlink xmlns:r="http://schemas.openxmlformats.org/officeDocument/2006/relationships" ref="AE430" r:id="rId429"/>
    <hyperlink xmlns:r="http://schemas.openxmlformats.org/officeDocument/2006/relationships" ref="AE431" r:id="rId430"/>
    <hyperlink xmlns:r="http://schemas.openxmlformats.org/officeDocument/2006/relationships" ref="AE432" r:id="rId431"/>
    <hyperlink xmlns:r="http://schemas.openxmlformats.org/officeDocument/2006/relationships" ref="AE433" r:id="rId432"/>
    <hyperlink xmlns:r="http://schemas.openxmlformats.org/officeDocument/2006/relationships" ref="AE434" r:id="rId433"/>
    <hyperlink xmlns:r="http://schemas.openxmlformats.org/officeDocument/2006/relationships" ref="AE435" r:id="rId434"/>
    <hyperlink xmlns:r="http://schemas.openxmlformats.org/officeDocument/2006/relationships" ref="AE436" r:id="rId435"/>
    <hyperlink xmlns:r="http://schemas.openxmlformats.org/officeDocument/2006/relationships" ref="AE437" r:id="rId436"/>
    <hyperlink xmlns:r="http://schemas.openxmlformats.org/officeDocument/2006/relationships" ref="AE438" r:id="rId437"/>
    <hyperlink xmlns:r="http://schemas.openxmlformats.org/officeDocument/2006/relationships" ref="AE439" r:id="rId438"/>
    <hyperlink xmlns:r="http://schemas.openxmlformats.org/officeDocument/2006/relationships" ref="AE440" r:id="rId439"/>
    <hyperlink xmlns:r="http://schemas.openxmlformats.org/officeDocument/2006/relationships" ref="AE441" r:id="rId440"/>
    <hyperlink xmlns:r="http://schemas.openxmlformats.org/officeDocument/2006/relationships" ref="AE442" r:id="rId441"/>
    <hyperlink xmlns:r="http://schemas.openxmlformats.org/officeDocument/2006/relationships" ref="AE443" r:id="rId442"/>
    <hyperlink xmlns:r="http://schemas.openxmlformats.org/officeDocument/2006/relationships" ref="AE444" r:id="rId443"/>
    <hyperlink xmlns:r="http://schemas.openxmlformats.org/officeDocument/2006/relationships" ref="AE445" r:id="rId444"/>
    <hyperlink xmlns:r="http://schemas.openxmlformats.org/officeDocument/2006/relationships" ref="AE446" r:id="rId445"/>
    <hyperlink xmlns:r="http://schemas.openxmlformats.org/officeDocument/2006/relationships" ref="AE447" r:id="rId446"/>
    <hyperlink xmlns:r="http://schemas.openxmlformats.org/officeDocument/2006/relationships" ref="AE448" r:id="rId447"/>
    <hyperlink xmlns:r="http://schemas.openxmlformats.org/officeDocument/2006/relationships" ref="AE449" r:id="rId448"/>
    <hyperlink xmlns:r="http://schemas.openxmlformats.org/officeDocument/2006/relationships" ref="AE450" r:id="rId449"/>
    <hyperlink xmlns:r="http://schemas.openxmlformats.org/officeDocument/2006/relationships" ref="AE451" r:id="rId450"/>
    <hyperlink xmlns:r="http://schemas.openxmlformats.org/officeDocument/2006/relationships" ref="AE452" r:id="rId451"/>
    <hyperlink xmlns:r="http://schemas.openxmlformats.org/officeDocument/2006/relationships" ref="AE453" r:id="rId452"/>
    <hyperlink xmlns:r="http://schemas.openxmlformats.org/officeDocument/2006/relationships" ref="AE454" r:id="rId453"/>
    <hyperlink xmlns:r="http://schemas.openxmlformats.org/officeDocument/2006/relationships" ref="AE455" r:id="rId454"/>
    <hyperlink xmlns:r="http://schemas.openxmlformats.org/officeDocument/2006/relationships" ref="AE456" r:id="rId455"/>
    <hyperlink xmlns:r="http://schemas.openxmlformats.org/officeDocument/2006/relationships" ref="AE457" r:id="rId456"/>
    <hyperlink xmlns:r="http://schemas.openxmlformats.org/officeDocument/2006/relationships" ref="AE458" r:id="rId457"/>
    <hyperlink xmlns:r="http://schemas.openxmlformats.org/officeDocument/2006/relationships" ref="AE459" r:id="rId458"/>
    <hyperlink xmlns:r="http://schemas.openxmlformats.org/officeDocument/2006/relationships" ref="AE460" r:id="rId459"/>
    <hyperlink xmlns:r="http://schemas.openxmlformats.org/officeDocument/2006/relationships" ref="AE461" r:id="rId460"/>
    <hyperlink xmlns:r="http://schemas.openxmlformats.org/officeDocument/2006/relationships" ref="AE462" r:id="rId461"/>
    <hyperlink xmlns:r="http://schemas.openxmlformats.org/officeDocument/2006/relationships" ref="AE463" r:id="rId462"/>
    <hyperlink xmlns:r="http://schemas.openxmlformats.org/officeDocument/2006/relationships" ref="AE464" r:id="rId463"/>
    <hyperlink xmlns:r="http://schemas.openxmlformats.org/officeDocument/2006/relationships" ref="AE465" r:id="rId464"/>
    <hyperlink xmlns:r="http://schemas.openxmlformats.org/officeDocument/2006/relationships" ref="AE466" r:id="rId465"/>
    <hyperlink xmlns:r="http://schemas.openxmlformats.org/officeDocument/2006/relationships" ref="AE467" r:id="rId466"/>
    <hyperlink xmlns:r="http://schemas.openxmlformats.org/officeDocument/2006/relationships" ref="AE468" r:id="rId467"/>
    <hyperlink xmlns:r="http://schemas.openxmlformats.org/officeDocument/2006/relationships" ref="AE469" r:id="rId468"/>
    <hyperlink xmlns:r="http://schemas.openxmlformats.org/officeDocument/2006/relationships" ref="AE470" r:id="rId469"/>
    <hyperlink xmlns:r="http://schemas.openxmlformats.org/officeDocument/2006/relationships" ref="AE471" r:id="rId470"/>
    <hyperlink xmlns:r="http://schemas.openxmlformats.org/officeDocument/2006/relationships" ref="AE472" r:id="rId471"/>
    <hyperlink xmlns:r="http://schemas.openxmlformats.org/officeDocument/2006/relationships" ref="AE473" r:id="rId472"/>
    <hyperlink xmlns:r="http://schemas.openxmlformats.org/officeDocument/2006/relationships" ref="AE474" r:id="rId473"/>
    <hyperlink xmlns:r="http://schemas.openxmlformats.org/officeDocument/2006/relationships" ref="AE475" r:id="rId474"/>
    <hyperlink xmlns:r="http://schemas.openxmlformats.org/officeDocument/2006/relationships" ref="AE476" r:id="rId475"/>
    <hyperlink xmlns:r="http://schemas.openxmlformats.org/officeDocument/2006/relationships" ref="AE477" r:id="rId476"/>
    <hyperlink xmlns:r="http://schemas.openxmlformats.org/officeDocument/2006/relationships" ref="AE478" r:id="rId477"/>
    <hyperlink xmlns:r="http://schemas.openxmlformats.org/officeDocument/2006/relationships" ref="AE479" r:id="rId478"/>
    <hyperlink xmlns:r="http://schemas.openxmlformats.org/officeDocument/2006/relationships" ref="AE480" r:id="rId479"/>
    <hyperlink xmlns:r="http://schemas.openxmlformats.org/officeDocument/2006/relationships" ref="AE481" r:id="rId480"/>
    <hyperlink xmlns:r="http://schemas.openxmlformats.org/officeDocument/2006/relationships" ref="AE482" r:id="rId481"/>
    <hyperlink xmlns:r="http://schemas.openxmlformats.org/officeDocument/2006/relationships" ref="AE483" r:id="rId482"/>
    <hyperlink xmlns:r="http://schemas.openxmlformats.org/officeDocument/2006/relationships" ref="AE484" r:id="rId483"/>
    <hyperlink xmlns:r="http://schemas.openxmlformats.org/officeDocument/2006/relationships" ref="AE485" r:id="rId484"/>
    <hyperlink xmlns:r="http://schemas.openxmlformats.org/officeDocument/2006/relationships" ref="AE486" r:id="rId485"/>
    <hyperlink xmlns:r="http://schemas.openxmlformats.org/officeDocument/2006/relationships" ref="AE487" r:id="rId486"/>
    <hyperlink xmlns:r="http://schemas.openxmlformats.org/officeDocument/2006/relationships" ref="AE488" r:id="rId487"/>
    <hyperlink xmlns:r="http://schemas.openxmlformats.org/officeDocument/2006/relationships" ref="AE489" r:id="rId488"/>
    <hyperlink xmlns:r="http://schemas.openxmlformats.org/officeDocument/2006/relationships" ref="AE490" r:id="rId489"/>
    <hyperlink xmlns:r="http://schemas.openxmlformats.org/officeDocument/2006/relationships" ref="AE491" r:id="rId490"/>
    <hyperlink xmlns:r="http://schemas.openxmlformats.org/officeDocument/2006/relationships" ref="AE492" r:id="rId491"/>
    <hyperlink xmlns:r="http://schemas.openxmlformats.org/officeDocument/2006/relationships" ref="AE493" r:id="rId492"/>
    <hyperlink xmlns:r="http://schemas.openxmlformats.org/officeDocument/2006/relationships" ref="AE494" r:id="rId493"/>
    <hyperlink xmlns:r="http://schemas.openxmlformats.org/officeDocument/2006/relationships" ref="AE495" r:id="rId494"/>
    <hyperlink xmlns:r="http://schemas.openxmlformats.org/officeDocument/2006/relationships" ref="AE496" r:id="rId495"/>
    <hyperlink xmlns:r="http://schemas.openxmlformats.org/officeDocument/2006/relationships" ref="AE497" r:id="rId496"/>
    <hyperlink xmlns:r="http://schemas.openxmlformats.org/officeDocument/2006/relationships" ref="AE498" r:id="rId497"/>
    <hyperlink xmlns:r="http://schemas.openxmlformats.org/officeDocument/2006/relationships" ref="AE499" r:id="rId498"/>
    <hyperlink xmlns:r="http://schemas.openxmlformats.org/officeDocument/2006/relationships" ref="AE500" r:id="rId499"/>
    <hyperlink xmlns:r="http://schemas.openxmlformats.org/officeDocument/2006/relationships" ref="AE501" r:id="rId500"/>
    <hyperlink xmlns:r="http://schemas.openxmlformats.org/officeDocument/2006/relationships" ref="AE502" r:id="rId501"/>
    <hyperlink xmlns:r="http://schemas.openxmlformats.org/officeDocument/2006/relationships" ref="AE503" r:id="rId502"/>
    <hyperlink xmlns:r="http://schemas.openxmlformats.org/officeDocument/2006/relationships" ref="AE504" r:id="rId503"/>
    <hyperlink xmlns:r="http://schemas.openxmlformats.org/officeDocument/2006/relationships" ref="AE505" r:id="rId504"/>
    <hyperlink xmlns:r="http://schemas.openxmlformats.org/officeDocument/2006/relationships" ref="AE506" r:id="rId505"/>
    <hyperlink xmlns:r="http://schemas.openxmlformats.org/officeDocument/2006/relationships" ref="AE507" r:id="rId506"/>
    <hyperlink xmlns:r="http://schemas.openxmlformats.org/officeDocument/2006/relationships" ref="AE508" r:id="rId507"/>
    <hyperlink xmlns:r="http://schemas.openxmlformats.org/officeDocument/2006/relationships" ref="AE509" r:id="rId508"/>
    <hyperlink xmlns:r="http://schemas.openxmlformats.org/officeDocument/2006/relationships" ref="AE510" r:id="rId509"/>
    <hyperlink xmlns:r="http://schemas.openxmlformats.org/officeDocument/2006/relationships" ref="AE511" r:id="rId510"/>
    <hyperlink xmlns:r="http://schemas.openxmlformats.org/officeDocument/2006/relationships" ref="AE512" r:id="rId511"/>
    <hyperlink xmlns:r="http://schemas.openxmlformats.org/officeDocument/2006/relationships" ref="AE513" r:id="rId512"/>
    <hyperlink xmlns:r="http://schemas.openxmlformats.org/officeDocument/2006/relationships" ref="AE514" r:id="rId513"/>
    <hyperlink xmlns:r="http://schemas.openxmlformats.org/officeDocument/2006/relationships" ref="AE515" r:id="rId514"/>
    <hyperlink xmlns:r="http://schemas.openxmlformats.org/officeDocument/2006/relationships" ref="AE516" r:id="rId515"/>
    <hyperlink xmlns:r="http://schemas.openxmlformats.org/officeDocument/2006/relationships" ref="AE517" r:id="rId516"/>
    <hyperlink xmlns:r="http://schemas.openxmlformats.org/officeDocument/2006/relationships" ref="AE518" r:id="rId517"/>
    <hyperlink xmlns:r="http://schemas.openxmlformats.org/officeDocument/2006/relationships" ref="AE519" r:id="rId518"/>
    <hyperlink xmlns:r="http://schemas.openxmlformats.org/officeDocument/2006/relationships" ref="AE520" r:id="rId519"/>
    <hyperlink xmlns:r="http://schemas.openxmlformats.org/officeDocument/2006/relationships" ref="AE521" r:id="rId520"/>
    <hyperlink xmlns:r="http://schemas.openxmlformats.org/officeDocument/2006/relationships" ref="AE522" r:id="rId521"/>
    <hyperlink xmlns:r="http://schemas.openxmlformats.org/officeDocument/2006/relationships" ref="AE523" r:id="rId522"/>
    <hyperlink xmlns:r="http://schemas.openxmlformats.org/officeDocument/2006/relationships" ref="AE524" r:id="rId523"/>
    <hyperlink xmlns:r="http://schemas.openxmlformats.org/officeDocument/2006/relationships" ref="AE525" r:id="rId524"/>
    <hyperlink xmlns:r="http://schemas.openxmlformats.org/officeDocument/2006/relationships" ref="AE526" r:id="rId525"/>
    <hyperlink xmlns:r="http://schemas.openxmlformats.org/officeDocument/2006/relationships" ref="AE527" r:id="rId526"/>
    <hyperlink xmlns:r="http://schemas.openxmlformats.org/officeDocument/2006/relationships" ref="AE528" r:id="rId527"/>
    <hyperlink xmlns:r="http://schemas.openxmlformats.org/officeDocument/2006/relationships" ref="AE529" r:id="rId528"/>
    <hyperlink xmlns:r="http://schemas.openxmlformats.org/officeDocument/2006/relationships" ref="AE530" r:id="rId529"/>
    <hyperlink xmlns:r="http://schemas.openxmlformats.org/officeDocument/2006/relationships" ref="AE531" r:id="rId530"/>
    <hyperlink xmlns:r="http://schemas.openxmlformats.org/officeDocument/2006/relationships" ref="AE532" r:id="rId531"/>
    <hyperlink xmlns:r="http://schemas.openxmlformats.org/officeDocument/2006/relationships" ref="AE533" r:id="rId532"/>
    <hyperlink xmlns:r="http://schemas.openxmlformats.org/officeDocument/2006/relationships" ref="AE534" r:id="rId533"/>
    <hyperlink xmlns:r="http://schemas.openxmlformats.org/officeDocument/2006/relationships" ref="AE535" r:id="rId534"/>
    <hyperlink xmlns:r="http://schemas.openxmlformats.org/officeDocument/2006/relationships" ref="AE536" r:id="rId535"/>
    <hyperlink xmlns:r="http://schemas.openxmlformats.org/officeDocument/2006/relationships" ref="AE537" r:id="rId536"/>
    <hyperlink xmlns:r="http://schemas.openxmlformats.org/officeDocument/2006/relationships" ref="AE538" r:id="rId537"/>
    <hyperlink xmlns:r="http://schemas.openxmlformats.org/officeDocument/2006/relationships" ref="AE539" r:id="rId538"/>
    <hyperlink xmlns:r="http://schemas.openxmlformats.org/officeDocument/2006/relationships" ref="AE540" r:id="rId539"/>
    <hyperlink xmlns:r="http://schemas.openxmlformats.org/officeDocument/2006/relationships" ref="AE541" r:id="rId540"/>
    <hyperlink xmlns:r="http://schemas.openxmlformats.org/officeDocument/2006/relationships" ref="AE542" r:id="rId541"/>
    <hyperlink xmlns:r="http://schemas.openxmlformats.org/officeDocument/2006/relationships" ref="AE543" r:id="rId542"/>
    <hyperlink xmlns:r="http://schemas.openxmlformats.org/officeDocument/2006/relationships" ref="AE544" r:id="rId543"/>
    <hyperlink xmlns:r="http://schemas.openxmlformats.org/officeDocument/2006/relationships" ref="AE545" r:id="rId544"/>
    <hyperlink xmlns:r="http://schemas.openxmlformats.org/officeDocument/2006/relationships" ref="AE546" r:id="rId545"/>
    <hyperlink xmlns:r="http://schemas.openxmlformats.org/officeDocument/2006/relationships" ref="AE547" r:id="rId546"/>
    <hyperlink xmlns:r="http://schemas.openxmlformats.org/officeDocument/2006/relationships" ref="AE548" r:id="rId547"/>
    <hyperlink xmlns:r="http://schemas.openxmlformats.org/officeDocument/2006/relationships" ref="AE549" r:id="rId548"/>
    <hyperlink xmlns:r="http://schemas.openxmlformats.org/officeDocument/2006/relationships" ref="AE550" r:id="rId549"/>
    <hyperlink xmlns:r="http://schemas.openxmlformats.org/officeDocument/2006/relationships" ref="AE551" r:id="rId550"/>
    <hyperlink xmlns:r="http://schemas.openxmlformats.org/officeDocument/2006/relationships" ref="AE552" r:id="rId551"/>
    <hyperlink xmlns:r="http://schemas.openxmlformats.org/officeDocument/2006/relationships" ref="AE553" r:id="rId552"/>
    <hyperlink xmlns:r="http://schemas.openxmlformats.org/officeDocument/2006/relationships" ref="AE554" r:id="rId553"/>
    <hyperlink xmlns:r="http://schemas.openxmlformats.org/officeDocument/2006/relationships" ref="AE555" r:id="rId554"/>
    <hyperlink xmlns:r="http://schemas.openxmlformats.org/officeDocument/2006/relationships" ref="AE556" r:id="rId555"/>
    <hyperlink xmlns:r="http://schemas.openxmlformats.org/officeDocument/2006/relationships" ref="AE557" r:id="rId556"/>
    <hyperlink xmlns:r="http://schemas.openxmlformats.org/officeDocument/2006/relationships" ref="AE558" r:id="rId557"/>
    <hyperlink xmlns:r="http://schemas.openxmlformats.org/officeDocument/2006/relationships" ref="AE559" r:id="rId558"/>
    <hyperlink xmlns:r="http://schemas.openxmlformats.org/officeDocument/2006/relationships" ref="AE560" r:id="rId55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4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0" customWidth="1" min="1" max="1"/>
    <col width="17" customWidth="1" min="2" max="2"/>
    <col width="36" customWidth="1" min="3" max="3"/>
    <col width="15" customWidth="1" min="4" max="4"/>
    <col width="11" customWidth="1" min="5" max="5"/>
    <col width="22" customWidth="1" min="6" max="6"/>
    <col width="11" customWidth="1" min="7" max="7"/>
    <col width="38" customWidth="1" min="8" max="8"/>
    <col width="30" customWidth="1" min="9" max="9"/>
    <col width="18" customWidth="1" min="10" max="10"/>
    <col width="16" customWidth="1" min="11" max="11"/>
    <col width="16" customWidth="1" min="12" max="12"/>
    <col width="16" customWidth="1" min="13" max="13"/>
    <col width="30" customWidth="1" min="14" max="14"/>
    <col width="26" customWidth="1" min="15" max="15"/>
    <col width="28" customWidth="1" min="16" max="16"/>
    <col width="18" customWidth="1" min="17" max="17"/>
    <col width="16" customWidth="1" min="18" max="18"/>
    <col width="28" customWidth="1" min="19" max="19"/>
    <col width="17" customWidth="1" min="20" max="20"/>
    <col width="8" customWidth="1" min="21" max="21"/>
    <col width="9" customWidth="1" min="22" max="22"/>
    <col width="8" customWidth="1" min="23" max="23"/>
    <col width="17" customWidth="1" min="24" max="24"/>
    <col width="7" customWidth="1" min="25" max="25"/>
    <col width="17" customWidth="1" min="26" max="26"/>
    <col width="7" customWidth="1" min="27" max="27"/>
    <col width="16" customWidth="1" min="28" max="28"/>
    <col width="8" customWidth="1" min="29" max="29"/>
    <col width="12" customWidth="1" min="30" max="30"/>
    <col width="50" customWidth="1" min="31" max="31"/>
    <col width="16" customWidth="1" min="32" max="32"/>
    <col width="30" customWidth="1" min="33" max="33"/>
    <col width="11" customWidth="1" min="34" max="34"/>
    <col width="11" customWidth="1" min="35" max="35"/>
    <col width="13" customWidth="1" min="36" max="36"/>
    <col width="26" customWidth="1" min="37" max="37"/>
    <col width="7" customWidth="1" min="38" max="38"/>
    <col width="11" customWidth="1" min="39" max="39"/>
    <col width="7" customWidth="1" min="40" max="40"/>
    <col width="40" customWidth="1" min="41" max="41"/>
    <col width="18" customWidth="1" min="42" max="42"/>
    <col width="5" customWidth="1" min="43" max="43"/>
    <col width="34" customWidth="1" min="44" max="44"/>
    <col width="10" customWidth="1" min="45" max="45"/>
    <col width="13" customWidth="1" min="46" max="46"/>
    <col width="10" customWidth="1" min="47" max="47"/>
    <col width="6" customWidth="1" min="48" max="48"/>
    <col width="30" customWidth="1" min="49" max="49"/>
  </cols>
  <sheetData>
    <row r="1" ht="34" customHeight="1">
      <c r="A1" s="14" t="inlineStr">
        <is>
          <t>CREDITOR — company owed money</t>
        </is>
      </c>
      <c r="B1" s="14" t="inlineStr">
        <is>
          <t>AMOUNT OWED (R$)</t>
        </is>
      </c>
      <c r="C1" s="14" t="inlineStr">
        <is>
          <t>DEBTOR — company in RJ</t>
        </is>
      </c>
      <c r="D1" s="14" t="inlineStr">
        <is>
          <t>STATUS</t>
        </is>
      </c>
      <c r="E1" s="14" t="inlineStr">
        <is>
          <t>LAST TOUCH</t>
        </is>
      </c>
      <c r="F1" s="14" t="inlineStr">
        <is>
          <t>NEXT ACTION</t>
        </is>
      </c>
      <c r="G1" s="14" t="inlineStr">
        <is>
          <t>NEXT DATE</t>
        </is>
      </c>
      <c r="H1" s="14" t="inlineStr">
        <is>
          <t>NOTES</t>
        </is>
      </c>
      <c r="I1" s="14" t="inlineStr">
        <is>
          <t>DECISION MAKER</t>
        </is>
      </c>
      <c r="J1" s="14" t="inlineStr">
        <is>
          <t>Role</t>
        </is>
      </c>
      <c r="K1" s="14" t="inlineStr">
        <is>
          <t>Phone 1</t>
        </is>
      </c>
      <c r="L1" s="14" t="inlineStr">
        <is>
          <t>Phone 2</t>
        </is>
      </c>
      <c r="M1" s="14" t="inlineStr">
        <is>
          <t>Mobile (Apollo)</t>
        </is>
      </c>
      <c r="N1" s="14" t="inlineStr">
        <is>
          <t>Email</t>
        </is>
      </c>
      <c r="O1" s="14" t="inlineStr">
        <is>
          <t>Email 2</t>
        </is>
      </c>
      <c r="P1" s="14" t="inlineStr">
        <is>
          <t>BACKUP CONTACT</t>
        </is>
      </c>
      <c r="Q1" s="14" t="inlineStr">
        <is>
          <t>Backup role</t>
        </is>
      </c>
      <c r="R1" s="14" t="inlineStr">
        <is>
          <t>Backup phone</t>
        </is>
      </c>
      <c r="S1" s="14" t="inlineStr">
        <is>
          <t>Backup email</t>
        </is>
      </c>
      <c r="T1" s="14" t="inlineStr">
        <is>
          <t>FACE VALUE (as printed)</t>
        </is>
      </c>
      <c r="U1" s="14" t="inlineStr">
        <is>
          <t>DEBTOR BAND</t>
        </is>
      </c>
      <c r="V1" s="14" t="inlineStr">
        <is>
          <t>Exp. recovery %</t>
        </is>
      </c>
      <c r="W1" s="14" t="inlineStr">
        <is>
          <t>Years to payment</t>
        </is>
      </c>
      <c r="X1" s="14" t="inlineStr">
        <is>
          <t>FUND PRICE @ IRR (R$)</t>
        </is>
      </c>
      <c r="Y1" s="14" t="inlineStr">
        <is>
          <t>cents</t>
        </is>
      </c>
      <c r="Z1" s="14" t="inlineStr">
        <is>
          <t>OUR QUOTE (R$)</t>
        </is>
      </c>
      <c r="AA1" s="14" t="inlineStr">
        <is>
          <t>cents</t>
        </is>
      </c>
      <c r="AB1" s="14" t="inlineStr">
        <is>
          <t>OUR ÁGIO (R$)</t>
        </is>
      </c>
      <c r="AC1" s="14" t="inlineStr">
        <is>
          <t>Ágio pts of face</t>
        </is>
      </c>
      <c r="AD1" s="14" t="inlineStr">
        <is>
          <t>Plan status</t>
        </is>
      </c>
      <c r="AE1" s="14" t="inlineStr">
        <is>
          <t>PROOF: source document</t>
        </is>
      </c>
      <c r="AF1" s="14" t="inlineStr">
        <is>
          <t>Page / row</t>
        </is>
      </c>
      <c r="AG1" s="14" t="inlineStr">
        <is>
          <t>Value as printed</t>
        </is>
      </c>
      <c r="AH1" s="14" t="inlineStr">
        <is>
          <t>Which list</t>
        </is>
      </c>
      <c r="AI1" s="14" t="inlineStr">
        <is>
          <t>Published</t>
        </is>
      </c>
      <c r="AJ1" s="14" t="inlineStr">
        <is>
          <t>Reconciled</t>
        </is>
      </c>
      <c r="AK1" s="14" t="inlineStr">
        <is>
          <t>Case number</t>
        </is>
      </c>
      <c r="AL1" s="14" t="inlineStr">
        <is>
          <t>Court</t>
        </is>
      </c>
      <c r="AM1" s="14" t="inlineStr">
        <is>
          <t>Stage</t>
        </is>
      </c>
      <c r="AN1" s="14" t="inlineStr">
        <is>
          <t>Filed</t>
        </is>
      </c>
      <c r="AO1" s="14" t="inlineStr">
        <is>
          <t>Band reason</t>
        </is>
      </c>
      <c r="AP1" s="14" t="inlineStr">
        <is>
          <t>City</t>
        </is>
      </c>
      <c r="AQ1" s="14" t="inlineStr">
        <is>
          <t>UF</t>
        </is>
      </c>
      <c r="AR1" s="14" t="inlineStr">
        <is>
          <t>Sector</t>
        </is>
      </c>
      <c r="AS1" s="14" t="inlineStr">
        <is>
          <t>Size</t>
        </is>
      </c>
      <c r="AT1" s="14" t="inlineStr">
        <is>
          <t>Seller fit</t>
        </is>
      </c>
      <c r="AU1" s="14" t="inlineStr">
        <is>
          <t>CNPJ root</t>
        </is>
      </c>
      <c r="AV1" s="14" t="inlineStr">
        <is>
          <t>Claims</t>
        </is>
      </c>
      <c r="AW1" s="14" t="inlineStr">
        <is>
          <t>Flags</t>
        </is>
      </c>
    </row>
    <row r="2">
      <c r="A2" s="15" t="inlineStr">
        <is>
          <t>TRAVESSIA SECURITIZADORA DE CREDITOS MERCANTIS XXV S.A.</t>
        </is>
      </c>
      <c r="B2" s="16" t="n">
        <v>860209703.42</v>
      </c>
      <c r="C2" s="17" t="inlineStr">
        <is>
          <t>EGESA ENGENHARIA S/A (Consórcio ETDI)</t>
        </is>
      </c>
      <c r="D2" s="18" t="inlineStr">
        <is>
          <t>NEW</t>
        </is>
      </c>
      <c r="E2" s="19" t="inlineStr"/>
      <c r="F2" s="18" t="inlineStr"/>
      <c r="G2" s="19" t="inlineStr"/>
      <c r="H2" s="18" t="inlineStr"/>
      <c r="I2" s="20" t="inlineStr">
        <is>
          <t>VINICIUS BERNARDES BASILE SILVEIRA STOPA</t>
        </is>
      </c>
      <c r="J2" s="20" t="inlineStr">
        <is>
          <t>Presidente</t>
        </is>
      </c>
      <c r="K2" s="20" t="inlineStr">
        <is>
          <t>(11) 4115-8700</t>
        </is>
      </c>
      <c r="L2" s="20" t="inlineStr"/>
      <c r="M2" s="20" t="inlineStr"/>
      <c r="N2" s="20" t="inlineStr"/>
      <c r="O2" s="20" t="inlineStr"/>
      <c r="P2" s="20" t="inlineStr">
        <is>
          <t>CAMILA MARIA OLIVEIRA</t>
        </is>
      </c>
      <c r="Q2" s="20" t="inlineStr">
        <is>
          <t>Diretor</t>
        </is>
      </c>
      <c r="R2" s="20" t="inlineStr">
        <is>
          <t>(11) 4115-8700</t>
        </is>
      </c>
      <c r="S2" s="20" t="inlineStr"/>
      <c r="T2" s="21" t="n">
        <v>860209703.42</v>
      </c>
      <c r="U2" s="30" t="inlineStr">
        <is>
          <t>?</t>
        </is>
      </c>
      <c r="V2" s="23">
        <f>IFERROR(VLOOKUP(U2,Assumptions!$A$7:$D$11,2,FALSE),0)</f>
        <v/>
      </c>
      <c r="W2" s="24">
        <f>MAX(0.5,IFERROR(VLOOKUP(U2,Assumptions!$A$7:$D$11,3,FALSE),3)+IFERROR(VLOOKUP(U2,Assumptions!$A$7:$D$11,4,FALSE),8)/2-IF(AN2="",0,YEAR(TODAY())-AN2))</f>
        <v/>
      </c>
      <c r="X2" s="21">
        <f>T2*V2/(1+Assumptions!$B$3)^W2</f>
        <v/>
      </c>
      <c r="Y2" s="25">
        <f>IF(T2=0,"",ROUND(X2/T2*100,1))</f>
        <v/>
      </c>
      <c r="Z2" s="26">
        <f>X2*Assumptions!$B$4</f>
        <v/>
      </c>
      <c r="AA2" s="25">
        <f>IF(T2=0,"",ROUND(Z2/T2*100,1))</f>
        <v/>
      </c>
      <c r="AB2" s="26">
        <f>X2-Z2</f>
        <v/>
      </c>
      <c r="AC2" s="25">
        <f>IF(T2=0,"",ROUND((X2-Z2)/T2*100,1))</f>
        <v/>
      </c>
      <c r="AD2" s="27" t="inlineStr">
        <is>
          <t>UNKNOWN</t>
        </is>
      </c>
      <c r="AE2" s="28" t="inlineStr">
        <is>
          <t>https://scalzilliaj.com.br/sgc/download.php?file=files/processo_documento/processo_documento09514021082025_1_.pdf&amp;nome=04 - Relação de credores das Recuperandas</t>
        </is>
      </c>
      <c r="AF2" s="27" t="inlineStr">
        <is>
          <t>p74 r14; p74 r15; p75 r1; p75 r2; p75 r3</t>
        </is>
      </c>
      <c r="AG2" s="27" t="inlineStr">
        <is>
          <t>p74: R$ 353.866.498,00; p74: R$ 298.441.197,42; p75: R$ 135.449.857,00; p75: R$ 46.031.397,00; p75: R$ 26.420.754,00</t>
        </is>
      </c>
      <c r="AH2" s="27" t="inlineStr">
        <is>
          <t>DEBTOR_LIST</t>
        </is>
      </c>
      <c r="AI2" s="27" t="inlineStr"/>
      <c r="AJ2" s="27" t="inlineStr">
        <is>
          <t>OK</t>
        </is>
      </c>
      <c r="AK2" s="29" t="inlineStr">
        <is>
          <t>(not printed)</t>
        </is>
      </c>
      <c r="AL2" s="29" t="inlineStr"/>
      <c r="AM2" s="29" t="inlineStr"/>
      <c r="AN2" s="29" t="inlineStr"/>
      <c r="AO2" s="29" t="inlineStr">
        <is>
          <t>RJ case number not identified on the document</t>
        </is>
      </c>
      <c r="AP2" s="29" t="inlineStr">
        <is>
          <t>SAO PAULO</t>
        </is>
      </c>
      <c r="AQ2" s="29" t="inlineStr">
        <is>
          <t>SP</t>
        </is>
      </c>
      <c r="AR2" s="29" t="inlineStr">
        <is>
          <t>Securitização de créditos</t>
        </is>
      </c>
      <c r="AS2" s="29" t="inlineStr">
        <is>
          <t>DEMAIS</t>
        </is>
      </c>
      <c r="AT2" s="29" t="inlineStr">
        <is>
          <t>MID-MARKET</t>
        </is>
      </c>
      <c r="AU2" s="29" t="inlineStr">
        <is>
          <t>45741898</t>
        </is>
      </c>
      <c r="AV2" s="29" t="n">
        <v>5</v>
      </c>
      <c r="AW2" s="29" t="inlineStr">
        <is>
          <t>LIKELY_FINANCIAL_BY_NAME ROWS:p74r14,p74r15,p75r1,p75r2,p75r3 VALUE_COL:Valor_Atualizado CASE_NUMBER_CORRECTED</t>
        </is>
      </c>
    </row>
    <row r="3">
      <c r="A3" s="15" t="inlineStr">
        <is>
          <t>CAIXA ECONOMICA FEDERAL</t>
        </is>
      </c>
      <c r="B3" s="16" t="n">
        <v>426018950.32</v>
      </c>
      <c r="C3" s="17" t="inlineStr">
        <is>
          <t>EGESA ENGENHARIA S/A (Consórcio ETDI)</t>
        </is>
      </c>
      <c r="D3" s="18" t="inlineStr">
        <is>
          <t>NEW</t>
        </is>
      </c>
      <c r="E3" s="19" t="inlineStr"/>
      <c r="F3" s="18" t="inlineStr"/>
      <c r="G3" s="19" t="inlineStr"/>
      <c r="H3" s="18" t="inlineStr"/>
      <c r="I3" s="20" t="inlineStr">
        <is>
          <t>ADRIANO ASSIS MATIAS</t>
        </is>
      </c>
      <c r="J3" s="20" t="inlineStr">
        <is>
          <t>Administrador</t>
        </is>
      </c>
      <c r="K3" s="20" t="inlineStr">
        <is>
          <t>(00) 4004-0104</t>
        </is>
      </c>
      <c r="L3" s="20" t="inlineStr"/>
      <c r="M3" s="20" t="inlineStr"/>
      <c r="N3" s="20" t="inlineStr"/>
      <c r="O3" s="20" t="inlineStr"/>
      <c r="P3" s="20" t="inlineStr">
        <is>
          <t>HENRIETE ALEXANDRA SARTORI BERNABE</t>
        </is>
      </c>
      <c r="Q3" s="20" t="inlineStr">
        <is>
          <t>Administrador</t>
        </is>
      </c>
      <c r="R3" s="20" t="inlineStr">
        <is>
          <t>(00) 4004-0104</t>
        </is>
      </c>
      <c r="S3" s="20" t="inlineStr"/>
      <c r="T3" s="21" t="n">
        <v>426018950.32</v>
      </c>
      <c r="U3" s="30" t="inlineStr">
        <is>
          <t>?</t>
        </is>
      </c>
      <c r="V3" s="23">
        <f>IFERROR(VLOOKUP(U3,Assumptions!$A$7:$D$11,2,FALSE),0)</f>
        <v/>
      </c>
      <c r="W3" s="24">
        <f>MAX(0.5,IFERROR(VLOOKUP(U3,Assumptions!$A$7:$D$11,3,FALSE),3)+IFERROR(VLOOKUP(U3,Assumptions!$A$7:$D$11,4,FALSE),8)/2-IF(AN3="",0,YEAR(TODAY())-AN3))</f>
        <v/>
      </c>
      <c r="X3" s="21">
        <f>T3*V3/(1+Assumptions!$B$3)^W3</f>
        <v/>
      </c>
      <c r="Y3" s="25">
        <f>IF(T3=0,"",ROUND(X3/T3*100,1))</f>
        <v/>
      </c>
      <c r="Z3" s="26">
        <f>X3*Assumptions!$B$4</f>
        <v/>
      </c>
      <c r="AA3" s="25">
        <f>IF(T3=0,"",ROUND(Z3/T3*100,1))</f>
        <v/>
      </c>
      <c r="AB3" s="26">
        <f>X3-Z3</f>
        <v/>
      </c>
      <c r="AC3" s="25">
        <f>IF(T3=0,"",ROUND((X3-Z3)/T3*100,1))</f>
        <v/>
      </c>
      <c r="AD3" s="27" t="inlineStr">
        <is>
          <t>UNKNOWN</t>
        </is>
      </c>
      <c r="AE3" s="28" t="inlineStr">
        <is>
          <t>https://scalzilliaj.com.br/sgc/download.php?file=files/processo_documento/processo_documento09514021082025_1_.pdf&amp;nome=04 - Relação de credores das Recuperandas</t>
        </is>
      </c>
      <c r="AF3" s="27" t="inlineStr">
        <is>
          <t>p63 r17</t>
        </is>
      </c>
      <c r="AG3" s="27" t="inlineStr">
        <is>
          <t>p63: R$ 426.018.950,32</t>
        </is>
      </c>
      <c r="AH3" s="27" t="inlineStr">
        <is>
          <t>DEBTOR_LIST</t>
        </is>
      </c>
      <c r="AI3" s="27" t="inlineStr"/>
      <c r="AJ3" s="27" t="inlineStr">
        <is>
          <t>OK</t>
        </is>
      </c>
      <c r="AK3" s="29" t="inlineStr">
        <is>
          <t>(not printed)</t>
        </is>
      </c>
      <c r="AL3" s="29" t="inlineStr"/>
      <c r="AM3" s="29" t="inlineStr"/>
      <c r="AN3" s="29" t="inlineStr"/>
      <c r="AO3" s="29" t="inlineStr">
        <is>
          <t>RJ case number not identified on the document</t>
        </is>
      </c>
      <c r="AP3" s="29" t="inlineStr">
        <is>
          <t>BRASILIA</t>
        </is>
      </c>
      <c r="AQ3" s="29" t="inlineStr">
        <is>
          <t>DF</t>
        </is>
      </c>
      <c r="AR3" s="29" t="inlineStr">
        <is>
          <t>Caixas econômicas</t>
        </is>
      </c>
      <c r="AS3" s="29" t="inlineStr">
        <is>
          <t>DEMAIS</t>
        </is>
      </c>
      <c r="AT3" s="29" t="inlineStr">
        <is>
          <t>LARGE CORP</t>
        </is>
      </c>
      <c r="AU3" s="29" t="inlineStr">
        <is>
          <t>00360305</t>
        </is>
      </c>
      <c r="AV3" s="29" t="n">
        <v>1</v>
      </c>
      <c r="AW3" s="29" t="inlineStr">
        <is>
          <t>LIKELY_FINANCIAL_BY_NAME ROWS:p63r17 VALUE_COL:Valor_Atualizado CASE_NUMBER_CORRECTED</t>
        </is>
      </c>
    </row>
    <row r="4">
      <c r="A4" s="15" t="inlineStr">
        <is>
          <t>CAIXA ECONOMICA FEDERAL</t>
        </is>
      </c>
      <c r="B4" s="16" t="n">
        <v>62052412.02</v>
      </c>
      <c r="C4" s="17" t="inlineStr">
        <is>
          <t>ASSOCIACAO DE CARIDADE SANTA CASA DE RIO GRANDE</t>
        </is>
      </c>
      <c r="D4" s="18" t="inlineStr">
        <is>
          <t>NEW</t>
        </is>
      </c>
      <c r="E4" s="19" t="inlineStr"/>
      <c r="F4" s="18" t="inlineStr"/>
      <c r="G4" s="19" t="inlineStr"/>
      <c r="H4" s="18" t="inlineStr"/>
      <c r="I4" s="20" t="inlineStr">
        <is>
          <t>ADRIANO ASSIS MATIAS</t>
        </is>
      </c>
      <c r="J4" s="20" t="inlineStr">
        <is>
          <t>Administrador</t>
        </is>
      </c>
      <c r="K4" s="20" t="inlineStr">
        <is>
          <t>(00) 4004-0104</t>
        </is>
      </c>
      <c r="L4" s="20" t="inlineStr"/>
      <c r="M4" s="20" t="inlineStr"/>
      <c r="N4" s="20" t="inlineStr"/>
      <c r="O4" s="20" t="inlineStr"/>
      <c r="P4" s="20" t="inlineStr">
        <is>
          <t>HENRIETE ALEXANDRA SARTORI BERNABE</t>
        </is>
      </c>
      <c r="Q4" s="20" t="inlineStr">
        <is>
          <t>Administrador</t>
        </is>
      </c>
      <c r="R4" s="20" t="inlineStr">
        <is>
          <t>(00) 4004-0104</t>
        </is>
      </c>
      <c r="S4" s="20" t="inlineStr"/>
      <c r="T4" s="21" t="n">
        <v>62052412.02</v>
      </c>
      <c r="U4" s="22" t="inlineStr">
        <is>
          <t>B</t>
        </is>
      </c>
      <c r="V4" s="23">
        <f>IFERROR(VLOOKUP(U4,Assumptions!$A$7:$D$11,2,FALSE),0)</f>
        <v/>
      </c>
      <c r="W4" s="24">
        <f>MAX(0.5,IFERROR(VLOOKUP(U4,Assumptions!$A$7:$D$11,3,FALSE),3)+IFERROR(VLOOKUP(U4,Assumptions!$A$7:$D$11,4,FALSE),8)/2-IF(AN4="",0,YEAR(TODAY())-AN4))</f>
        <v/>
      </c>
      <c r="X4" s="21">
        <f>T4*V4/(1+Assumptions!$B$3)^W4</f>
        <v/>
      </c>
      <c r="Y4" s="25">
        <f>IF(T4=0,"",ROUND(X4/T4*100,1))</f>
        <v/>
      </c>
      <c r="Z4" s="26">
        <f>X4*Assumptions!$B$4</f>
        <v/>
      </c>
      <c r="AA4" s="25">
        <f>IF(T4=0,"",ROUND(Z4/T4*100,1))</f>
        <v/>
      </c>
      <c r="AB4" s="26">
        <f>X4-Z4</f>
        <v/>
      </c>
      <c r="AC4" s="25">
        <f>IF(T4=0,"",ROUND((X4-Z4)/T4*100,1))</f>
        <v/>
      </c>
      <c r="AD4" s="27" t="inlineStr">
        <is>
          <t>ESTIMATED</t>
        </is>
      </c>
      <c r="AE4" s="28" t="inlineStr">
        <is>
          <t>https://scalzilliaj.com.br/sgc/download.php?file=files/processo_documento/processo_documento09120721032023_1_.pdf&amp;nome=15 - Edital do art. 7º, §2º e 53 da Lei 11.101/2005 (segunda lista de credores e recebimento do plano))</t>
        </is>
      </c>
      <c r="AF4" s="27" t="inlineStr">
        <is>
          <t>p26 r16</t>
        </is>
      </c>
      <c r="AG4" s="27" t="inlineStr">
        <is>
          <t>p26: R$ 62.052.412,02</t>
        </is>
      </c>
      <c r="AH4" s="27" t="inlineStr">
        <is>
          <t>AJ_LIST</t>
        </is>
      </c>
      <c r="AI4" s="27" t="inlineStr">
        <is>
          <t>2023-03-21</t>
        </is>
      </c>
      <c r="AJ4" s="27" t="inlineStr">
        <is>
          <t>OK_NO_TOTALS</t>
        </is>
      </c>
      <c r="AK4" s="29" t="inlineStr">
        <is>
          <t>5012306-16.2022.8.21.0023</t>
        </is>
      </c>
      <c r="AL4" s="29" t="inlineStr">
        <is>
          <t>TJRS</t>
        </is>
      </c>
      <c r="AM4" s="29" t="inlineStr">
        <is>
          <t>ACTIVE</t>
        </is>
      </c>
      <c r="AN4" s="29" t="n">
        <v>2022</v>
      </c>
      <c r="AO4" s="29" t="inlineStr">
        <is>
          <t>live case, no plan document yet</t>
        </is>
      </c>
      <c r="AP4" s="29" t="inlineStr">
        <is>
          <t>BRASILIA</t>
        </is>
      </c>
      <c r="AQ4" s="29" t="inlineStr">
        <is>
          <t>DF</t>
        </is>
      </c>
      <c r="AR4" s="29" t="inlineStr">
        <is>
          <t>Caixas econômicas</t>
        </is>
      </c>
      <c r="AS4" s="29" t="inlineStr">
        <is>
          <t>DEMAIS</t>
        </is>
      </c>
      <c r="AT4" s="29" t="inlineStr">
        <is>
          <t>LARGE CORP</t>
        </is>
      </c>
      <c r="AU4" s="29" t="inlineStr">
        <is>
          <t>00360305</t>
        </is>
      </c>
      <c r="AV4" s="29" t="n">
        <v>1</v>
      </c>
      <c r="AW4" s="29" t="inlineStr">
        <is>
          <t>LIKELY_FINANCIAL_BY_NAME ROWS:p26r16 UNRECONCILED_SOURCE</t>
        </is>
      </c>
    </row>
    <row r="5">
      <c r="A5" s="15" t="inlineStr">
        <is>
          <t>BANCO BRADESCO S.A.</t>
        </is>
      </c>
      <c r="B5" s="16" t="n">
        <v>166745196.81</v>
      </c>
      <c r="C5" s="17" t="inlineStr">
        <is>
          <t>EGESA ENGENHARIA S/A (Consórcio ETDI)</t>
        </is>
      </c>
      <c r="D5" s="18" t="inlineStr">
        <is>
          <t>NEW</t>
        </is>
      </c>
      <c r="E5" s="19" t="inlineStr"/>
      <c r="F5" s="18" t="inlineStr"/>
      <c r="G5" s="19" t="inlineStr"/>
      <c r="H5" s="18" t="inlineStr"/>
      <c r="I5" s="20" t="inlineStr">
        <is>
          <t>MARCELO DE ARAUJO NORONHA</t>
        </is>
      </c>
      <c r="J5" s="20" t="inlineStr">
        <is>
          <t>Presidente</t>
        </is>
      </c>
      <c r="K5" s="20" t="inlineStr">
        <is>
          <t>(11) 3684-5122</t>
        </is>
      </c>
      <c r="L5" s="20" t="inlineStr"/>
      <c r="M5" s="20" t="inlineStr"/>
      <c r="N5" s="20" t="inlineStr"/>
      <c r="O5" s="20" t="inlineStr"/>
      <c r="P5" s="20" t="inlineStr">
        <is>
          <t>AFRANIO CARLOS CAMARGO DANTZGER</t>
        </is>
      </c>
      <c r="Q5" s="20" t="inlineStr">
        <is>
          <t>Diretor</t>
        </is>
      </c>
      <c r="R5" s="20" t="inlineStr">
        <is>
          <t>(11) 3684-5122</t>
        </is>
      </c>
      <c r="S5" s="20" t="inlineStr"/>
      <c r="T5" s="21" t="n">
        <v>166745196.81</v>
      </c>
      <c r="U5" s="30" t="inlineStr">
        <is>
          <t>?</t>
        </is>
      </c>
      <c r="V5" s="23">
        <f>IFERROR(VLOOKUP(U5,Assumptions!$A$7:$D$11,2,FALSE),0)</f>
        <v/>
      </c>
      <c r="W5" s="24">
        <f>MAX(0.5,IFERROR(VLOOKUP(U5,Assumptions!$A$7:$D$11,3,FALSE),3)+IFERROR(VLOOKUP(U5,Assumptions!$A$7:$D$11,4,FALSE),8)/2-IF(AN5="",0,YEAR(TODAY())-AN5))</f>
        <v/>
      </c>
      <c r="X5" s="21">
        <f>T5*V5/(1+Assumptions!$B$3)^W5</f>
        <v/>
      </c>
      <c r="Y5" s="25">
        <f>IF(T5=0,"",ROUND(X5/T5*100,1))</f>
        <v/>
      </c>
      <c r="Z5" s="26">
        <f>X5*Assumptions!$B$4</f>
        <v/>
      </c>
      <c r="AA5" s="25">
        <f>IF(T5=0,"",ROUND(Z5/T5*100,1))</f>
        <v/>
      </c>
      <c r="AB5" s="26">
        <f>X5-Z5</f>
        <v/>
      </c>
      <c r="AC5" s="25">
        <f>IF(T5=0,"",ROUND((X5-Z5)/T5*100,1))</f>
        <v/>
      </c>
      <c r="AD5" s="27" t="inlineStr">
        <is>
          <t>UNKNOWN</t>
        </is>
      </c>
      <c r="AE5" s="28" t="inlineStr">
        <is>
          <t>https://scalzilliaj.com.br/sgc/download.php?file=files/processo_documento/processo_documento09514021082025_1_.pdf&amp;nome=04 - Relação de credores das Recuperandas</t>
        </is>
      </c>
      <c r="AF5" s="27" t="inlineStr">
        <is>
          <t>p62 r14</t>
        </is>
      </c>
      <c r="AG5" s="27" t="inlineStr">
        <is>
          <t>p62: R$ 166.745.196,81</t>
        </is>
      </c>
      <c r="AH5" s="27" t="inlineStr">
        <is>
          <t>DEBTOR_LIST</t>
        </is>
      </c>
      <c r="AI5" s="27" t="inlineStr"/>
      <c r="AJ5" s="27" t="inlineStr">
        <is>
          <t>OK</t>
        </is>
      </c>
      <c r="AK5" s="29" t="inlineStr">
        <is>
          <t>(not printed)</t>
        </is>
      </c>
      <c r="AL5" s="29" t="inlineStr"/>
      <c r="AM5" s="29" t="inlineStr"/>
      <c r="AN5" s="29" t="inlineStr"/>
      <c r="AO5" s="29" t="inlineStr">
        <is>
          <t>RJ case number not identified on the document</t>
        </is>
      </c>
      <c r="AP5" s="29" t="inlineStr">
        <is>
          <t>OSASCO</t>
        </is>
      </c>
      <c r="AQ5" s="29" t="inlineStr">
        <is>
          <t>SP</t>
        </is>
      </c>
      <c r="AR5" s="29" t="inlineStr">
        <is>
          <t>Bancos múltiplos, com carteira comercial</t>
        </is>
      </c>
      <c r="AS5" s="29" t="inlineStr">
        <is>
          <t>DEMAIS</t>
        </is>
      </c>
      <c r="AT5" s="29" t="inlineStr">
        <is>
          <t>LARGE CORP</t>
        </is>
      </c>
      <c r="AU5" s="29" t="inlineStr">
        <is>
          <t>60746948</t>
        </is>
      </c>
      <c r="AV5" s="29" t="n">
        <v>1</v>
      </c>
      <c r="AW5" s="29" t="inlineStr">
        <is>
          <t>LIKELY_FINANCIAL_BY_NAME ROWS:p62r14 VALUE_COL:Valor_Atualizado CASE_NUMBER_CORRECTED</t>
        </is>
      </c>
    </row>
    <row r="6">
      <c r="A6" s="15" t="inlineStr">
        <is>
          <t>BANCO DO BRASIL SA</t>
        </is>
      </c>
      <c r="B6" s="16" t="n">
        <v>43161497.61</v>
      </c>
      <c r="C6" s="17" t="inlineStr">
        <is>
          <t>Conduscabos Brasil Indústria Comércio de</t>
        </is>
      </c>
      <c r="D6" s="18" t="inlineStr">
        <is>
          <t>NEW</t>
        </is>
      </c>
      <c r="E6" s="19" t="inlineStr"/>
      <c r="F6" s="18" t="inlineStr"/>
      <c r="G6" s="19" t="inlineStr"/>
      <c r="H6" s="18" t="inlineStr"/>
      <c r="I6" s="20" t="inlineStr">
        <is>
          <t>TARCIANA PAULA GOMES MEDEIROS</t>
        </is>
      </c>
      <c r="J6" s="20" t="inlineStr">
        <is>
          <t>Presidente</t>
        </is>
      </c>
      <c r="K6" s="20" t="inlineStr">
        <is>
          <t>(61) 3493-9002</t>
        </is>
      </c>
      <c r="L6" s="20" t="inlineStr"/>
      <c r="M6" s="20" t="inlineStr"/>
      <c r="N6" s="20" t="inlineStr"/>
      <c r="O6" s="20" t="inlineStr"/>
      <c r="P6" s="20" t="inlineStr">
        <is>
          <t>ALAN CARLOS GUEDES DE OLIVEIRA</t>
        </is>
      </c>
      <c r="Q6" s="20" t="inlineStr">
        <is>
          <t>Diretor</t>
        </is>
      </c>
      <c r="R6" s="20" t="inlineStr">
        <is>
          <t>(61) 3493-9002</t>
        </is>
      </c>
      <c r="S6" s="20" t="inlineStr"/>
      <c r="T6" s="21" t="n">
        <v>43161497.61</v>
      </c>
      <c r="U6" s="22" t="inlineStr">
        <is>
          <t>B</t>
        </is>
      </c>
      <c r="V6" s="23">
        <f>IFERROR(VLOOKUP(U6,Assumptions!$A$7:$D$11,2,FALSE),0)</f>
        <v/>
      </c>
      <c r="W6" s="24">
        <f>MAX(0.5,IFERROR(VLOOKUP(U6,Assumptions!$A$7:$D$11,3,FALSE),3)+IFERROR(VLOOKUP(U6,Assumptions!$A$7:$D$11,4,FALSE),8)/2-IF(AN6="",0,YEAR(TODAY())-AN6))</f>
        <v/>
      </c>
      <c r="X6" s="21">
        <f>T6*V6/(1+Assumptions!$B$3)^W6</f>
        <v/>
      </c>
      <c r="Y6" s="25">
        <f>IF(T6=0,"",ROUND(X6/T6*100,1))</f>
        <v/>
      </c>
      <c r="Z6" s="26">
        <f>X6*Assumptions!$B$4</f>
        <v/>
      </c>
      <c r="AA6" s="25">
        <f>IF(T6=0,"",ROUND(Z6/T6*100,1))</f>
        <v/>
      </c>
      <c r="AB6" s="26">
        <f>X6-Z6</f>
        <v/>
      </c>
      <c r="AC6" s="25">
        <f>IF(T6=0,"",ROUND((X6-Z6)/T6*100,1))</f>
        <v/>
      </c>
      <c r="AD6" s="27" t="inlineStr">
        <is>
          <t>ESTIMATED</t>
        </is>
      </c>
      <c r="AE6" s="28" t="inlineStr">
        <is>
          <t>https://assistjud.com.br/wp-content/uploads/elementor/forms/65098c80a5824.pdf</t>
        </is>
      </c>
      <c r="AF6" s="27" t="inlineStr">
        <is>
          <t>p5 r9; p17 r3</t>
        </is>
      </c>
      <c r="AG6" s="27" t="inlineStr">
        <is>
          <t>p5: R$ 34.976.748,87; p17: R$ 8.184.748,74</t>
        </is>
      </c>
      <c r="AH6" s="27" t="inlineStr">
        <is>
          <t>AJ_LIST</t>
        </is>
      </c>
      <c r="AI6" s="27" t="inlineStr">
        <is>
          <t>2023-09-18</t>
        </is>
      </c>
      <c r="AJ6" s="27" t="inlineStr">
        <is>
          <t>OK_NO_TOTALS</t>
        </is>
      </c>
      <c r="AK6" s="29" t="inlineStr">
        <is>
          <t>8005129-09.2023.8.05.0039</t>
        </is>
      </c>
      <c r="AL6" s="29" t="inlineStr">
        <is>
          <t>TJBA</t>
        </is>
      </c>
      <c r="AM6" s="29" t="inlineStr">
        <is>
          <t>ACTIVE</t>
        </is>
      </c>
      <c r="AN6" s="29" t="n">
        <v>2023</v>
      </c>
      <c r="AO6" s="29" t="inlineStr">
        <is>
          <t>live case, no plan document yet</t>
        </is>
      </c>
      <c r="AP6" s="29" t="inlineStr">
        <is>
          <t>BRASILIA</t>
        </is>
      </c>
      <c r="AQ6" s="29" t="inlineStr">
        <is>
          <t>DF</t>
        </is>
      </c>
      <c r="AR6" s="29" t="inlineStr">
        <is>
          <t>Bancos múltiplos, com carteira comercial</t>
        </is>
      </c>
      <c r="AS6" s="29" t="inlineStr">
        <is>
          <t>DEMAIS</t>
        </is>
      </c>
      <c r="AT6" s="29" t="inlineStr">
        <is>
          <t>LARGE CORP</t>
        </is>
      </c>
      <c r="AU6" s="29" t="inlineStr">
        <is>
          <t>00000000</t>
        </is>
      </c>
      <c r="AV6" s="29" t="n">
        <v>2</v>
      </c>
      <c r="AW6" s="29" t="inlineStr">
        <is>
          <t>LIKELY_FINANCIAL_BY_NAME ROWS:p5r9,p17r3 UNRECONCILED_SOURCE VALUE_COL:Valor_Do_Crédito_2º_Edital_De_Credores</t>
        </is>
      </c>
    </row>
    <row r="7">
      <c r="A7" s="15" t="inlineStr">
        <is>
          <t>BANCO SANTANDER (BRASIL) S.A.</t>
        </is>
      </c>
      <c r="B7" s="16" t="n">
        <v>53119917.67</v>
      </c>
      <c r="C7" s="17" t="inlineStr"/>
      <c r="D7" s="18" t="inlineStr">
        <is>
          <t>NEW</t>
        </is>
      </c>
      <c r="E7" s="19" t="inlineStr"/>
      <c r="F7" s="18" t="inlineStr"/>
      <c r="G7" s="19" t="inlineStr"/>
      <c r="H7" s="18" t="inlineStr"/>
      <c r="I7" s="20" t="inlineStr">
        <is>
          <t>GILSON FINKELSZTAIN</t>
        </is>
      </c>
      <c r="J7" s="20" t="inlineStr">
        <is>
          <t>Presidente</t>
        </is>
      </c>
      <c r="K7" s="20" t="inlineStr">
        <is>
          <t>(11) 4004-3535</t>
        </is>
      </c>
      <c r="L7" s="20" t="inlineStr"/>
      <c r="M7" s="20" t="inlineStr"/>
      <c r="N7" s="20" t="inlineStr"/>
      <c r="O7" s="20" t="inlineStr"/>
      <c r="P7" s="20" t="inlineStr">
        <is>
          <t>ALESSANDRO CHAGAS FARIAS</t>
        </is>
      </c>
      <c r="Q7" s="20" t="inlineStr">
        <is>
          <t>Diretor</t>
        </is>
      </c>
      <c r="R7" s="20" t="inlineStr">
        <is>
          <t>(11) 4004-3535</t>
        </is>
      </c>
      <c r="S7" s="20" t="inlineStr"/>
      <c r="T7" s="21" t="n">
        <v>53119917.67</v>
      </c>
      <c r="U7" s="22" t="inlineStr">
        <is>
          <t>B</t>
        </is>
      </c>
      <c r="V7" s="23">
        <f>IFERROR(VLOOKUP(U7,Assumptions!$A$7:$D$11,2,FALSE),0)</f>
        <v/>
      </c>
      <c r="W7" s="24">
        <f>MAX(0.5,IFERROR(VLOOKUP(U7,Assumptions!$A$7:$D$11,3,FALSE),3)+IFERROR(VLOOKUP(U7,Assumptions!$A$7:$D$11,4,FALSE),8)/2-IF(AN7="",0,YEAR(TODAY())-AN7))</f>
        <v/>
      </c>
      <c r="X7" s="21">
        <f>T7*V7/(1+Assumptions!$B$3)^W7</f>
        <v/>
      </c>
      <c r="Y7" s="25">
        <f>IF(T7=0,"",ROUND(X7/T7*100,1))</f>
        <v/>
      </c>
      <c r="Z7" s="26">
        <f>X7*Assumptions!$B$4</f>
        <v/>
      </c>
      <c r="AA7" s="25">
        <f>IF(T7=0,"",ROUND(Z7/T7*100,1))</f>
        <v/>
      </c>
      <c r="AB7" s="26">
        <f>X7-Z7</f>
        <v/>
      </c>
      <c r="AC7" s="25">
        <f>IF(T7=0,"",ROUND((X7-Z7)/T7*100,1))</f>
        <v/>
      </c>
      <c r="AD7" s="27" t="inlineStr">
        <is>
          <t>UNKNOWN</t>
        </is>
      </c>
      <c r="AE7" s="28" t="inlineStr">
        <is>
          <t>https://credibilita.com.br/wp-content/uploads/2025/09/Relacao-Credores-29.04.2026.pdf</t>
        </is>
      </c>
      <c r="AF7" s="27" t="inlineStr">
        <is>
          <t>p1 r13</t>
        </is>
      </c>
      <c r="AG7" s="27" t="inlineStr">
        <is>
          <t>p1: R$ 53.119.917,67</t>
        </is>
      </c>
      <c r="AH7" s="27" t="inlineStr">
        <is>
          <t>UNKNOWN</t>
        </is>
      </c>
      <c r="AI7" s="27" t="inlineStr"/>
      <c r="AJ7" s="27" t="inlineStr">
        <is>
          <t>OK_NO_TOTALS</t>
        </is>
      </c>
      <c r="AK7" s="29" t="inlineStr">
        <is>
          <t>5057720-48.2025.8.24.0023</t>
        </is>
      </c>
      <c r="AL7" s="29" t="inlineStr">
        <is>
          <t>TJ</t>
        </is>
      </c>
      <c r="AM7" s="29" t="inlineStr"/>
      <c r="AN7" s="29" t="n">
        <v>2025</v>
      </c>
      <c r="AO7" s="29" t="inlineStr">
        <is>
          <t>live case, no plan document yet</t>
        </is>
      </c>
      <c r="AP7" s="29" t="inlineStr">
        <is>
          <t>SAO PAULO</t>
        </is>
      </c>
      <c r="AQ7" s="29" t="inlineStr">
        <is>
          <t>SP</t>
        </is>
      </c>
      <c r="AR7" s="29" t="inlineStr">
        <is>
          <t>Bancos múltiplos, com carteira comercial</t>
        </is>
      </c>
      <c r="AS7" s="29" t="inlineStr">
        <is>
          <t>DEMAIS</t>
        </is>
      </c>
      <c r="AT7" s="29" t="inlineStr">
        <is>
          <t>LARGE CORP</t>
        </is>
      </c>
      <c r="AU7" s="29" t="inlineStr">
        <is>
          <t>90400888</t>
        </is>
      </c>
      <c r="AV7" s="29" t="n">
        <v>1</v>
      </c>
      <c r="AW7" s="29" t="inlineStr">
        <is>
          <t>ROWS:p1r13 UNRECONCILED_SOURCE VALUE_COL:Valor_Após_Analise</t>
        </is>
      </c>
    </row>
    <row r="8">
      <c r="A8" s="15" t="inlineStr">
        <is>
          <t>BANCO DO BRASIL SA</t>
        </is>
      </c>
      <c r="B8" s="16" t="n">
        <v>49456863.81</v>
      </c>
      <c r="C8" s="17" t="inlineStr"/>
      <c r="D8" s="18" t="inlineStr">
        <is>
          <t>NEW</t>
        </is>
      </c>
      <c r="E8" s="19" t="inlineStr"/>
      <c r="F8" s="18" t="inlineStr"/>
      <c r="G8" s="19" t="inlineStr"/>
      <c r="H8" s="18" t="inlineStr"/>
      <c r="I8" s="20" t="inlineStr">
        <is>
          <t>TARCIANA PAULA GOMES MEDEIROS</t>
        </is>
      </c>
      <c r="J8" s="20" t="inlineStr">
        <is>
          <t>Presidente</t>
        </is>
      </c>
      <c r="K8" s="20" t="inlineStr">
        <is>
          <t>(61) 3493-9002</t>
        </is>
      </c>
      <c r="L8" s="20" t="inlineStr"/>
      <c r="M8" s="20" t="inlineStr"/>
      <c r="N8" s="20" t="inlineStr"/>
      <c r="O8" s="20" t="inlineStr"/>
      <c r="P8" s="20" t="inlineStr">
        <is>
          <t>ALAN CARLOS GUEDES DE OLIVEIRA</t>
        </is>
      </c>
      <c r="Q8" s="20" t="inlineStr">
        <is>
          <t>Diretor</t>
        </is>
      </c>
      <c r="R8" s="20" t="inlineStr">
        <is>
          <t>(61) 3493-9002</t>
        </is>
      </c>
      <c r="S8" s="20" t="inlineStr"/>
      <c r="T8" s="21" t="n">
        <v>49456863.81</v>
      </c>
      <c r="U8" s="22" t="inlineStr">
        <is>
          <t>B</t>
        </is>
      </c>
      <c r="V8" s="23">
        <f>IFERROR(VLOOKUP(U8,Assumptions!$A$7:$D$11,2,FALSE),0)</f>
        <v/>
      </c>
      <c r="W8" s="24">
        <f>MAX(0.5,IFERROR(VLOOKUP(U8,Assumptions!$A$7:$D$11,3,FALSE),3)+IFERROR(VLOOKUP(U8,Assumptions!$A$7:$D$11,4,FALSE),8)/2-IF(AN8="",0,YEAR(TODAY())-AN8))</f>
        <v/>
      </c>
      <c r="X8" s="21">
        <f>T8*V8/(1+Assumptions!$B$3)^W8</f>
        <v/>
      </c>
      <c r="Y8" s="25">
        <f>IF(T8=0,"",ROUND(X8/T8*100,1))</f>
        <v/>
      </c>
      <c r="Z8" s="26">
        <f>X8*Assumptions!$B$4</f>
        <v/>
      </c>
      <c r="AA8" s="25">
        <f>IF(T8=0,"",ROUND(Z8/T8*100,1))</f>
        <v/>
      </c>
      <c r="AB8" s="26">
        <f>X8-Z8</f>
        <v/>
      </c>
      <c r="AC8" s="25">
        <f>IF(T8=0,"",ROUND((X8-Z8)/T8*100,1))</f>
        <v/>
      </c>
      <c r="AD8" s="27" t="inlineStr">
        <is>
          <t>UNKNOWN</t>
        </is>
      </c>
      <c r="AE8" s="28" t="inlineStr">
        <is>
          <t>https://credibilita.com.br/wp-content/uploads/2025/09/Relacao-Credores-29.04.2026.pdf</t>
        </is>
      </c>
      <c r="AF8" s="27" t="inlineStr">
        <is>
          <t>p1 r10</t>
        </is>
      </c>
      <c r="AG8" s="27" t="inlineStr">
        <is>
          <t>p1: R$ 49.456.863,81</t>
        </is>
      </c>
      <c r="AH8" s="27" t="inlineStr">
        <is>
          <t>UNKNOWN</t>
        </is>
      </c>
      <c r="AI8" s="27" t="inlineStr"/>
      <c r="AJ8" s="27" t="inlineStr">
        <is>
          <t>OK_NO_TOTALS</t>
        </is>
      </c>
      <c r="AK8" s="29" t="inlineStr">
        <is>
          <t>5057720-48.2025.8.24.0023</t>
        </is>
      </c>
      <c r="AL8" s="29" t="inlineStr">
        <is>
          <t>TJ</t>
        </is>
      </c>
      <c r="AM8" s="29" t="inlineStr"/>
      <c r="AN8" s="29" t="n">
        <v>2025</v>
      </c>
      <c r="AO8" s="29" t="inlineStr">
        <is>
          <t>live case, no plan document yet</t>
        </is>
      </c>
      <c r="AP8" s="29" t="inlineStr">
        <is>
          <t>BRASILIA</t>
        </is>
      </c>
      <c r="AQ8" s="29" t="inlineStr">
        <is>
          <t>DF</t>
        </is>
      </c>
      <c r="AR8" s="29" t="inlineStr">
        <is>
          <t>Bancos múltiplos, com carteira comercial</t>
        </is>
      </c>
      <c r="AS8" s="29" t="inlineStr">
        <is>
          <t>DEMAIS</t>
        </is>
      </c>
      <c r="AT8" s="29" t="inlineStr">
        <is>
          <t>LARGE CORP</t>
        </is>
      </c>
      <c r="AU8" s="29" t="inlineStr">
        <is>
          <t>00000000</t>
        </is>
      </c>
      <c r="AV8" s="29" t="n">
        <v>1</v>
      </c>
      <c r="AW8" s="29" t="inlineStr">
        <is>
          <t>ROWS:p1r10 UNRECONCILED_SOURCE VALUE_COL:Valor_Após_Analise</t>
        </is>
      </c>
    </row>
    <row r="9">
      <c r="A9" s="15" t="inlineStr">
        <is>
          <t>BANCO RURAL S.A - EM LIQUIDACAO EXTRAJUDICIAL</t>
        </is>
      </c>
      <c r="B9" s="16" t="n">
        <v>91334195.52</v>
      </c>
      <c r="C9" s="17" t="inlineStr">
        <is>
          <t>EGESA ENGENHARIA S/A (Consórcio ETDI)</t>
        </is>
      </c>
      <c r="D9" s="18" t="inlineStr">
        <is>
          <t>NEW</t>
        </is>
      </c>
      <c r="E9" s="19" t="inlineStr"/>
      <c r="F9" s="18" t="inlineStr"/>
      <c r="G9" s="19" t="inlineStr"/>
      <c r="H9" s="18" t="inlineStr"/>
      <c r="I9" s="20" t="inlineStr">
        <is>
          <t>OSMAR BRASIL DE ALMEIDA</t>
        </is>
      </c>
      <c r="J9" s="20" t="inlineStr">
        <is>
          <t>Diretor</t>
        </is>
      </c>
      <c r="K9" s="20" t="inlineStr">
        <is>
          <t>(31) 2126-5207</t>
        </is>
      </c>
      <c r="L9" s="20" t="inlineStr"/>
      <c r="M9" s="20" t="inlineStr"/>
      <c r="N9" s="20" t="inlineStr"/>
      <c r="O9" s="20" t="inlineStr"/>
      <c r="P9" s="20" t="inlineStr"/>
      <c r="Q9" s="20" t="inlineStr"/>
      <c r="R9" s="20" t="inlineStr"/>
      <c r="S9" s="20" t="inlineStr"/>
      <c r="T9" s="21" t="n">
        <v>91334195.52</v>
      </c>
      <c r="U9" s="30" t="inlineStr">
        <is>
          <t>?</t>
        </is>
      </c>
      <c r="V9" s="23">
        <f>IFERROR(VLOOKUP(U9,Assumptions!$A$7:$D$11,2,FALSE),0)</f>
        <v/>
      </c>
      <c r="W9" s="24">
        <f>MAX(0.5,IFERROR(VLOOKUP(U9,Assumptions!$A$7:$D$11,3,FALSE),3)+IFERROR(VLOOKUP(U9,Assumptions!$A$7:$D$11,4,FALSE),8)/2-IF(AN9="",0,YEAR(TODAY())-AN9))</f>
        <v/>
      </c>
      <c r="X9" s="21">
        <f>T9*V9/(1+Assumptions!$B$3)^W9</f>
        <v/>
      </c>
      <c r="Y9" s="25">
        <f>IF(T9=0,"",ROUND(X9/T9*100,1))</f>
        <v/>
      </c>
      <c r="Z9" s="26">
        <f>X9*Assumptions!$B$4</f>
        <v/>
      </c>
      <c r="AA9" s="25">
        <f>IF(T9=0,"",ROUND(Z9/T9*100,1))</f>
        <v/>
      </c>
      <c r="AB9" s="26">
        <f>X9-Z9</f>
        <v/>
      </c>
      <c r="AC9" s="25">
        <f>IF(T9=0,"",ROUND((X9-Z9)/T9*100,1))</f>
        <v/>
      </c>
      <c r="AD9" s="27" t="inlineStr">
        <is>
          <t>UNKNOWN</t>
        </is>
      </c>
      <c r="AE9" s="28" t="inlineStr">
        <is>
          <t>https://scalzilliaj.com.br/sgc/download.php?file=files/processo_documento/processo_documento09514021082025_1_.pdf&amp;nome=04 - Relação de credores das Recuperandas</t>
        </is>
      </c>
      <c r="AF9" s="27" t="inlineStr">
        <is>
          <t>p62 r16</t>
        </is>
      </c>
      <c r="AG9" s="27" t="inlineStr">
        <is>
          <t>p62: R$ 91.334.195,52</t>
        </is>
      </c>
      <c r="AH9" s="27" t="inlineStr">
        <is>
          <t>DEBTOR_LIST</t>
        </is>
      </c>
      <c r="AI9" s="27" t="inlineStr"/>
      <c r="AJ9" s="27" t="inlineStr">
        <is>
          <t>OK</t>
        </is>
      </c>
      <c r="AK9" s="29" t="inlineStr">
        <is>
          <t>(not printed)</t>
        </is>
      </c>
      <c r="AL9" s="29" t="inlineStr"/>
      <c r="AM9" s="29" t="inlineStr"/>
      <c r="AN9" s="29" t="inlineStr"/>
      <c r="AO9" s="29" t="inlineStr">
        <is>
          <t>RJ case number not identified on the document</t>
        </is>
      </c>
      <c r="AP9" s="29" t="inlineStr">
        <is>
          <t>BELO HORIZONTE</t>
        </is>
      </c>
      <c r="AQ9" s="29" t="inlineStr">
        <is>
          <t>MG</t>
        </is>
      </c>
      <c r="AR9" s="29" t="inlineStr">
        <is>
          <t>Bancos múltiplos, com carteira comercial</t>
        </is>
      </c>
      <c r="AS9" s="29" t="inlineStr">
        <is>
          <t>DEMAIS</t>
        </is>
      </c>
      <c r="AT9" s="29" t="inlineStr">
        <is>
          <t>LARGE CORP</t>
        </is>
      </c>
      <c r="AU9" s="29" t="inlineStr">
        <is>
          <t>33124959</t>
        </is>
      </c>
      <c r="AV9" s="29" t="n">
        <v>1</v>
      </c>
      <c r="AW9" s="29" t="inlineStr">
        <is>
          <t>LIKELY_FINANCIAL_BY_NAME ROWS:p62r16 VALUE_COL:Valor_Atualizado CASE_NUMBER_CORRECTED</t>
        </is>
      </c>
    </row>
    <row r="10">
      <c r="A10" s="15" t="inlineStr">
        <is>
          <t>ITAU UNIBANCO S.A.</t>
        </is>
      </c>
      <c r="B10" s="16" t="n">
        <v>46224793.46</v>
      </c>
      <c r="C10" s="17" t="inlineStr"/>
      <c r="D10" s="18" t="inlineStr">
        <is>
          <t>NEW</t>
        </is>
      </c>
      <c r="E10" s="19" t="inlineStr"/>
      <c r="F10" s="18" t="inlineStr"/>
      <c r="G10" s="19" t="inlineStr"/>
      <c r="H10" s="18" t="inlineStr"/>
      <c r="I10" s="20" t="inlineStr">
        <is>
          <t>FELIPE SAMPAIO NABUCO</t>
        </is>
      </c>
      <c r="J10" s="20" t="inlineStr">
        <is>
          <t>Administrador</t>
        </is>
      </c>
      <c r="K10" s="20" t="inlineStr">
        <is>
          <t>(11) 3003-4828</t>
        </is>
      </c>
      <c r="L10" s="20" t="inlineStr"/>
      <c r="M10" s="20" t="inlineStr"/>
      <c r="N10" s="20" t="inlineStr"/>
      <c r="O10" s="20" t="inlineStr"/>
      <c r="P10" s="20" t="inlineStr">
        <is>
          <t>MILTON MALUHY FILHO</t>
        </is>
      </c>
      <c r="Q10" s="20" t="inlineStr">
        <is>
          <t>Presidente</t>
        </is>
      </c>
      <c r="R10" s="20" t="inlineStr">
        <is>
          <t>(11) 3003-4828</t>
        </is>
      </c>
      <c r="S10" s="20" t="inlineStr"/>
      <c r="T10" s="21" t="n">
        <v>46224793.46</v>
      </c>
      <c r="U10" s="22" t="inlineStr">
        <is>
          <t>B</t>
        </is>
      </c>
      <c r="V10" s="23">
        <f>IFERROR(VLOOKUP(U10,Assumptions!$A$7:$D$11,2,FALSE),0)</f>
        <v/>
      </c>
      <c r="W10" s="24">
        <f>MAX(0.5,IFERROR(VLOOKUP(U10,Assumptions!$A$7:$D$11,3,FALSE),3)+IFERROR(VLOOKUP(U10,Assumptions!$A$7:$D$11,4,FALSE),8)/2-IF(AN10="",0,YEAR(TODAY())-AN10))</f>
        <v/>
      </c>
      <c r="X10" s="21">
        <f>T10*V10/(1+Assumptions!$B$3)^W10</f>
        <v/>
      </c>
      <c r="Y10" s="25">
        <f>IF(T10=0,"",ROUND(X10/T10*100,1))</f>
        <v/>
      </c>
      <c r="Z10" s="26">
        <f>X10*Assumptions!$B$4</f>
        <v/>
      </c>
      <c r="AA10" s="25">
        <f>IF(T10=0,"",ROUND(Z10/T10*100,1))</f>
        <v/>
      </c>
      <c r="AB10" s="26">
        <f>X10-Z10</f>
        <v/>
      </c>
      <c r="AC10" s="25">
        <f>IF(T10=0,"",ROUND((X10-Z10)/T10*100,1))</f>
        <v/>
      </c>
      <c r="AD10" s="27" t="inlineStr">
        <is>
          <t>UNKNOWN</t>
        </is>
      </c>
      <c r="AE10" s="28" t="inlineStr">
        <is>
          <t>https://credibilita.com.br/wp-content/uploads/2025/09/Relacao-Credores-29.04.2026.pdf</t>
        </is>
      </c>
      <c r="AF10" s="27" t="inlineStr">
        <is>
          <t>p1 r28</t>
        </is>
      </c>
      <c r="AG10" s="27" t="inlineStr">
        <is>
          <t>p1: R$ 46.224.793,46</t>
        </is>
      </c>
      <c r="AH10" s="27" t="inlineStr">
        <is>
          <t>UNKNOWN</t>
        </is>
      </c>
      <c r="AI10" s="27" t="inlineStr"/>
      <c r="AJ10" s="27" t="inlineStr">
        <is>
          <t>OK_NO_TOTALS</t>
        </is>
      </c>
      <c r="AK10" s="29" t="inlineStr">
        <is>
          <t>5057720-48.2025.8.24.0023</t>
        </is>
      </c>
      <c r="AL10" s="29" t="inlineStr">
        <is>
          <t>TJ</t>
        </is>
      </c>
      <c r="AM10" s="29" t="inlineStr"/>
      <c r="AN10" s="29" t="n">
        <v>2025</v>
      </c>
      <c r="AO10" s="29" t="inlineStr">
        <is>
          <t>live case, no plan document yet</t>
        </is>
      </c>
      <c r="AP10" s="29" t="inlineStr">
        <is>
          <t>SAO PAULO</t>
        </is>
      </c>
      <c r="AQ10" s="29" t="inlineStr">
        <is>
          <t>SP</t>
        </is>
      </c>
      <c r="AR10" s="29" t="inlineStr">
        <is>
          <t>Bancos comerciais</t>
        </is>
      </c>
      <c r="AS10" s="29" t="inlineStr">
        <is>
          <t>DEMAIS</t>
        </is>
      </c>
      <c r="AT10" s="29" t="inlineStr">
        <is>
          <t>LARGE CORP</t>
        </is>
      </c>
      <c r="AU10" s="29" t="inlineStr">
        <is>
          <t>60701190</t>
        </is>
      </c>
      <c r="AV10" s="29" t="n">
        <v>1</v>
      </c>
      <c r="AW10" s="29" t="inlineStr">
        <is>
          <t>ROWS:p1r28 UNRECONCILED_SOURCE VALUE_COL:Valor_Após_Analise</t>
        </is>
      </c>
    </row>
    <row r="11">
      <c r="A11" s="15" t="inlineStr">
        <is>
          <t>BANK OF CHINA (BRASIL) BANCO MULTIPLO S/A</t>
        </is>
      </c>
      <c r="B11" s="16" t="n">
        <v>84072313.37</v>
      </c>
      <c r="C11" s="17" t="inlineStr">
        <is>
          <t>EGESA ENGENHARIA S/A (Consórcio ETDI)</t>
        </is>
      </c>
      <c r="D11" s="18" t="inlineStr">
        <is>
          <t>NEW</t>
        </is>
      </c>
      <c r="E11" s="19" t="inlineStr"/>
      <c r="F11" s="18" t="inlineStr"/>
      <c r="G11" s="19" t="inlineStr"/>
      <c r="H11" s="18" t="inlineStr"/>
      <c r="I11" s="20" t="inlineStr">
        <is>
          <t>CLAUDIO AUGUSTO ROTOLO</t>
        </is>
      </c>
      <c r="J11" s="20" t="inlineStr">
        <is>
          <t>Diretor</t>
        </is>
      </c>
      <c r="K11" s="20" t="inlineStr">
        <is>
          <t>(11) 2173-9000</t>
        </is>
      </c>
      <c r="L11" s="20" t="inlineStr"/>
      <c r="M11" s="20" t="inlineStr"/>
      <c r="N11" s="20" t="inlineStr"/>
      <c r="O11" s="20" t="inlineStr"/>
      <c r="P11" s="20" t="inlineStr">
        <is>
          <t>DEMING LI</t>
        </is>
      </c>
      <c r="Q11" s="20" t="inlineStr">
        <is>
          <t>Diretor</t>
        </is>
      </c>
      <c r="R11" s="20" t="inlineStr">
        <is>
          <t>(11) 2173-9000</t>
        </is>
      </c>
      <c r="S11" s="20" t="inlineStr"/>
      <c r="T11" s="21" t="n">
        <v>84072313.37</v>
      </c>
      <c r="U11" s="30" t="inlineStr">
        <is>
          <t>?</t>
        </is>
      </c>
      <c r="V11" s="23">
        <f>IFERROR(VLOOKUP(U11,Assumptions!$A$7:$D$11,2,FALSE),0)</f>
        <v/>
      </c>
      <c r="W11" s="24">
        <f>MAX(0.5,IFERROR(VLOOKUP(U11,Assumptions!$A$7:$D$11,3,FALSE),3)+IFERROR(VLOOKUP(U11,Assumptions!$A$7:$D$11,4,FALSE),8)/2-IF(AN11="",0,YEAR(TODAY())-AN11))</f>
        <v/>
      </c>
      <c r="X11" s="21">
        <f>T11*V11/(1+Assumptions!$B$3)^W11</f>
        <v/>
      </c>
      <c r="Y11" s="25">
        <f>IF(T11=0,"",ROUND(X11/T11*100,1))</f>
        <v/>
      </c>
      <c r="Z11" s="26">
        <f>X11*Assumptions!$B$4</f>
        <v/>
      </c>
      <c r="AA11" s="25">
        <f>IF(T11=0,"",ROUND(Z11/T11*100,1))</f>
        <v/>
      </c>
      <c r="AB11" s="26">
        <f>X11-Z11</f>
        <v/>
      </c>
      <c r="AC11" s="25">
        <f>IF(T11=0,"",ROUND((X11-Z11)/T11*100,1))</f>
        <v/>
      </c>
      <c r="AD11" s="27" t="inlineStr">
        <is>
          <t>UNKNOWN</t>
        </is>
      </c>
      <c r="AE11" s="28" t="inlineStr">
        <is>
          <t>https://scalzilliaj.com.br/sgc/download.php?file=files/processo_documento/processo_documento09514021082025_1_.pdf&amp;nome=04 - Relação de credores das Recuperandas</t>
        </is>
      </c>
      <c r="AF11" s="27" t="inlineStr">
        <is>
          <t>p64 r8</t>
        </is>
      </c>
      <c r="AG11" s="27" t="inlineStr">
        <is>
          <t>p64: R$ 84.072.313,37</t>
        </is>
      </c>
      <c r="AH11" s="27" t="inlineStr">
        <is>
          <t>DEBTOR_LIST</t>
        </is>
      </c>
      <c r="AI11" s="27" t="inlineStr"/>
      <c r="AJ11" s="27" t="inlineStr">
        <is>
          <t>OK</t>
        </is>
      </c>
      <c r="AK11" s="29" t="inlineStr">
        <is>
          <t>(not printed)</t>
        </is>
      </c>
      <c r="AL11" s="29" t="inlineStr"/>
      <c r="AM11" s="29" t="inlineStr"/>
      <c r="AN11" s="29" t="inlineStr"/>
      <c r="AO11" s="29" t="inlineStr">
        <is>
          <t>RJ case number not identified on the document</t>
        </is>
      </c>
      <c r="AP11" s="29" t="inlineStr">
        <is>
          <t>SAO PAULO</t>
        </is>
      </c>
      <c r="AQ11" s="29" t="inlineStr">
        <is>
          <t>SP</t>
        </is>
      </c>
      <c r="AR11" s="29" t="inlineStr">
        <is>
          <t>Bancos múltiplos, com carteira comercial</t>
        </is>
      </c>
      <c r="AS11" s="29" t="inlineStr">
        <is>
          <t>DEMAIS</t>
        </is>
      </c>
      <c r="AT11" s="29" t="inlineStr">
        <is>
          <t>LARGE CORP</t>
        </is>
      </c>
      <c r="AU11" s="29" t="inlineStr">
        <is>
          <t>07450604</t>
        </is>
      </c>
      <c r="AV11" s="29" t="n">
        <v>1</v>
      </c>
      <c r="AW11" s="29" t="inlineStr">
        <is>
          <t>LIKELY_FINANCIAL_BY_NAME ROWS:p64r8 VALUE_COL:Valor_Atualizado CASE_NUMBER_CORRECTED</t>
        </is>
      </c>
    </row>
    <row r="12">
      <c r="A12" s="15" t="inlineStr">
        <is>
          <t>BANCO SANTANDER (BRASIL) S.A.</t>
        </is>
      </c>
      <c r="B12" s="16" t="n">
        <v>81755024.22</v>
      </c>
      <c r="C12" s="17" t="inlineStr">
        <is>
          <t>EGESA ENGENHARIA S/A (Consórcio ETDI)</t>
        </is>
      </c>
      <c r="D12" s="18" t="inlineStr">
        <is>
          <t>NEW</t>
        </is>
      </c>
      <c r="E12" s="19" t="inlineStr"/>
      <c r="F12" s="18" t="inlineStr"/>
      <c r="G12" s="19" t="inlineStr"/>
      <c r="H12" s="18" t="inlineStr"/>
      <c r="I12" s="20" t="inlineStr">
        <is>
          <t>GILSON FINKELSZTAIN</t>
        </is>
      </c>
      <c r="J12" s="20" t="inlineStr">
        <is>
          <t>Presidente</t>
        </is>
      </c>
      <c r="K12" s="20" t="inlineStr">
        <is>
          <t>(11) 4004-3535</t>
        </is>
      </c>
      <c r="L12" s="20" t="inlineStr"/>
      <c r="M12" s="20" t="inlineStr"/>
      <c r="N12" s="20" t="inlineStr"/>
      <c r="O12" s="20" t="inlineStr"/>
      <c r="P12" s="20" t="inlineStr">
        <is>
          <t>ALESSANDRO CHAGAS FARIAS</t>
        </is>
      </c>
      <c r="Q12" s="20" t="inlineStr">
        <is>
          <t>Diretor</t>
        </is>
      </c>
      <c r="R12" s="20" t="inlineStr">
        <is>
          <t>(11) 4004-3535</t>
        </is>
      </c>
      <c r="S12" s="20" t="inlineStr"/>
      <c r="T12" s="21" t="n">
        <v>81755024.22</v>
      </c>
      <c r="U12" s="30" t="inlineStr">
        <is>
          <t>?</t>
        </is>
      </c>
      <c r="V12" s="23">
        <f>IFERROR(VLOOKUP(U12,Assumptions!$A$7:$D$11,2,FALSE),0)</f>
        <v/>
      </c>
      <c r="W12" s="24">
        <f>MAX(0.5,IFERROR(VLOOKUP(U12,Assumptions!$A$7:$D$11,3,FALSE),3)+IFERROR(VLOOKUP(U12,Assumptions!$A$7:$D$11,4,FALSE),8)/2-IF(AN12="",0,YEAR(TODAY())-AN12))</f>
        <v/>
      </c>
      <c r="X12" s="21">
        <f>T12*V12/(1+Assumptions!$B$3)^W12</f>
        <v/>
      </c>
      <c r="Y12" s="25">
        <f>IF(T12=0,"",ROUND(X12/T12*100,1))</f>
        <v/>
      </c>
      <c r="Z12" s="26">
        <f>X12*Assumptions!$B$4</f>
        <v/>
      </c>
      <c r="AA12" s="25">
        <f>IF(T12=0,"",ROUND(Z12/T12*100,1))</f>
        <v/>
      </c>
      <c r="AB12" s="26">
        <f>X12-Z12</f>
        <v/>
      </c>
      <c r="AC12" s="25">
        <f>IF(T12=0,"",ROUND((X12-Z12)/T12*100,1))</f>
        <v/>
      </c>
      <c r="AD12" s="27" t="inlineStr">
        <is>
          <t>UNKNOWN</t>
        </is>
      </c>
      <c r="AE12" s="28" t="inlineStr">
        <is>
          <t>https://scalzilliaj.com.br/sgc/download.php?file=files/processo_documento/processo_documento09514021082025_1_.pdf&amp;nome=04 - Relação de credores das Recuperandas</t>
        </is>
      </c>
      <c r="AF12" s="27" t="inlineStr">
        <is>
          <t>p62 r17</t>
        </is>
      </c>
      <c r="AG12" s="27" t="inlineStr">
        <is>
          <t>p62: R$ 81.755.024,22</t>
        </is>
      </c>
      <c r="AH12" s="27" t="inlineStr">
        <is>
          <t>DEBTOR_LIST</t>
        </is>
      </c>
      <c r="AI12" s="27" t="inlineStr"/>
      <c r="AJ12" s="27" t="inlineStr">
        <is>
          <t>OK</t>
        </is>
      </c>
      <c r="AK12" s="29" t="inlineStr">
        <is>
          <t>(not printed)</t>
        </is>
      </c>
      <c r="AL12" s="29" t="inlineStr"/>
      <c r="AM12" s="29" t="inlineStr"/>
      <c r="AN12" s="29" t="inlineStr"/>
      <c r="AO12" s="29" t="inlineStr">
        <is>
          <t>RJ case number not identified on the document</t>
        </is>
      </c>
      <c r="AP12" s="29" t="inlineStr">
        <is>
          <t>SAO PAULO</t>
        </is>
      </c>
      <c r="AQ12" s="29" t="inlineStr">
        <is>
          <t>SP</t>
        </is>
      </c>
      <c r="AR12" s="29" t="inlineStr">
        <is>
          <t>Bancos múltiplos, com carteira comercial</t>
        </is>
      </c>
      <c r="AS12" s="29" t="inlineStr">
        <is>
          <t>DEMAIS</t>
        </is>
      </c>
      <c r="AT12" s="29" t="inlineStr">
        <is>
          <t>LARGE CORP</t>
        </is>
      </c>
      <c r="AU12" s="29" t="inlineStr">
        <is>
          <t>90400888</t>
        </is>
      </c>
      <c r="AV12" s="29" t="n">
        <v>1</v>
      </c>
      <c r="AW12" s="29" t="inlineStr">
        <is>
          <t>LIKELY_FINANCIAL_BY_NAME ROWS:p62r17 VALUE_COL:Valor_Atualizado CASE_NUMBER_CORRECTED</t>
        </is>
      </c>
    </row>
    <row r="13">
      <c r="A13" s="15" t="inlineStr">
        <is>
          <t>Banco do Veneza Equipamentos Sul Comercio LTDA (CNPJ nº</t>
        </is>
      </c>
      <c r="B13" s="16" t="n">
        <v>19901498.91</v>
      </c>
      <c r="C13" s="17" t="inlineStr">
        <is>
          <t>CPX DISTRIBUIDORA S.A.</t>
        </is>
      </c>
      <c r="D13" s="18" t="inlineStr">
        <is>
          <t>NEW</t>
        </is>
      </c>
      <c r="E13" s="19" t="inlineStr"/>
      <c r="F13" s="18" t="inlineStr"/>
      <c r="G13" s="19" t="inlineStr"/>
      <c r="H13" s="18" t="inlineStr"/>
      <c r="I13" s="20" t="inlineStr"/>
      <c r="J13" s="20" t="inlineStr"/>
      <c r="K13" s="20" t="inlineStr"/>
      <c r="L13" s="20" t="inlineStr"/>
      <c r="M13" s="20" t="inlineStr"/>
      <c r="N13" s="20" t="inlineStr"/>
      <c r="O13" s="20" t="inlineStr"/>
      <c r="P13" s="20" t="inlineStr"/>
      <c r="Q13" s="20" t="inlineStr"/>
      <c r="R13" s="20" t="inlineStr"/>
      <c r="S13" s="20" t="inlineStr"/>
      <c r="T13" s="21" t="n">
        <v>19901498.91</v>
      </c>
      <c r="U13" s="22" t="inlineStr">
        <is>
          <t>B</t>
        </is>
      </c>
      <c r="V13" s="23">
        <f>IFERROR(VLOOKUP(U13,Assumptions!$A$7:$D$11,2,FALSE),0)</f>
        <v/>
      </c>
      <c r="W13" s="24">
        <f>MAX(0.5,IFERROR(VLOOKUP(U13,Assumptions!$A$7:$D$11,3,FALSE),3)+IFERROR(VLOOKUP(U13,Assumptions!$A$7:$D$11,4,FALSE),8)/2-IF(AN13="",0,YEAR(TODAY())-AN13))</f>
        <v/>
      </c>
      <c r="X13" s="21">
        <f>T13*V13/(1+Assumptions!$B$3)^W13</f>
        <v/>
      </c>
      <c r="Y13" s="25">
        <f>IF(T13=0,"",ROUND(X13/T13*100,1))</f>
        <v/>
      </c>
      <c r="Z13" s="26">
        <f>X13*Assumptions!$B$4</f>
        <v/>
      </c>
      <c r="AA13" s="25">
        <f>IF(T13=0,"",ROUND(Z13/T13*100,1))</f>
        <v/>
      </c>
      <c r="AB13" s="26">
        <f>X13-Z13</f>
        <v/>
      </c>
      <c r="AC13" s="25">
        <f>IF(T13=0,"",ROUND((X13-Z13)/T13*100,1))</f>
        <v/>
      </c>
      <c r="AD13" s="27" t="inlineStr">
        <is>
          <t>ESTIMATED</t>
        </is>
      </c>
      <c r="AE13" s="28" t="inlineStr">
        <is>
          <t>https://marquesadmjudicial.com.br/sgc/download.php?file=files/processo_documento/processo_documento16562707032024_1_.pdf&amp;nome=2º Edital-Relação de Credores do art. 7, §2 da LREF e do Plano de Recuperação Judicial</t>
        </is>
      </c>
      <c r="AF13" s="27" t="inlineStr">
        <is>
          <t>p1 r43</t>
        </is>
      </c>
      <c r="AG13" s="27" t="inlineStr">
        <is>
          <t>p1: R$ 19.901.498,91</t>
        </is>
      </c>
      <c r="AH13" s="27" t="inlineStr">
        <is>
          <t>AJ_LIST</t>
        </is>
      </c>
      <c r="AI13" s="27" t="inlineStr">
        <is>
          <t>2022-11-17</t>
        </is>
      </c>
      <c r="AJ13" s="27" t="inlineStr">
        <is>
          <t>OK_NO_TOTALS</t>
        </is>
      </c>
      <c r="AK13" s="29" t="inlineStr">
        <is>
          <t>0037411-27.2022.8.16.0021</t>
        </is>
      </c>
      <c r="AL13" s="29" t="inlineStr">
        <is>
          <t>TJPR</t>
        </is>
      </c>
      <c r="AM13" s="29" t="inlineStr">
        <is>
          <t>ACTIVE</t>
        </is>
      </c>
      <c r="AN13" s="29" t="n">
        <v>2022</v>
      </c>
      <c r="AO13" s="29" t="inlineStr">
        <is>
          <t>live case, no plan document yet</t>
        </is>
      </c>
      <c r="AP13" s="29" t="inlineStr"/>
      <c r="AQ13" s="29" t="inlineStr"/>
      <c r="AR13" s="29" t="inlineStr"/>
      <c r="AS13" s="29" t="inlineStr"/>
      <c r="AT13" s="29" t="inlineStr">
        <is>
          <t>MID-MARKET</t>
        </is>
      </c>
      <c r="AU13" s="29" t="inlineStr">
        <is>
          <t>29644666</t>
        </is>
      </c>
      <c r="AV13" s="29" t="n">
        <v>1</v>
      </c>
      <c r="AW13" s="29" t="inlineStr">
        <is>
          <t>LIKELY_FINANCIAL_BY_NAME MULTI_ROOT ROWS:p1r43 UNRECONCILED_SOURCE</t>
        </is>
      </c>
    </row>
    <row r="14">
      <c r="A14" s="15" t="inlineStr">
        <is>
          <t>BANCO VOTORANTIM S.A.</t>
        </is>
      </c>
      <c r="B14" s="16" t="n">
        <v>65326446.86</v>
      </c>
      <c r="C14" s="17" t="inlineStr">
        <is>
          <t>EGESA ENGENHARIA S/A (Consórcio ETDI)</t>
        </is>
      </c>
      <c r="D14" s="18" t="inlineStr">
        <is>
          <t>NEW</t>
        </is>
      </c>
      <c r="E14" s="19" t="inlineStr"/>
      <c r="F14" s="18" t="inlineStr"/>
      <c r="G14" s="19" t="inlineStr"/>
      <c r="H14" s="18" t="inlineStr"/>
      <c r="I14" s="20" t="inlineStr">
        <is>
          <t>GUSTAVO HENRIQUE SANTOS DE SOUSA</t>
        </is>
      </c>
      <c r="J14" s="20" t="inlineStr">
        <is>
          <t>Presidente</t>
        </is>
      </c>
      <c r="K14" s="20" t="inlineStr">
        <is>
          <t>(11) 5171-2672</t>
        </is>
      </c>
      <c r="L14" s="20" t="inlineStr">
        <is>
          <t>(11) 5171-2488</t>
        </is>
      </c>
      <c r="M14" s="20" t="inlineStr"/>
      <c r="N14" s="20" t="inlineStr"/>
      <c r="O14" s="20" t="inlineStr"/>
      <c r="P14" s="20" t="inlineStr">
        <is>
          <t>ALBERTO WAGNER TEIXEIRA CAMPOS</t>
        </is>
      </c>
      <c r="Q14" s="20" t="inlineStr">
        <is>
          <t>Diretor</t>
        </is>
      </c>
      <c r="R14" s="20" t="inlineStr">
        <is>
          <t>(11) 5171-2488</t>
        </is>
      </c>
      <c r="S14" s="20" t="inlineStr"/>
      <c r="T14" s="21" t="n">
        <v>65326446.86</v>
      </c>
      <c r="U14" s="30" t="inlineStr">
        <is>
          <t>?</t>
        </is>
      </c>
      <c r="V14" s="23">
        <f>IFERROR(VLOOKUP(U14,Assumptions!$A$7:$D$11,2,FALSE),0)</f>
        <v/>
      </c>
      <c r="W14" s="24">
        <f>MAX(0.5,IFERROR(VLOOKUP(U14,Assumptions!$A$7:$D$11,3,FALSE),3)+IFERROR(VLOOKUP(U14,Assumptions!$A$7:$D$11,4,FALSE),8)/2-IF(AN14="",0,YEAR(TODAY())-AN14))</f>
        <v/>
      </c>
      <c r="X14" s="21">
        <f>T14*V14/(1+Assumptions!$B$3)^W14</f>
        <v/>
      </c>
      <c r="Y14" s="25">
        <f>IF(T14=0,"",ROUND(X14/T14*100,1))</f>
        <v/>
      </c>
      <c r="Z14" s="26">
        <f>X14*Assumptions!$B$4</f>
        <v/>
      </c>
      <c r="AA14" s="25">
        <f>IF(T14=0,"",ROUND(Z14/T14*100,1))</f>
        <v/>
      </c>
      <c r="AB14" s="26">
        <f>X14-Z14</f>
        <v/>
      </c>
      <c r="AC14" s="25">
        <f>IF(T14=0,"",ROUND((X14-Z14)/T14*100,1))</f>
        <v/>
      </c>
      <c r="AD14" s="27" t="inlineStr">
        <is>
          <t>UNKNOWN</t>
        </is>
      </c>
      <c r="AE14" s="28" t="inlineStr">
        <is>
          <t>https://scalzilliaj.com.br/sgc/download.php?file=files/processo_documento/processo_documento09514021082025_1_.pdf&amp;nome=04 - Relação de credores das Recuperandas</t>
        </is>
      </c>
      <c r="AF14" s="27" t="inlineStr">
        <is>
          <t>p63 r1</t>
        </is>
      </c>
      <c r="AG14" s="27" t="inlineStr">
        <is>
          <t>p63: R$ 65.326.446,86</t>
        </is>
      </c>
      <c r="AH14" s="27" t="inlineStr">
        <is>
          <t>DEBTOR_LIST</t>
        </is>
      </c>
      <c r="AI14" s="27" t="inlineStr"/>
      <c r="AJ14" s="27" t="inlineStr">
        <is>
          <t>OK</t>
        </is>
      </c>
      <c r="AK14" s="29" t="inlineStr">
        <is>
          <t>(not printed)</t>
        </is>
      </c>
      <c r="AL14" s="29" t="inlineStr"/>
      <c r="AM14" s="29" t="inlineStr"/>
      <c r="AN14" s="29" t="inlineStr"/>
      <c r="AO14" s="29" t="inlineStr">
        <is>
          <t>RJ case number not identified on the document</t>
        </is>
      </c>
      <c r="AP14" s="29" t="inlineStr">
        <is>
          <t>SAO PAULO</t>
        </is>
      </c>
      <c r="AQ14" s="29" t="inlineStr">
        <is>
          <t>SP</t>
        </is>
      </c>
      <c r="AR14" s="29" t="inlineStr">
        <is>
          <t>Bancos múltiplos, com carteira comercial</t>
        </is>
      </c>
      <c r="AS14" s="29" t="inlineStr">
        <is>
          <t>DEMAIS</t>
        </is>
      </c>
      <c r="AT14" s="29" t="inlineStr">
        <is>
          <t>LARGE CORP</t>
        </is>
      </c>
      <c r="AU14" s="29" t="inlineStr">
        <is>
          <t>59588111</t>
        </is>
      </c>
      <c r="AV14" s="29" t="n">
        <v>1</v>
      </c>
      <c r="AW14" s="29" t="inlineStr">
        <is>
          <t>LIKELY_FINANCIAL_BY_NAME ROWS:p63r1 VALUE_COL:Valor_Atualizado CASE_NUMBER_CORRECTED</t>
        </is>
      </c>
    </row>
    <row r="15">
      <c r="A15" s="15" t="inlineStr">
        <is>
          <t>BANCO DO BRASIL SA</t>
        </is>
      </c>
      <c r="B15" s="16" t="n">
        <v>29399788.89</v>
      </c>
      <c r="C15" s="17" t="inlineStr">
        <is>
          <t>COMERCIO RACOES BEM BOM LTDA</t>
        </is>
      </c>
      <c r="D15" s="18" t="inlineStr">
        <is>
          <t>NEW</t>
        </is>
      </c>
      <c r="E15" s="19" t="inlineStr"/>
      <c r="F15" s="18" t="inlineStr"/>
      <c r="G15" s="19" t="inlineStr"/>
      <c r="H15" s="18" t="inlineStr"/>
      <c r="I15" s="20" t="inlineStr">
        <is>
          <t>TARCIANA PAULA GOMES MEDEIROS</t>
        </is>
      </c>
      <c r="J15" s="20" t="inlineStr">
        <is>
          <t>Presidente</t>
        </is>
      </c>
      <c r="K15" s="20" t="inlineStr">
        <is>
          <t>(61) 3493-9002</t>
        </is>
      </c>
      <c r="L15" s="20" t="inlineStr"/>
      <c r="M15" s="20" t="inlineStr"/>
      <c r="N15" s="20" t="inlineStr"/>
      <c r="O15" s="20" t="inlineStr"/>
      <c r="P15" s="20" t="inlineStr">
        <is>
          <t>ALAN CARLOS GUEDES DE OLIVEIRA</t>
        </is>
      </c>
      <c r="Q15" s="20" t="inlineStr">
        <is>
          <t>Diretor</t>
        </is>
      </c>
      <c r="R15" s="20" t="inlineStr">
        <is>
          <t>(61) 3493-9002</t>
        </is>
      </c>
      <c r="S15" s="20" t="inlineStr"/>
      <c r="T15" s="21" t="n">
        <v>29399788.89</v>
      </c>
      <c r="U15" s="32" t="inlineStr">
        <is>
          <t>A</t>
        </is>
      </c>
      <c r="V15" s="23">
        <f>IFERROR(VLOOKUP(U15,Assumptions!$A$7:$D$11,2,FALSE),0)</f>
        <v/>
      </c>
      <c r="W15" s="24">
        <f>MAX(0.5,IFERROR(VLOOKUP(U15,Assumptions!$A$7:$D$11,3,FALSE),3)+IFERROR(VLOOKUP(U15,Assumptions!$A$7:$D$11,4,FALSE),8)/2-IF(AN15="",0,YEAR(TODAY())-AN15))</f>
        <v/>
      </c>
      <c r="X15" s="21">
        <f>T15*V15/(1+Assumptions!$B$3)^W15</f>
        <v/>
      </c>
      <c r="Y15" s="25">
        <f>IF(T15=0,"",ROUND(X15/T15*100,1))</f>
        <v/>
      </c>
      <c r="Z15" s="26">
        <f>X15*Assumptions!$B$4</f>
        <v/>
      </c>
      <c r="AA15" s="25">
        <f>IF(T15=0,"",ROUND(Z15/T15*100,1))</f>
        <v/>
      </c>
      <c r="AB15" s="26">
        <f>X15-Z15</f>
        <v/>
      </c>
      <c r="AC15" s="25">
        <f>IF(T15=0,"",ROUND((X15-Z15)/T15*100,1))</f>
        <v/>
      </c>
      <c r="AD15" s="27" t="inlineStr">
        <is>
          <t>CONFIRMED</t>
        </is>
      </c>
      <c r="AE15" s="28" t="inlineStr">
        <is>
          <t>https://stenius.com.br/wp-content/uploads/2026/06/EDITAL-GRUPO-3E.pdf</t>
        </is>
      </c>
      <c r="AF15" s="27" t="inlineStr">
        <is>
          <t>p10 r35</t>
        </is>
      </c>
      <c r="AG15" s="27" t="inlineStr">
        <is>
          <t>p10: R$ 29.399.788,89</t>
        </is>
      </c>
      <c r="AH15" s="27" t="inlineStr">
        <is>
          <t>DEBTOR_LIST</t>
        </is>
      </c>
      <c r="AI15" s="27" t="inlineStr">
        <is>
          <t>2026-06-22</t>
        </is>
      </c>
      <c r="AJ15" s="27" t="inlineStr">
        <is>
          <t>OK_NO_TOTALS</t>
        </is>
      </c>
      <c r="AK15" s="29" t="inlineStr">
        <is>
          <t>5341375-33.2026.8.09.0049</t>
        </is>
      </c>
      <c r="AL15" s="29" t="inlineStr">
        <is>
          <t>TJGO</t>
        </is>
      </c>
      <c r="AM15" s="29" t="inlineStr">
        <is>
          <t>ACTIVE</t>
        </is>
      </c>
      <c r="AN15" s="29" t="n">
        <v>2026</v>
      </c>
      <c r="AO15" s="29" t="inlineStr">
        <is>
          <t>plan/homologation document found</t>
        </is>
      </c>
      <c r="AP15" s="29" t="inlineStr">
        <is>
          <t>BRASILIA</t>
        </is>
      </c>
      <c r="AQ15" s="29" t="inlineStr">
        <is>
          <t>DF</t>
        </is>
      </c>
      <c r="AR15" s="29" t="inlineStr">
        <is>
          <t>Bancos múltiplos, com carteira comercial</t>
        </is>
      </c>
      <c r="AS15" s="29" t="inlineStr">
        <is>
          <t>DEMAIS</t>
        </is>
      </c>
      <c r="AT15" s="29" t="inlineStr">
        <is>
          <t>LARGE CORP</t>
        </is>
      </c>
      <c r="AU15" s="29" t="inlineStr">
        <is>
          <t>00000000</t>
        </is>
      </c>
      <c r="AV15" s="29" t="n">
        <v>1</v>
      </c>
      <c r="AW15" s="29" t="inlineStr">
        <is>
          <t>LIKELY_FINANCIAL_BY_NAME ROWS:p10r35 UNRECONCILED_SOURCE</t>
        </is>
      </c>
    </row>
    <row r="16">
      <c r="A16" s="15" t="inlineStr">
        <is>
          <t>CAIXA ECONOMICA FEDERAL</t>
        </is>
      </c>
      <c r="B16" s="16" t="n">
        <v>31052221.17</v>
      </c>
      <c r="C16" s="17" t="inlineStr"/>
      <c r="D16" s="18" t="inlineStr">
        <is>
          <t>NEW</t>
        </is>
      </c>
      <c r="E16" s="19" t="inlineStr"/>
      <c r="F16" s="18" t="inlineStr"/>
      <c r="G16" s="19" t="inlineStr"/>
      <c r="H16" s="18" t="inlineStr"/>
      <c r="I16" s="20" t="inlineStr">
        <is>
          <t>ADRIANO ASSIS MATIAS</t>
        </is>
      </c>
      <c r="J16" s="20" t="inlineStr">
        <is>
          <t>Administrador</t>
        </is>
      </c>
      <c r="K16" s="20" t="inlineStr">
        <is>
          <t>(00) 4004-0104</t>
        </is>
      </c>
      <c r="L16" s="20" t="inlineStr"/>
      <c r="M16" s="20" t="inlineStr"/>
      <c r="N16" s="20" t="inlineStr"/>
      <c r="O16" s="20" t="inlineStr"/>
      <c r="P16" s="20" t="inlineStr">
        <is>
          <t>HENRIETE ALEXANDRA SARTORI BERNABE</t>
        </is>
      </c>
      <c r="Q16" s="20" t="inlineStr">
        <is>
          <t>Administrador</t>
        </is>
      </c>
      <c r="R16" s="20" t="inlineStr">
        <is>
          <t>(00) 4004-0104</t>
        </is>
      </c>
      <c r="S16" s="20" t="inlineStr"/>
      <c r="T16" s="21" t="n">
        <v>31052221.17</v>
      </c>
      <c r="U16" s="22" t="inlineStr">
        <is>
          <t>B</t>
        </is>
      </c>
      <c r="V16" s="23">
        <f>IFERROR(VLOOKUP(U16,Assumptions!$A$7:$D$11,2,FALSE),0)</f>
        <v/>
      </c>
      <c r="W16" s="24">
        <f>MAX(0.5,IFERROR(VLOOKUP(U16,Assumptions!$A$7:$D$11,3,FALSE),3)+IFERROR(VLOOKUP(U16,Assumptions!$A$7:$D$11,4,FALSE),8)/2-IF(AN16="",0,YEAR(TODAY())-AN16))</f>
        <v/>
      </c>
      <c r="X16" s="21">
        <f>T16*V16/(1+Assumptions!$B$3)^W16</f>
        <v/>
      </c>
      <c r="Y16" s="25">
        <f>IF(T16=0,"",ROUND(X16/T16*100,1))</f>
        <v/>
      </c>
      <c r="Z16" s="26">
        <f>X16*Assumptions!$B$4</f>
        <v/>
      </c>
      <c r="AA16" s="25">
        <f>IF(T16=0,"",ROUND(Z16/T16*100,1))</f>
        <v/>
      </c>
      <c r="AB16" s="26">
        <f>X16-Z16</f>
        <v/>
      </c>
      <c r="AC16" s="25">
        <f>IF(T16=0,"",ROUND((X16-Z16)/T16*100,1))</f>
        <v/>
      </c>
      <c r="AD16" s="27" t="inlineStr">
        <is>
          <t>UNKNOWN</t>
        </is>
      </c>
      <c r="AE16" s="28" t="inlineStr">
        <is>
          <t>https://credibilita.com.br/wp-content/uploads/2025/09/Relacao-Credores-29.04.2026.pdf</t>
        </is>
      </c>
      <c r="AF16" s="27" t="inlineStr">
        <is>
          <t>p1 r18</t>
        </is>
      </c>
      <c r="AG16" s="27" t="inlineStr">
        <is>
          <t>p1: R$ 31.052.221,17</t>
        </is>
      </c>
      <c r="AH16" s="27" t="inlineStr">
        <is>
          <t>UNKNOWN</t>
        </is>
      </c>
      <c r="AI16" s="27" t="inlineStr"/>
      <c r="AJ16" s="27" t="inlineStr">
        <is>
          <t>OK_NO_TOTALS</t>
        </is>
      </c>
      <c r="AK16" s="29" t="inlineStr">
        <is>
          <t>5057720-48.2025.8.24.0023</t>
        </is>
      </c>
      <c r="AL16" s="29" t="inlineStr">
        <is>
          <t>TJ</t>
        </is>
      </c>
      <c r="AM16" s="29" t="inlineStr"/>
      <c r="AN16" s="29" t="n">
        <v>2025</v>
      </c>
      <c r="AO16" s="29" t="inlineStr">
        <is>
          <t>live case, no plan document yet</t>
        </is>
      </c>
      <c r="AP16" s="29" t="inlineStr">
        <is>
          <t>BRASILIA</t>
        </is>
      </c>
      <c r="AQ16" s="29" t="inlineStr">
        <is>
          <t>DF</t>
        </is>
      </c>
      <c r="AR16" s="29" t="inlineStr">
        <is>
          <t>Caixas econômicas</t>
        </is>
      </c>
      <c r="AS16" s="29" t="inlineStr">
        <is>
          <t>DEMAIS</t>
        </is>
      </c>
      <c r="AT16" s="29" t="inlineStr">
        <is>
          <t>LARGE CORP</t>
        </is>
      </c>
      <c r="AU16" s="29" t="inlineStr">
        <is>
          <t>00360305</t>
        </is>
      </c>
      <c r="AV16" s="29" t="n">
        <v>1</v>
      </c>
      <c r="AW16" s="29" t="inlineStr">
        <is>
          <t>ROWS:p1r18 UNRECONCILED_SOURCE VALUE_COL:Valor_Após_Analise</t>
        </is>
      </c>
    </row>
    <row r="17">
      <c r="A17" s="15" t="inlineStr">
        <is>
          <t>COOPERATIVA DE CREDITO DE LIVRE ADMISSAO DO CENTRO NORTE BRASILEIRO</t>
        </is>
      </c>
      <c r="B17" s="16" t="n">
        <v>25688383.88</v>
      </c>
      <c r="C17" s="17" t="inlineStr">
        <is>
          <t>COMERCIO RACOES BEM BOM LTDA</t>
        </is>
      </c>
      <c r="D17" s="18" t="inlineStr">
        <is>
          <t>NEW</t>
        </is>
      </c>
      <c r="E17" s="19" t="inlineStr"/>
      <c r="F17" s="18" t="inlineStr"/>
      <c r="G17" s="19" t="inlineStr"/>
      <c r="H17" s="18" t="inlineStr"/>
      <c r="I17" s="20" t="inlineStr">
        <is>
          <t>ANGELICA ARAUJO DINIZ CALDEIRA</t>
        </is>
      </c>
      <c r="J17" s="20" t="inlineStr">
        <is>
          <t>Diretor</t>
        </is>
      </c>
      <c r="K17" s="20" t="inlineStr">
        <is>
          <t>(62) 3311-3810</t>
        </is>
      </c>
      <c r="L17" s="20" t="inlineStr"/>
      <c r="M17" s="20" t="inlineStr"/>
      <c r="N17" s="20" t="inlineStr"/>
      <c r="O17" s="20" t="inlineStr"/>
      <c r="P17" s="20" t="inlineStr">
        <is>
          <t>ARNALDO DE SOUSA TEIXEIRA JUNIOR</t>
        </is>
      </c>
      <c r="Q17" s="20" t="inlineStr">
        <is>
          <t>Diretor</t>
        </is>
      </c>
      <c r="R17" s="20" t="inlineStr">
        <is>
          <t>(62) 3311-3810</t>
        </is>
      </c>
      <c r="S17" s="20" t="inlineStr"/>
      <c r="T17" s="21" t="n">
        <v>25688383.88</v>
      </c>
      <c r="U17" s="32" t="inlineStr">
        <is>
          <t>A</t>
        </is>
      </c>
      <c r="V17" s="23">
        <f>IFERROR(VLOOKUP(U17,Assumptions!$A$7:$D$11,2,FALSE),0)</f>
        <v/>
      </c>
      <c r="W17" s="24">
        <f>MAX(0.5,IFERROR(VLOOKUP(U17,Assumptions!$A$7:$D$11,3,FALSE),3)+IFERROR(VLOOKUP(U17,Assumptions!$A$7:$D$11,4,FALSE),8)/2-IF(AN17="",0,YEAR(TODAY())-AN17))</f>
        <v/>
      </c>
      <c r="X17" s="21">
        <f>T17*V17/(1+Assumptions!$B$3)^W17</f>
        <v/>
      </c>
      <c r="Y17" s="25">
        <f>IF(T17=0,"",ROUND(X17/T17*100,1))</f>
        <v/>
      </c>
      <c r="Z17" s="26">
        <f>X17*Assumptions!$B$4</f>
        <v/>
      </c>
      <c r="AA17" s="25">
        <f>IF(T17=0,"",ROUND(Z17/T17*100,1))</f>
        <v/>
      </c>
      <c r="AB17" s="26">
        <f>X17-Z17</f>
        <v/>
      </c>
      <c r="AC17" s="25">
        <f>IF(T17=0,"",ROUND((X17-Z17)/T17*100,1))</f>
        <v/>
      </c>
      <c r="AD17" s="27" t="inlineStr">
        <is>
          <t>CONFIRMED</t>
        </is>
      </c>
      <c r="AE17" s="28" t="inlineStr">
        <is>
          <t>https://stenius.com.br/wp-content/uploads/2026/06/EDITAL-GRUPO-3E.pdf</t>
        </is>
      </c>
      <c r="AF17" s="27" t="inlineStr">
        <is>
          <t>p12 r8</t>
        </is>
      </c>
      <c r="AG17" s="27" t="inlineStr">
        <is>
          <t>p12: R$ 25.688.383,88</t>
        </is>
      </c>
      <c r="AH17" s="27" t="inlineStr">
        <is>
          <t>DEBTOR_LIST</t>
        </is>
      </c>
      <c r="AI17" s="27" t="inlineStr">
        <is>
          <t>2026-06-22</t>
        </is>
      </c>
      <c r="AJ17" s="27" t="inlineStr">
        <is>
          <t>OK_NO_TOTALS</t>
        </is>
      </c>
      <c r="AK17" s="29" t="inlineStr">
        <is>
          <t>5341375-33.2026.8.09.0049</t>
        </is>
      </c>
      <c r="AL17" s="29" t="inlineStr">
        <is>
          <t>TJGO</t>
        </is>
      </c>
      <c r="AM17" s="29" t="inlineStr">
        <is>
          <t>ACTIVE</t>
        </is>
      </c>
      <c r="AN17" s="29" t="n">
        <v>2026</v>
      </c>
      <c r="AO17" s="29" t="inlineStr">
        <is>
          <t>plan/homologation document found</t>
        </is>
      </c>
      <c r="AP17" s="29" t="inlineStr">
        <is>
          <t>ANAPOLIS</t>
        </is>
      </c>
      <c r="AQ17" s="29" t="inlineStr">
        <is>
          <t>GO</t>
        </is>
      </c>
      <c r="AR17" s="29" t="inlineStr">
        <is>
          <t>Cooperativas de crédito mútuo</t>
        </is>
      </c>
      <c r="AS17" s="29" t="inlineStr">
        <is>
          <t>DEMAIS</t>
        </is>
      </c>
      <c r="AT17" s="29" t="inlineStr">
        <is>
          <t>MID-MARKET</t>
        </is>
      </c>
      <c r="AU17" s="29" t="inlineStr">
        <is>
          <t>02282709</t>
        </is>
      </c>
      <c r="AV17" s="29" t="n">
        <v>1</v>
      </c>
      <c r="AW17" s="29" t="inlineStr">
        <is>
          <t>LIKELY_FINANCIAL_BY_NAME ROWS:p12r8 UNRECONCILED_SOURCE</t>
        </is>
      </c>
    </row>
    <row r="18">
      <c r="A18" s="15" t="inlineStr">
        <is>
          <t>BANCO FIBRA SA</t>
        </is>
      </c>
      <c r="B18" s="16" t="n">
        <v>45662831.72</v>
      </c>
      <c r="C18" s="17" t="inlineStr">
        <is>
          <t>EGESA ENGENHARIA S/A (Consórcio ETDI)</t>
        </is>
      </c>
      <c r="D18" s="18" t="inlineStr">
        <is>
          <t>NEW</t>
        </is>
      </c>
      <c r="E18" s="19" t="inlineStr"/>
      <c r="F18" s="18" t="inlineStr"/>
      <c r="G18" s="19" t="inlineStr"/>
      <c r="H18" s="18" t="inlineStr"/>
      <c r="I18" s="20" t="inlineStr">
        <is>
          <t>ARNO SCHWARZ</t>
        </is>
      </c>
      <c r="J18" s="20" t="inlineStr">
        <is>
          <t>Presidente</t>
        </is>
      </c>
      <c r="K18" s="20" t="inlineStr">
        <is>
          <t>(11) 3847-6943</t>
        </is>
      </c>
      <c r="L18" s="20" t="inlineStr"/>
      <c r="M18" s="20" t="inlineStr"/>
      <c r="N18" s="20" t="inlineStr"/>
      <c r="O18" s="20" t="inlineStr"/>
      <c r="P18" s="20" t="inlineStr">
        <is>
          <t>ANDRE CADIME DE GODOI</t>
        </is>
      </c>
      <c r="Q18" s="20" t="inlineStr">
        <is>
          <t>Diretor</t>
        </is>
      </c>
      <c r="R18" s="20" t="inlineStr">
        <is>
          <t>(11) 3847-6943</t>
        </is>
      </c>
      <c r="S18" s="20" t="inlineStr"/>
      <c r="T18" s="21" t="n">
        <v>45662831.72</v>
      </c>
      <c r="U18" s="30" t="inlineStr">
        <is>
          <t>?</t>
        </is>
      </c>
      <c r="V18" s="23">
        <f>IFERROR(VLOOKUP(U18,Assumptions!$A$7:$D$11,2,FALSE),0)</f>
        <v/>
      </c>
      <c r="W18" s="24">
        <f>MAX(0.5,IFERROR(VLOOKUP(U18,Assumptions!$A$7:$D$11,3,FALSE),3)+IFERROR(VLOOKUP(U18,Assumptions!$A$7:$D$11,4,FALSE),8)/2-IF(AN18="",0,YEAR(TODAY())-AN18))</f>
        <v/>
      </c>
      <c r="X18" s="21">
        <f>T18*V18/(1+Assumptions!$B$3)^W18</f>
        <v/>
      </c>
      <c r="Y18" s="25">
        <f>IF(T18=0,"",ROUND(X18/T18*100,1))</f>
        <v/>
      </c>
      <c r="Z18" s="26">
        <f>X18*Assumptions!$B$4</f>
        <v/>
      </c>
      <c r="AA18" s="25">
        <f>IF(T18=0,"",ROUND(Z18/T18*100,1))</f>
        <v/>
      </c>
      <c r="AB18" s="26">
        <f>X18-Z18</f>
        <v/>
      </c>
      <c r="AC18" s="25">
        <f>IF(T18=0,"",ROUND((X18-Z18)/T18*100,1))</f>
        <v/>
      </c>
      <c r="AD18" s="27" t="inlineStr">
        <is>
          <t>UNKNOWN</t>
        </is>
      </c>
      <c r="AE18" s="28" t="inlineStr">
        <is>
          <t>https://scalzilliaj.com.br/sgc/download.php?file=files/processo_documento/processo_documento09514021082025_1_.pdf&amp;nome=04 - Relação de credores das Recuperandas</t>
        </is>
      </c>
      <c r="AF18" s="27" t="inlineStr">
        <is>
          <t>p62 r15</t>
        </is>
      </c>
      <c r="AG18" s="27" t="inlineStr">
        <is>
          <t>p62: R$ 45.662.831,72</t>
        </is>
      </c>
      <c r="AH18" s="27" t="inlineStr">
        <is>
          <t>DEBTOR_LIST</t>
        </is>
      </c>
      <c r="AI18" s="27" t="inlineStr"/>
      <c r="AJ18" s="27" t="inlineStr">
        <is>
          <t>OK</t>
        </is>
      </c>
      <c r="AK18" s="29" t="inlineStr">
        <is>
          <t>(not printed)</t>
        </is>
      </c>
      <c r="AL18" s="29" t="inlineStr"/>
      <c r="AM18" s="29" t="inlineStr"/>
      <c r="AN18" s="29" t="inlineStr"/>
      <c r="AO18" s="29" t="inlineStr">
        <is>
          <t>RJ case number not identified on the document</t>
        </is>
      </c>
      <c r="AP18" s="29" t="inlineStr">
        <is>
          <t>SAO PAULO</t>
        </is>
      </c>
      <c r="AQ18" s="29" t="inlineStr">
        <is>
          <t>SP</t>
        </is>
      </c>
      <c r="AR18" s="29" t="inlineStr">
        <is>
          <t>Bancos múltiplos, com carteira comercial</t>
        </is>
      </c>
      <c r="AS18" s="29" t="inlineStr">
        <is>
          <t>DEMAIS</t>
        </is>
      </c>
      <c r="AT18" s="29" t="inlineStr">
        <is>
          <t>LARGE CORP</t>
        </is>
      </c>
      <c r="AU18" s="29" t="inlineStr">
        <is>
          <t>58616418</t>
        </is>
      </c>
      <c r="AV18" s="29" t="n">
        <v>1</v>
      </c>
      <c r="AW18" s="29" t="inlineStr">
        <is>
          <t>LIKELY_FINANCIAL_BY_NAME ROWS:p62r15 VALUE_COL:Valor_Atualizado CASE_NUMBER_CORRECTED</t>
        </is>
      </c>
    </row>
    <row r="19">
      <c r="A19" s="15" t="inlineStr">
        <is>
          <t>CAIXA ECONOMICA FEDERAL</t>
        </is>
      </c>
      <c r="B19" s="16" t="n">
        <v>29895475.21</v>
      </c>
      <c r="C19" s="17" t="inlineStr">
        <is>
          <t>E FALENCIA</t>
        </is>
      </c>
      <c r="D19" s="18" t="inlineStr">
        <is>
          <t>NEW</t>
        </is>
      </c>
      <c r="E19" s="19" t="inlineStr"/>
      <c r="F19" s="18" t="inlineStr"/>
      <c r="G19" s="19" t="inlineStr"/>
      <c r="H19" s="18" t="inlineStr"/>
      <c r="I19" s="20" t="inlineStr">
        <is>
          <t>ADRIANO ASSIS MATIAS</t>
        </is>
      </c>
      <c r="J19" s="20" t="inlineStr">
        <is>
          <t>Administrador</t>
        </is>
      </c>
      <c r="K19" s="20" t="inlineStr">
        <is>
          <t>(00) 4004-0104</t>
        </is>
      </c>
      <c r="L19" s="20" t="inlineStr"/>
      <c r="M19" s="20" t="inlineStr"/>
      <c r="N19" s="20" t="inlineStr"/>
      <c r="O19" s="20" t="inlineStr"/>
      <c r="P19" s="20" t="inlineStr">
        <is>
          <t>HENRIETE ALEXANDRA SARTORI BERNABE</t>
        </is>
      </c>
      <c r="Q19" s="20" t="inlineStr">
        <is>
          <t>Administrador</t>
        </is>
      </c>
      <c r="R19" s="20" t="inlineStr">
        <is>
          <t>(00) 4004-0104</t>
        </is>
      </c>
      <c r="S19" s="20" t="inlineStr"/>
      <c r="T19" s="21" t="n">
        <v>29895475.21</v>
      </c>
      <c r="U19" s="22" t="inlineStr">
        <is>
          <t>B</t>
        </is>
      </c>
      <c r="V19" s="23">
        <f>IFERROR(VLOOKUP(U19,Assumptions!$A$7:$D$11,2,FALSE),0)</f>
        <v/>
      </c>
      <c r="W19" s="24">
        <f>MAX(0.5,IFERROR(VLOOKUP(U19,Assumptions!$A$7:$D$11,3,FALSE),3)+IFERROR(VLOOKUP(U19,Assumptions!$A$7:$D$11,4,FALSE),8)/2-IF(AN19="",0,YEAR(TODAY())-AN19))</f>
        <v/>
      </c>
      <c r="X19" s="21">
        <f>T19*V19/(1+Assumptions!$B$3)^W19</f>
        <v/>
      </c>
      <c r="Y19" s="25">
        <f>IF(T19=0,"",ROUND(X19/T19*100,1))</f>
        <v/>
      </c>
      <c r="Z19" s="26">
        <f>X19*Assumptions!$B$4</f>
        <v/>
      </c>
      <c r="AA19" s="25">
        <f>IF(T19=0,"",ROUND(Z19/T19*100,1))</f>
        <v/>
      </c>
      <c r="AB19" s="26">
        <f>X19-Z19</f>
        <v/>
      </c>
      <c r="AC19" s="25">
        <f>IF(T19=0,"",ROUND((X19-Z19)/T19*100,1))</f>
        <v/>
      </c>
      <c r="AD19" s="27" t="inlineStr">
        <is>
          <t>ESTIMATED</t>
        </is>
      </c>
      <c r="AE19" s="28" t="inlineStr">
        <is>
          <t>https://recuperasolucoes.com/wp-content/plugins/download-attachments/includes/download.php?id=1597</t>
        </is>
      </c>
      <c r="AF19" s="27" t="inlineStr">
        <is>
          <t>p13 r10</t>
        </is>
      </c>
      <c r="AG19" s="27" t="inlineStr">
        <is>
          <t>p13: R$ 29.895.475,21</t>
        </is>
      </c>
      <c r="AH19" s="27" t="inlineStr">
        <is>
          <t>DEBTOR_LIST</t>
        </is>
      </c>
      <c r="AI19" s="27" t="inlineStr">
        <is>
          <t>2026-05-21</t>
        </is>
      </c>
      <c r="AJ19" s="27" t="inlineStr">
        <is>
          <t>OK</t>
        </is>
      </c>
      <c r="AK19" s="29" t="inlineStr">
        <is>
          <t>0001639-09.2026.8.17.2810</t>
        </is>
      </c>
      <c r="AL19" s="29" t="inlineStr">
        <is>
          <t>TJPE</t>
        </is>
      </c>
      <c r="AM19" s="29" t="inlineStr">
        <is>
          <t>ACTIVE</t>
        </is>
      </c>
      <c r="AN19" s="29" t="n">
        <v>2026</v>
      </c>
      <c r="AO19" s="29" t="inlineStr">
        <is>
          <t>live case, no plan document yet</t>
        </is>
      </c>
      <c r="AP19" s="29" t="inlineStr">
        <is>
          <t>BRASILIA</t>
        </is>
      </c>
      <c r="AQ19" s="29" t="inlineStr">
        <is>
          <t>DF</t>
        </is>
      </c>
      <c r="AR19" s="29" t="inlineStr">
        <is>
          <t>Caixas econômicas</t>
        </is>
      </c>
      <c r="AS19" s="29" t="inlineStr">
        <is>
          <t>DEMAIS</t>
        </is>
      </c>
      <c r="AT19" s="29" t="inlineStr">
        <is>
          <t>LARGE CORP</t>
        </is>
      </c>
      <c r="AU19" s="29" t="inlineStr">
        <is>
          <t>00360305</t>
        </is>
      </c>
      <c r="AV19" s="29" t="n">
        <v>1</v>
      </c>
      <c r="AW19" s="29" t="inlineStr">
        <is>
          <t>LIKELY_FINANCIAL_BY_NAME ROWS:p13r10</t>
        </is>
      </c>
    </row>
    <row r="20">
      <c r="A20" s="15" t="inlineStr">
        <is>
          <t>FUNDO DE INVESTIMENTO EM DIREITOS CREDITÓRIOS NÃO PADRONIZADOS MULTISSETORIA L BS NP</t>
        </is>
      </c>
      <c r="B20" s="16" t="n">
        <v>14857604.68</v>
      </c>
      <c r="C20" s="17" t="inlineStr">
        <is>
          <t>Conduscabos Brasil Indústria Comércio de</t>
        </is>
      </c>
      <c r="D20" s="18" t="inlineStr">
        <is>
          <t>NEW</t>
        </is>
      </c>
      <c r="E20" s="19" t="inlineStr"/>
      <c r="F20" s="18" t="inlineStr"/>
      <c r="G20" s="19" t="inlineStr"/>
      <c r="H20" s="18" t="inlineStr"/>
      <c r="I20" s="20" t="inlineStr"/>
      <c r="J20" s="20" t="inlineStr"/>
      <c r="K20" s="20" t="inlineStr"/>
      <c r="L20" s="20" t="inlineStr"/>
      <c r="M20" s="20" t="inlineStr"/>
      <c r="N20" s="20" t="inlineStr"/>
      <c r="O20" s="20" t="inlineStr"/>
      <c r="P20" s="20" t="inlineStr"/>
      <c r="Q20" s="20" t="inlineStr"/>
      <c r="R20" s="20" t="inlineStr"/>
      <c r="S20" s="20" t="inlineStr"/>
      <c r="T20" s="21" t="n">
        <v>14857604.68</v>
      </c>
      <c r="U20" s="22" t="inlineStr">
        <is>
          <t>B</t>
        </is>
      </c>
      <c r="V20" s="23">
        <f>IFERROR(VLOOKUP(U20,Assumptions!$A$7:$D$11,2,FALSE),0)</f>
        <v/>
      </c>
      <c r="W20" s="24">
        <f>MAX(0.5,IFERROR(VLOOKUP(U20,Assumptions!$A$7:$D$11,3,FALSE),3)+IFERROR(VLOOKUP(U20,Assumptions!$A$7:$D$11,4,FALSE),8)/2-IF(AN20="",0,YEAR(TODAY())-AN20))</f>
        <v/>
      </c>
      <c r="X20" s="21">
        <f>T20*V20/(1+Assumptions!$B$3)^W20</f>
        <v/>
      </c>
      <c r="Y20" s="25">
        <f>IF(T20=0,"",ROUND(X20/T20*100,1))</f>
        <v/>
      </c>
      <c r="Z20" s="26">
        <f>X20*Assumptions!$B$4</f>
        <v/>
      </c>
      <c r="AA20" s="25">
        <f>IF(T20=0,"",ROUND(Z20/T20*100,1))</f>
        <v/>
      </c>
      <c r="AB20" s="26">
        <f>X20-Z20</f>
        <v/>
      </c>
      <c r="AC20" s="25">
        <f>IF(T20=0,"",ROUND((X20-Z20)/T20*100,1))</f>
        <v/>
      </c>
      <c r="AD20" s="27" t="inlineStr">
        <is>
          <t>ESTIMATED</t>
        </is>
      </c>
      <c r="AE20" s="28" t="inlineStr">
        <is>
          <t>https://assistjud.com.br/wp-content/uploads/elementor/forms/65098c80a5824.pdf</t>
        </is>
      </c>
      <c r="AF20" s="27" t="inlineStr">
        <is>
          <t>p7 r8; p10 r1; p18 r2</t>
        </is>
      </c>
      <c r="AG20" s="27" t="inlineStr">
        <is>
          <t>p7: R$ 10.954.112,61; p10: R$ 1.455.516,44; p18: R$ 2.447.975,63</t>
        </is>
      </c>
      <c r="AH20" s="27" t="inlineStr">
        <is>
          <t>AJ_LIST</t>
        </is>
      </c>
      <c r="AI20" s="27" t="inlineStr">
        <is>
          <t>2023-09-18</t>
        </is>
      </c>
      <c r="AJ20" s="27" t="inlineStr">
        <is>
          <t>OK_NO_TOTALS</t>
        </is>
      </c>
      <c r="AK20" s="29" t="inlineStr">
        <is>
          <t>8005129-09.2023.8.05.0039</t>
        </is>
      </c>
      <c r="AL20" s="29" t="inlineStr">
        <is>
          <t>TJBA</t>
        </is>
      </c>
      <c r="AM20" s="29" t="inlineStr">
        <is>
          <t>ACTIVE</t>
        </is>
      </c>
      <c r="AN20" s="29" t="n">
        <v>2023</v>
      </c>
      <c r="AO20" s="29" t="inlineStr">
        <is>
          <t>live case, no plan document yet</t>
        </is>
      </c>
      <c r="AP20" s="29" t="inlineStr"/>
      <c r="AQ20" s="29" t="inlineStr"/>
      <c r="AR20" s="29" t="inlineStr"/>
      <c r="AS20" s="29" t="inlineStr"/>
      <c r="AT20" s="29" t="inlineStr">
        <is>
          <t>MID-MARKET</t>
        </is>
      </c>
      <c r="AU20" s="29" t="inlineStr">
        <is>
          <t>12428086</t>
        </is>
      </c>
      <c r="AV20" s="29" t="n">
        <v>3</v>
      </c>
      <c r="AW20" s="29" t="inlineStr">
        <is>
          <t>LIKELY_FINANCIAL_BY_NAME ROWS:p7r8,p10r1,p18r2 UNRECONCILED_SOURCE</t>
        </is>
      </c>
    </row>
    <row r="21">
      <c r="A21" s="15" t="inlineStr">
        <is>
          <t>Cooperativa de Crédito de Livre Admissão do Vale do São Patrício Ltda - Sicoob Coopercred</t>
        </is>
      </c>
      <c r="B21" s="16" t="n">
        <v>20802131.71</v>
      </c>
      <c r="C21" s="17" t="inlineStr">
        <is>
          <t>COMERCIO RACOES BEM BOM LTDA</t>
        </is>
      </c>
      <c r="D21" s="18" t="inlineStr">
        <is>
          <t>NEW</t>
        </is>
      </c>
      <c r="E21" s="19" t="inlineStr"/>
      <c r="F21" s="18" t="inlineStr"/>
      <c r="G21" s="19" t="inlineStr"/>
      <c r="H21" s="18" t="inlineStr"/>
      <c r="I21" s="20" t="inlineStr"/>
      <c r="J21" s="20" t="inlineStr"/>
      <c r="K21" s="20" t="inlineStr"/>
      <c r="L21" s="20" t="inlineStr"/>
      <c r="M21" s="20" t="inlineStr"/>
      <c r="N21" s="20" t="inlineStr"/>
      <c r="O21" s="20" t="inlineStr"/>
      <c r="P21" s="20" t="inlineStr"/>
      <c r="Q21" s="20" t="inlineStr"/>
      <c r="R21" s="20" t="inlineStr"/>
      <c r="S21" s="20" t="inlineStr"/>
      <c r="T21" s="21" t="n">
        <v>20802131.71</v>
      </c>
      <c r="U21" s="32" t="inlineStr">
        <is>
          <t>A</t>
        </is>
      </c>
      <c r="V21" s="23">
        <f>IFERROR(VLOOKUP(U21,Assumptions!$A$7:$D$11,2,FALSE),0)</f>
        <v/>
      </c>
      <c r="W21" s="24">
        <f>MAX(0.5,IFERROR(VLOOKUP(U21,Assumptions!$A$7:$D$11,3,FALSE),3)+IFERROR(VLOOKUP(U21,Assumptions!$A$7:$D$11,4,FALSE),8)/2-IF(AN21="",0,YEAR(TODAY())-AN21))</f>
        <v/>
      </c>
      <c r="X21" s="21">
        <f>T21*V21/(1+Assumptions!$B$3)^W21</f>
        <v/>
      </c>
      <c r="Y21" s="25">
        <f>IF(T21=0,"",ROUND(X21/T21*100,1))</f>
        <v/>
      </c>
      <c r="Z21" s="26">
        <f>X21*Assumptions!$B$4</f>
        <v/>
      </c>
      <c r="AA21" s="25">
        <f>IF(T21=0,"",ROUND(Z21/T21*100,1))</f>
        <v/>
      </c>
      <c r="AB21" s="26">
        <f>X21-Z21</f>
        <v/>
      </c>
      <c r="AC21" s="25">
        <f>IF(T21=0,"",ROUND((X21-Z21)/T21*100,1))</f>
        <v/>
      </c>
      <c r="AD21" s="27" t="inlineStr">
        <is>
          <t>CONFIRMED</t>
        </is>
      </c>
      <c r="AE21" s="28" t="inlineStr">
        <is>
          <t>https://stenius.com.br/wp-content/uploads/2026/06/EDITAL-GRUPO-3E.pdf</t>
        </is>
      </c>
      <c r="AF21" s="27" t="inlineStr">
        <is>
          <t>p12 r9</t>
        </is>
      </c>
      <c r="AG21" s="27" t="inlineStr">
        <is>
          <t>p12: R$ 20.802.131,71</t>
        </is>
      </c>
      <c r="AH21" s="27" t="inlineStr">
        <is>
          <t>DEBTOR_LIST</t>
        </is>
      </c>
      <c r="AI21" s="27" t="inlineStr">
        <is>
          <t>2026-06-22</t>
        </is>
      </c>
      <c r="AJ21" s="27" t="inlineStr">
        <is>
          <t>OK_NO_TOTALS</t>
        </is>
      </c>
      <c r="AK21" s="29" t="inlineStr">
        <is>
          <t>5341375-33.2026.8.09.0049</t>
        </is>
      </c>
      <c r="AL21" s="29" t="inlineStr">
        <is>
          <t>TJGO</t>
        </is>
      </c>
      <c r="AM21" s="29" t="inlineStr">
        <is>
          <t>ACTIVE</t>
        </is>
      </c>
      <c r="AN21" s="29" t="n">
        <v>2026</v>
      </c>
      <c r="AO21" s="29" t="inlineStr">
        <is>
          <t>plan/homologation document found</t>
        </is>
      </c>
      <c r="AP21" s="29" t="inlineStr"/>
      <c r="AQ21" s="29" t="inlineStr"/>
      <c r="AR21" s="29" t="inlineStr"/>
      <c r="AS21" s="29" t="inlineStr"/>
      <c r="AT21" s="29" t="inlineStr">
        <is>
          <t>MID-MARKET</t>
        </is>
      </c>
      <c r="AU21" s="29" t="inlineStr">
        <is>
          <t>00968602</t>
        </is>
      </c>
      <c r="AV21" s="29" t="n">
        <v>1</v>
      </c>
      <c r="AW21" s="29" t="inlineStr">
        <is>
          <t>LIKELY_FINANCIAL_BY_NAME ROWS:p12r9 UNRECONCILED_SOURCE</t>
        </is>
      </c>
    </row>
    <row r="22">
      <c r="A22" s="15" t="inlineStr">
        <is>
          <t>KLT PARTICIPACOES SA</t>
        </is>
      </c>
      <c r="B22" s="16" t="n">
        <v>20417361.13</v>
      </c>
      <c r="C22" s="17" t="inlineStr"/>
      <c r="D22" s="18" t="inlineStr">
        <is>
          <t>NEW</t>
        </is>
      </c>
      <c r="E22" s="19" t="inlineStr"/>
      <c r="F22" s="18" t="inlineStr"/>
      <c r="G22" s="19" t="inlineStr"/>
      <c r="H22" s="18" t="inlineStr"/>
      <c r="I22" s="20" t="inlineStr">
        <is>
          <t>GILBERTO RECH</t>
        </is>
      </c>
      <c r="J22" s="20" t="inlineStr">
        <is>
          <t>Presidente</t>
        </is>
      </c>
      <c r="K22" s="20" t="inlineStr">
        <is>
          <t>(47) 3062-8301</t>
        </is>
      </c>
      <c r="L22" s="20" t="inlineStr"/>
      <c r="M22" s="20" t="inlineStr"/>
      <c r="N22" s="20" t="inlineStr"/>
      <c r="O22" s="20" t="inlineStr"/>
      <c r="P22" s="20" t="inlineStr">
        <is>
          <t>DENIZE CRISTINA MARTINS RECH</t>
        </is>
      </c>
      <c r="Q22" s="20" t="inlineStr">
        <is>
          <t>Diretor</t>
        </is>
      </c>
      <c r="R22" s="20" t="inlineStr">
        <is>
          <t>(47) 3062-8301</t>
        </is>
      </c>
      <c r="S22" s="20" t="inlineStr"/>
      <c r="T22" s="21" t="n">
        <v>20417361.13</v>
      </c>
      <c r="U22" s="22" t="inlineStr">
        <is>
          <t>B</t>
        </is>
      </c>
      <c r="V22" s="23">
        <f>IFERROR(VLOOKUP(U22,Assumptions!$A$7:$D$11,2,FALSE),0)</f>
        <v/>
      </c>
      <c r="W22" s="24">
        <f>MAX(0.5,IFERROR(VLOOKUP(U22,Assumptions!$A$7:$D$11,3,FALSE),3)+IFERROR(VLOOKUP(U22,Assumptions!$A$7:$D$11,4,FALSE),8)/2-IF(AN22="",0,YEAR(TODAY())-AN22))</f>
        <v/>
      </c>
      <c r="X22" s="21">
        <f>T22*V22/(1+Assumptions!$B$3)^W22</f>
        <v/>
      </c>
      <c r="Y22" s="25">
        <f>IF(T22=0,"",ROUND(X22/T22*100,1))</f>
        <v/>
      </c>
      <c r="Z22" s="26">
        <f>X22*Assumptions!$B$4</f>
        <v/>
      </c>
      <c r="AA22" s="25">
        <f>IF(T22=0,"",ROUND(Z22/T22*100,1))</f>
        <v/>
      </c>
      <c r="AB22" s="26">
        <f>X22-Z22</f>
        <v/>
      </c>
      <c r="AC22" s="25">
        <f>IF(T22=0,"",ROUND((X22-Z22)/T22*100,1))</f>
        <v/>
      </c>
      <c r="AD22" s="27" t="inlineStr">
        <is>
          <t>UNKNOWN</t>
        </is>
      </c>
      <c r="AE22" s="28" t="inlineStr">
        <is>
          <t>https://credibilita.com.br/wp-content/uploads/2025/09/Relacao-Credores-29.04.2026.pdf</t>
        </is>
      </c>
      <c r="AF22" s="27" t="inlineStr">
        <is>
          <t>p1 r31</t>
        </is>
      </c>
      <c r="AG22" s="27" t="inlineStr">
        <is>
          <t>p1: R$ 20.417.361,13</t>
        </is>
      </c>
      <c r="AH22" s="27" t="inlineStr">
        <is>
          <t>UNKNOWN</t>
        </is>
      </c>
      <c r="AI22" s="27" t="inlineStr"/>
      <c r="AJ22" s="27" t="inlineStr">
        <is>
          <t>OK_NO_TOTALS</t>
        </is>
      </c>
      <c r="AK22" s="29" t="inlineStr">
        <is>
          <t>5057720-48.2025.8.24.0023</t>
        </is>
      </c>
      <c r="AL22" s="29" t="inlineStr">
        <is>
          <t>TJ</t>
        </is>
      </c>
      <c r="AM22" s="29" t="inlineStr"/>
      <c r="AN22" s="29" t="n">
        <v>2025</v>
      </c>
      <c r="AO22" s="29" t="inlineStr">
        <is>
          <t>live case, no plan document yet</t>
        </is>
      </c>
      <c r="AP22" s="29" t="inlineStr">
        <is>
          <t>ITAJAI</t>
        </is>
      </c>
      <c r="AQ22" s="29" t="inlineStr">
        <is>
          <t>SC</t>
        </is>
      </c>
      <c r="AR22" s="29" t="inlineStr">
        <is>
          <t>Holdings de instituições não-financeiras</t>
        </is>
      </c>
      <c r="AS22" s="29" t="inlineStr">
        <is>
          <t>DEMAIS</t>
        </is>
      </c>
      <c r="AT22" s="29" t="inlineStr">
        <is>
          <t>MID-MARKET</t>
        </is>
      </c>
      <c r="AU22" s="29" t="inlineStr">
        <is>
          <t>11303092</t>
        </is>
      </c>
      <c r="AV22" s="29" t="n">
        <v>1</v>
      </c>
      <c r="AW22" s="29" t="inlineStr">
        <is>
          <t>ROWS:p1r31 UNRECONCILED_SOURCE VALUE_COL:Valor_Após_Analise</t>
        </is>
      </c>
    </row>
    <row r="23">
      <c r="A23" s="15" t="inlineStr">
        <is>
          <t>ITAU UNIBANCO S.A.</t>
        </is>
      </c>
      <c r="B23" s="16" t="n">
        <v>10230308.04</v>
      </c>
      <c r="C23" s="17" t="inlineStr">
        <is>
          <t>R W CONSTRUCOES LTDA</t>
        </is>
      </c>
      <c r="D23" s="18" t="inlineStr">
        <is>
          <t>NEW</t>
        </is>
      </c>
      <c r="E23" s="19" t="inlineStr"/>
      <c r="F23" s="18" t="inlineStr"/>
      <c r="G23" s="19" t="inlineStr"/>
      <c r="H23" s="18" t="inlineStr"/>
      <c r="I23" s="20" t="inlineStr">
        <is>
          <t>FELIPE SAMPAIO NABUCO</t>
        </is>
      </c>
      <c r="J23" s="20" t="inlineStr">
        <is>
          <t>Administrador</t>
        </is>
      </c>
      <c r="K23" s="20" t="inlineStr">
        <is>
          <t>(11) 3003-4828</t>
        </is>
      </c>
      <c r="L23" s="20" t="inlineStr"/>
      <c r="M23" s="20" t="inlineStr"/>
      <c r="N23" s="20" t="inlineStr"/>
      <c r="O23" s="20" t="inlineStr"/>
      <c r="P23" s="20" t="inlineStr">
        <is>
          <t>MILTON MALUHY FILHO</t>
        </is>
      </c>
      <c r="Q23" s="20" t="inlineStr">
        <is>
          <t>Presidente</t>
        </is>
      </c>
      <c r="R23" s="20" t="inlineStr">
        <is>
          <t>(11) 3003-4828</t>
        </is>
      </c>
      <c r="S23" s="20" t="inlineStr"/>
      <c r="T23" s="21" t="n">
        <v>10230308.04</v>
      </c>
      <c r="U23" s="22" t="inlineStr">
        <is>
          <t>B</t>
        </is>
      </c>
      <c r="V23" s="23">
        <f>IFERROR(VLOOKUP(U23,Assumptions!$A$7:$D$11,2,FALSE),0)</f>
        <v/>
      </c>
      <c r="W23" s="24">
        <f>MAX(0.5,IFERROR(VLOOKUP(U23,Assumptions!$A$7:$D$11,3,FALSE),3)+IFERROR(VLOOKUP(U23,Assumptions!$A$7:$D$11,4,FALSE),8)/2-IF(AN23="",0,YEAR(TODAY())-AN23))</f>
        <v/>
      </c>
      <c r="X23" s="21">
        <f>T23*V23/(1+Assumptions!$B$3)^W23</f>
        <v/>
      </c>
      <c r="Y23" s="25">
        <f>IF(T23=0,"",ROUND(X23/T23*100,1))</f>
        <v/>
      </c>
      <c r="Z23" s="26">
        <f>X23*Assumptions!$B$4</f>
        <v/>
      </c>
      <c r="AA23" s="25">
        <f>IF(T23=0,"",ROUND(Z23/T23*100,1))</f>
        <v/>
      </c>
      <c r="AB23" s="26">
        <f>X23-Z23</f>
        <v/>
      </c>
      <c r="AC23" s="25">
        <f>IF(T23=0,"",ROUND((X23-Z23)/T23*100,1))</f>
        <v/>
      </c>
      <c r="AD23" s="27" t="inlineStr">
        <is>
          <t>ESTIMATED</t>
        </is>
      </c>
      <c r="AE23" s="28" t="inlineStr">
        <is>
          <t>https://lrflideres.com.br/wp-content/plugins/download-attachments/includes/download.php?id=4023</t>
        </is>
      </c>
      <c r="AF23" s="27" t="inlineStr">
        <is>
          <t>p4 r79; p7 r104; p8 r83; p9 r78</t>
        </is>
      </c>
      <c r="AG23" s="27" t="inlineStr">
        <is>
          <t>p4: R$ 1.877.913,26; p7: R$ 5.246.171,01; p8: R$ 2.428.571,55; p9: R$ 677.652,22</t>
        </is>
      </c>
      <c r="AH23" s="27" t="inlineStr">
        <is>
          <t>DEBTOR_LIST</t>
        </is>
      </c>
      <c r="AI23" s="27" t="inlineStr"/>
      <c r="AJ23" s="27" t="inlineStr">
        <is>
          <t>QUARANTINED</t>
        </is>
      </c>
      <c r="AK23" s="29" t="inlineStr">
        <is>
          <t>0002484-82.2022.8.17.2001</t>
        </is>
      </c>
      <c r="AL23" s="29" t="inlineStr">
        <is>
          <t>TJPE</t>
        </is>
      </c>
      <c r="AM23" s="29" t="inlineStr">
        <is>
          <t>ACTIVE</t>
        </is>
      </c>
      <c r="AN23" s="29" t="n">
        <v>2022</v>
      </c>
      <c r="AO23" s="29" t="inlineStr">
        <is>
          <t>live case, no plan document yet</t>
        </is>
      </c>
      <c r="AP23" s="29" t="inlineStr">
        <is>
          <t>SAO PAULO</t>
        </is>
      </c>
      <c r="AQ23" s="29" t="inlineStr">
        <is>
          <t>SP</t>
        </is>
      </c>
      <c r="AR23" s="29" t="inlineStr">
        <is>
          <t>Bancos comerciais</t>
        </is>
      </c>
      <c r="AS23" s="29" t="inlineStr">
        <is>
          <t>DEMAIS</t>
        </is>
      </c>
      <c r="AT23" s="29" t="inlineStr">
        <is>
          <t>LARGE CORP</t>
        </is>
      </c>
      <c r="AU23" s="29" t="inlineStr">
        <is>
          <t>60701190</t>
        </is>
      </c>
      <c r="AV23" s="29" t="n">
        <v>4</v>
      </c>
      <c r="AW23" s="29" t="inlineStr">
        <is>
          <t>LIKELY_FINANCIAL_BY_NAME PARTIAL_DOC_CLASS_III_RECONCILED ROWS:p4r79,p7r104,p8r83,p9r78</t>
        </is>
      </c>
    </row>
    <row r="24">
      <c r="A24" s="15" t="inlineStr">
        <is>
          <t>CAIXA ECONOMICA FEDERAL</t>
        </is>
      </c>
      <c r="B24" s="16" t="n">
        <v>12089694.64</v>
      </c>
      <c r="C24" s="17" t="inlineStr">
        <is>
          <t>VEV COMERCIO DE MEDICAMENTOS LTDA EM RECUPERACAO JUDICIAL</t>
        </is>
      </c>
      <c r="D24" s="18" t="inlineStr">
        <is>
          <t>NEW</t>
        </is>
      </c>
      <c r="E24" s="19" t="inlineStr"/>
      <c r="F24" s="18" t="inlineStr"/>
      <c r="G24" s="19" t="inlineStr"/>
      <c r="H24" s="18" t="inlineStr"/>
      <c r="I24" s="20" t="inlineStr">
        <is>
          <t>ADRIANO ASSIS MATIAS</t>
        </is>
      </c>
      <c r="J24" s="20" t="inlineStr">
        <is>
          <t>Administrador</t>
        </is>
      </c>
      <c r="K24" s="20" t="inlineStr">
        <is>
          <t>(00) 4004-0104</t>
        </is>
      </c>
      <c r="L24" s="20" t="inlineStr"/>
      <c r="M24" s="20" t="inlineStr"/>
      <c r="N24" s="20" t="inlineStr"/>
      <c r="O24" s="20" t="inlineStr"/>
      <c r="P24" s="20" t="inlineStr">
        <is>
          <t>HENRIETE ALEXANDRA SARTORI BERNABE</t>
        </is>
      </c>
      <c r="Q24" s="20" t="inlineStr">
        <is>
          <t>Administrador</t>
        </is>
      </c>
      <c r="R24" s="20" t="inlineStr">
        <is>
          <t>(00) 4004-0104</t>
        </is>
      </c>
      <c r="S24" s="20" t="inlineStr"/>
      <c r="T24" s="21" t="n">
        <v>12089694.64</v>
      </c>
      <c r="U24" s="22" t="inlineStr">
        <is>
          <t>B</t>
        </is>
      </c>
      <c r="V24" s="23">
        <f>IFERROR(VLOOKUP(U24,Assumptions!$A$7:$D$11,2,FALSE),0)</f>
        <v/>
      </c>
      <c r="W24" s="24">
        <f>MAX(0.5,IFERROR(VLOOKUP(U24,Assumptions!$A$7:$D$11,3,FALSE),3)+IFERROR(VLOOKUP(U24,Assumptions!$A$7:$D$11,4,FALSE),8)/2-IF(AN24="",0,YEAR(TODAY())-AN24))</f>
        <v/>
      </c>
      <c r="X24" s="21">
        <f>T24*V24/(1+Assumptions!$B$3)^W24</f>
        <v/>
      </c>
      <c r="Y24" s="25">
        <f>IF(T24=0,"",ROUND(X24/T24*100,1))</f>
        <v/>
      </c>
      <c r="Z24" s="26">
        <f>X24*Assumptions!$B$4</f>
        <v/>
      </c>
      <c r="AA24" s="25">
        <f>IF(T24=0,"",ROUND(Z24/T24*100,1))</f>
        <v/>
      </c>
      <c r="AB24" s="26">
        <f>X24-Z24</f>
        <v/>
      </c>
      <c r="AC24" s="25">
        <f>IF(T24=0,"",ROUND((X24-Z24)/T24*100,1))</f>
        <v/>
      </c>
      <c r="AD24" s="27" t="inlineStr">
        <is>
          <t>ESTIMATED</t>
        </is>
      </c>
      <c r="AE24" s="28" t="inlineStr">
        <is>
          <t>https://marquesadmjudicial.com.br/sgc/download.php?file=files/processo_documento/processo_documento15293208032024_1_.pdf&amp;nome=Relação Nominal de Credores da AJ-Sintética</t>
        </is>
      </c>
      <c r="AF24" s="27" t="inlineStr">
        <is>
          <t>p22 r10</t>
        </is>
      </c>
      <c r="AG24" s="27" t="inlineStr">
        <is>
          <t>p22: R$ 12.089.694,64</t>
        </is>
      </c>
      <c r="AH24" s="27" t="inlineStr">
        <is>
          <t>AJ_LIST</t>
        </is>
      </c>
      <c r="AI24" s="27" t="inlineStr">
        <is>
          <t>2023-03-02</t>
        </is>
      </c>
      <c r="AJ24" s="27" t="inlineStr">
        <is>
          <t>QUARANTINED</t>
        </is>
      </c>
      <c r="AK24" s="29" t="inlineStr">
        <is>
          <t>0005010-98.2023.8.16.0001</t>
        </is>
      </c>
      <c r="AL24" s="29" t="inlineStr">
        <is>
          <t>TJPR</t>
        </is>
      </c>
      <c r="AM24" s="29" t="inlineStr">
        <is>
          <t>ACTIVE</t>
        </is>
      </c>
      <c r="AN24" s="29" t="n">
        <v>2023</v>
      </c>
      <c r="AO24" s="29" t="inlineStr">
        <is>
          <t>live case, no plan document yet</t>
        </is>
      </c>
      <c r="AP24" s="29" t="inlineStr">
        <is>
          <t>BRASILIA</t>
        </is>
      </c>
      <c r="AQ24" s="29" t="inlineStr">
        <is>
          <t>DF</t>
        </is>
      </c>
      <c r="AR24" s="29" t="inlineStr">
        <is>
          <t>Caixas econômicas</t>
        </is>
      </c>
      <c r="AS24" s="29" t="inlineStr">
        <is>
          <t>DEMAIS</t>
        </is>
      </c>
      <c r="AT24" s="29" t="inlineStr">
        <is>
          <t>LARGE CORP</t>
        </is>
      </c>
      <c r="AU24" s="29" t="inlineStr">
        <is>
          <t>00360305</t>
        </is>
      </c>
      <c r="AV24" s="29" t="n">
        <v>1</v>
      </c>
      <c r="AW24" s="29" t="inlineStr">
        <is>
          <t>LIKELY_FINANCIAL_BY_NAME PARTIAL_DOC_CLASS_III_RECONCILED ROWS:p22r10</t>
        </is>
      </c>
    </row>
    <row r="25">
      <c r="A25" s="15" t="inlineStr">
        <is>
          <t>BANCO ABC BRASIL S.A.</t>
        </is>
      </c>
      <c r="B25" s="16" t="n">
        <v>18590200.29</v>
      </c>
      <c r="C25" s="17" t="inlineStr"/>
      <c r="D25" s="18" t="inlineStr">
        <is>
          <t>NEW</t>
        </is>
      </c>
      <c r="E25" s="19" t="inlineStr"/>
      <c r="F25" s="18" t="inlineStr"/>
      <c r="G25" s="19" t="inlineStr"/>
      <c r="H25" s="18" t="inlineStr"/>
      <c r="I25" s="20" t="inlineStr">
        <is>
          <t>SERGIO LULIA JACOB</t>
        </is>
      </c>
      <c r="J25" s="20" t="inlineStr">
        <is>
          <t>Presidente</t>
        </is>
      </c>
      <c r="K25" s="20" t="inlineStr">
        <is>
          <t>(11) 3170-2000</t>
        </is>
      </c>
      <c r="L25" s="20" t="inlineStr"/>
      <c r="M25" s="20" t="inlineStr"/>
      <c r="N25" s="20" t="inlineStr"/>
      <c r="O25" s="20" t="inlineStr"/>
      <c r="P25" s="20" t="inlineStr">
        <is>
          <t>ADRIANA FERNANDES PERES</t>
        </is>
      </c>
      <c r="Q25" s="20" t="inlineStr">
        <is>
          <t>Diretor</t>
        </is>
      </c>
      <c r="R25" s="20" t="inlineStr">
        <is>
          <t>(11) 3170-2000</t>
        </is>
      </c>
      <c r="S25" s="20" t="inlineStr"/>
      <c r="T25" s="21" t="n">
        <v>18590200.29</v>
      </c>
      <c r="U25" s="22" t="inlineStr">
        <is>
          <t>B</t>
        </is>
      </c>
      <c r="V25" s="23">
        <f>IFERROR(VLOOKUP(U25,Assumptions!$A$7:$D$11,2,FALSE),0)</f>
        <v/>
      </c>
      <c r="W25" s="24">
        <f>MAX(0.5,IFERROR(VLOOKUP(U25,Assumptions!$A$7:$D$11,3,FALSE),3)+IFERROR(VLOOKUP(U25,Assumptions!$A$7:$D$11,4,FALSE),8)/2-IF(AN25="",0,YEAR(TODAY())-AN25))</f>
        <v/>
      </c>
      <c r="X25" s="21">
        <f>T25*V25/(1+Assumptions!$B$3)^W25</f>
        <v/>
      </c>
      <c r="Y25" s="25">
        <f>IF(T25=0,"",ROUND(X25/T25*100,1))</f>
        <v/>
      </c>
      <c r="Z25" s="26">
        <f>X25*Assumptions!$B$4</f>
        <v/>
      </c>
      <c r="AA25" s="25">
        <f>IF(T25=0,"",ROUND(Z25/T25*100,1))</f>
        <v/>
      </c>
      <c r="AB25" s="26">
        <f>X25-Z25</f>
        <v/>
      </c>
      <c r="AC25" s="25">
        <f>IF(T25=0,"",ROUND((X25-Z25)/T25*100,1))</f>
        <v/>
      </c>
      <c r="AD25" s="27" t="inlineStr">
        <is>
          <t>UNKNOWN</t>
        </is>
      </c>
      <c r="AE25" s="28" t="inlineStr">
        <is>
          <t>https://credibilita.com.br/wp-content/uploads/2025/09/Relacao-Credores-29.04.2026.pdf</t>
        </is>
      </c>
      <c r="AF25" s="27" t="inlineStr">
        <is>
          <t>p1 r4; p1 r5</t>
        </is>
      </c>
      <c r="AG25" s="27" t="inlineStr">
        <is>
          <t>p1: R$ 16.575.188,17; p1: R$ 2.015.012,12</t>
        </is>
      </c>
      <c r="AH25" s="27" t="inlineStr">
        <is>
          <t>UNKNOWN</t>
        </is>
      </c>
      <c r="AI25" s="27" t="inlineStr"/>
      <c r="AJ25" s="27" t="inlineStr">
        <is>
          <t>OK_NO_TOTALS</t>
        </is>
      </c>
      <c r="AK25" s="29" t="inlineStr">
        <is>
          <t>5057720-48.2025.8.24.0023</t>
        </is>
      </c>
      <c r="AL25" s="29" t="inlineStr">
        <is>
          <t>TJ</t>
        </is>
      </c>
      <c r="AM25" s="29" t="inlineStr"/>
      <c r="AN25" s="29" t="n">
        <v>2025</v>
      </c>
      <c r="AO25" s="29" t="inlineStr">
        <is>
          <t>live case, no plan document yet</t>
        </is>
      </c>
      <c r="AP25" s="29" t="inlineStr">
        <is>
          <t>SAO PAULO</t>
        </is>
      </c>
      <c r="AQ25" s="29" t="inlineStr">
        <is>
          <t>SP</t>
        </is>
      </c>
      <c r="AR25" s="29" t="inlineStr">
        <is>
          <t>Bancos múltiplos, com carteira comercial</t>
        </is>
      </c>
      <c r="AS25" s="29" t="inlineStr">
        <is>
          <t>DEMAIS</t>
        </is>
      </c>
      <c r="AT25" s="29" t="inlineStr">
        <is>
          <t>LARGE CORP</t>
        </is>
      </c>
      <c r="AU25" s="29" t="inlineStr">
        <is>
          <t>28195667</t>
        </is>
      </c>
      <c r="AV25" s="29" t="n">
        <v>2</v>
      </c>
      <c r="AW25" s="29" t="inlineStr">
        <is>
          <t>ROWS:p1r4,p1r5 UNRECONCILED_SOURCE VALUE_COL:Valor_Após_Analise</t>
        </is>
      </c>
    </row>
    <row r="26">
      <c r="A26" s="15" t="inlineStr">
        <is>
          <t>BANCO NACIONAL DE DESENVOLVIMENTO ECONOMICO E SOCIAL</t>
        </is>
      </c>
      <c r="B26" s="16" t="n">
        <v>14441558.6</v>
      </c>
      <c r="C26" s="17" t="inlineStr">
        <is>
          <t>Grupo Arnon de Mello — Lindoso e Araujo</t>
        </is>
      </c>
      <c r="D26" s="18" t="inlineStr">
        <is>
          <t>NEW</t>
        </is>
      </c>
      <c r="E26" s="19" t="inlineStr"/>
      <c r="F26" s="18" t="inlineStr"/>
      <c r="G26" s="19" t="inlineStr"/>
      <c r="H26" s="18" t="inlineStr"/>
      <c r="I26" s="20" t="inlineStr"/>
      <c r="J26" s="20" t="inlineStr"/>
      <c r="K26" s="20" t="inlineStr"/>
      <c r="L26" s="20" t="inlineStr"/>
      <c r="M26" s="20" t="inlineStr"/>
      <c r="N26" s="20" t="inlineStr"/>
      <c r="O26" s="20" t="inlineStr"/>
      <c r="P26" s="20" t="inlineStr"/>
      <c r="Q26" s="20" t="inlineStr"/>
      <c r="R26" s="20" t="inlineStr"/>
      <c r="S26" s="20" t="inlineStr"/>
      <c r="T26" s="21" t="n">
        <v>14441558.6</v>
      </c>
      <c r="U26" s="31" t="inlineStr">
        <is>
          <t>C</t>
        </is>
      </c>
      <c r="V26" s="23">
        <f>IFERROR(VLOOKUP(U26,Assumptions!$A$7:$D$11,2,FALSE),0)</f>
        <v/>
      </c>
      <c r="W26" s="24">
        <f>MAX(0.5,IFERROR(VLOOKUP(U26,Assumptions!$A$7:$D$11,3,FALSE),3)+IFERROR(VLOOKUP(U26,Assumptions!$A$7:$D$11,4,FALSE),8)/2-IF(AN26="",0,YEAR(TODAY())-AN26))</f>
        <v/>
      </c>
      <c r="X26" s="21">
        <f>T26*V26/(1+Assumptions!$B$3)^W26</f>
        <v/>
      </c>
      <c r="Y26" s="25">
        <f>IF(T26=0,"",ROUND(X26/T26*100,1))</f>
        <v/>
      </c>
      <c r="Z26" s="26">
        <f>X26*Assumptions!$B$4</f>
        <v/>
      </c>
      <c r="AA26" s="25">
        <f>IF(T26=0,"",ROUND(Z26/T26*100,1))</f>
        <v/>
      </c>
      <c r="AB26" s="26">
        <f>X26-Z26</f>
        <v/>
      </c>
      <c r="AC26" s="25">
        <f>IF(T26=0,"",ROUND((X26-Z26)/T26*100,1))</f>
        <v/>
      </c>
      <c r="AD26" s="27" t="inlineStr">
        <is>
          <t>UNKNOWN</t>
        </is>
      </c>
      <c r="AE26" s="28" t="inlineStr">
        <is>
          <t>https://recuperacaojudicial.squarespace.com/s/RJ-Grupo-Arnon-de-Melo-Lista-de-Credores-Consolidada-abril-2022.pdf</t>
        </is>
      </c>
      <c r="AF26" s="27" t="inlineStr">
        <is>
          <t>p7 r21</t>
        </is>
      </c>
      <c r="AG26" s="27" t="inlineStr">
        <is>
          <t>p7: R$ 14.441.558,60</t>
        </is>
      </c>
      <c r="AH26" s="27" t="inlineStr">
        <is>
          <t>AJ_LIST</t>
        </is>
      </c>
      <c r="AI26" s="27" t="inlineStr"/>
      <c r="AJ26" s="27" t="inlineStr">
        <is>
          <t>OK_NO_TOTALS</t>
        </is>
      </c>
      <c r="AK26" s="29" t="inlineStr">
        <is>
          <t>0700256-03.2019.8.02.0066</t>
        </is>
      </c>
      <c r="AL26" s="29" t="inlineStr">
        <is>
          <t>TJ</t>
        </is>
      </c>
      <c r="AM26" s="29" t="inlineStr"/>
      <c r="AN26" s="29" t="n">
        <v>2019</v>
      </c>
      <c r="AO26" s="29" t="inlineStr">
        <is>
          <t>7y since filing, no plan document</t>
        </is>
      </c>
      <c r="AP26" s="29" t="inlineStr"/>
      <c r="AQ26" s="29" t="inlineStr"/>
      <c r="AR26" s="29" t="inlineStr"/>
      <c r="AS26" s="29" t="inlineStr"/>
      <c r="AT26" s="29" t="inlineStr">
        <is>
          <t>MID-MARKET</t>
        </is>
      </c>
      <c r="AU26" s="29" t="inlineStr">
        <is>
          <t>33657248</t>
        </is>
      </c>
      <c r="AV26" s="29" t="n">
        <v>1</v>
      </c>
      <c r="AW26" s="29" t="inlineStr">
        <is>
          <t>LIKELY_FINANCIAL_BY_NAME ROWS:p7r21 UNRECONCILED_SOURCE</t>
        </is>
      </c>
    </row>
    <row r="27">
      <c r="A27" s="15" t="inlineStr">
        <is>
          <t>JGM EMPREENDIMENTOS E PARTICIPACOES LTDA</t>
        </is>
      </c>
      <c r="B27" s="16" t="n">
        <v>12841448</v>
      </c>
      <c r="C27" s="17" t="inlineStr"/>
      <c r="D27" s="18" t="inlineStr">
        <is>
          <t>NEW</t>
        </is>
      </c>
      <c r="E27" s="19" t="inlineStr"/>
      <c r="F27" s="18" t="inlineStr"/>
      <c r="G27" s="19" t="inlineStr"/>
      <c r="H27" s="18" t="inlineStr"/>
      <c r="I27" s="20" t="inlineStr">
        <is>
          <t>TCHARLA FRANCOISE MENEL</t>
        </is>
      </c>
      <c r="J27" s="20" t="inlineStr">
        <is>
          <t>Sócio-Administrador</t>
        </is>
      </c>
      <c r="K27" s="20" t="inlineStr">
        <is>
          <t>(04) 7371-0099</t>
        </is>
      </c>
      <c r="L27" s="20" t="inlineStr"/>
      <c r="M27" s="20" t="inlineStr"/>
      <c r="N27" s="20" t="inlineStr"/>
      <c r="O27" s="20" t="inlineStr"/>
      <c r="P27" s="20" t="inlineStr"/>
      <c r="Q27" s="20" t="inlineStr"/>
      <c r="R27" s="20" t="inlineStr"/>
      <c r="S27" s="20" t="inlineStr"/>
      <c r="T27" s="21" t="n">
        <v>12841448</v>
      </c>
      <c r="U27" s="31" t="inlineStr">
        <is>
          <t>C</t>
        </is>
      </c>
      <c r="V27" s="23">
        <f>IFERROR(VLOOKUP(U27,Assumptions!$A$7:$D$11,2,FALSE),0)</f>
        <v/>
      </c>
      <c r="W27" s="24">
        <f>MAX(0.5,IFERROR(VLOOKUP(U27,Assumptions!$A$7:$D$11,3,FALSE),3)+IFERROR(VLOOKUP(U27,Assumptions!$A$7:$D$11,4,FALSE),8)/2-IF(AN27="",0,YEAR(TODAY())-AN27))</f>
        <v/>
      </c>
      <c r="X27" s="21">
        <f>T27*V27/(1+Assumptions!$B$3)^W27</f>
        <v/>
      </c>
      <c r="Y27" s="25">
        <f>IF(T27=0,"",ROUND(X27/T27*100,1))</f>
        <v/>
      </c>
      <c r="Z27" s="26">
        <f>X27*Assumptions!$B$4</f>
        <v/>
      </c>
      <c r="AA27" s="25">
        <f>IF(T27=0,"",ROUND(Z27/T27*100,1))</f>
        <v/>
      </c>
      <c r="AB27" s="26">
        <f>X27-Z27</f>
        <v/>
      </c>
      <c r="AC27" s="25">
        <f>IF(T27=0,"",ROUND((X27-Z27)/T27*100,1))</f>
        <v/>
      </c>
      <c r="AD27" s="27" t="inlineStr">
        <is>
          <t>UNKNOWN</t>
        </is>
      </c>
      <c r="AE27" s="28" t="inlineStr">
        <is>
          <t>https://administradorajudicialgs.com.br/wp-content/uploads/2024/12/relacao-de-credores-da-falida.pdf</t>
        </is>
      </c>
      <c r="AF27" s="27" t="inlineStr">
        <is>
          <t>p15 r42</t>
        </is>
      </c>
      <c r="AG27" s="27" t="inlineStr">
        <is>
          <t>p15: R$ 12.841.448,00</t>
        </is>
      </c>
      <c r="AH27" s="27" t="inlineStr">
        <is>
          <t>UNKNOWN</t>
        </is>
      </c>
      <c r="AI27" s="27" t="inlineStr">
        <is>
          <t>2025-03-25</t>
        </is>
      </c>
      <c r="AJ27" s="27" t="inlineStr">
        <is>
          <t>OK_NO_TOTALS</t>
        </is>
      </c>
      <c r="AK27" s="29" t="inlineStr">
        <is>
          <t>0005010-50.2013.8.24.0026</t>
        </is>
      </c>
      <c r="AL27" s="29" t="inlineStr">
        <is>
          <t>TJ</t>
        </is>
      </c>
      <c r="AM27" s="29" t="inlineStr"/>
      <c r="AN27" s="29" t="n">
        <v>2013</v>
      </c>
      <c r="AO27" s="29" t="inlineStr">
        <is>
          <t>13y since filing, no plan document</t>
        </is>
      </c>
      <c r="AP27" s="29" t="inlineStr">
        <is>
          <t>JARAGUA DO SUL</t>
        </is>
      </c>
      <c r="AQ27" s="29" t="inlineStr">
        <is>
          <t>SC</t>
        </is>
      </c>
      <c r="AR27" s="29" t="inlineStr">
        <is>
          <t>Holdings de instituições não-financeiras</t>
        </is>
      </c>
      <c r="AS27" s="29" t="inlineStr">
        <is>
          <t>DEMAIS</t>
        </is>
      </c>
      <c r="AT27" s="29" t="inlineStr">
        <is>
          <t>MID-MARKET</t>
        </is>
      </c>
      <c r="AU27" s="29" t="inlineStr">
        <is>
          <t>02553526</t>
        </is>
      </c>
      <c r="AV27" s="29" t="n">
        <v>1</v>
      </c>
      <c r="AW27" s="29" t="inlineStr">
        <is>
          <t>ROWS:p15r42 UNRECONCILED_SOURCE</t>
        </is>
      </c>
    </row>
    <row r="28">
      <c r="A28" s="15" t="inlineStr">
        <is>
          <t>BANCO ABC BRASIL S.A.</t>
        </is>
      </c>
      <c r="B28" s="16" t="n">
        <v>11070395.8</v>
      </c>
      <c r="C28" s="17" t="inlineStr">
        <is>
          <t>REAL DISTRIBUIDORA ÚNICA RIO COMÉRCIO DE REFRIGERAÇÃO LTDA</t>
        </is>
      </c>
      <c r="D28" s="18" t="inlineStr">
        <is>
          <t>NEW</t>
        </is>
      </c>
      <c r="E28" s="19" t="inlineStr"/>
      <c r="F28" s="18" t="inlineStr"/>
      <c r="G28" s="19" t="inlineStr"/>
      <c r="H28" s="18" t="inlineStr"/>
      <c r="I28" s="20" t="inlineStr">
        <is>
          <t>SERGIO LULIA JACOB</t>
        </is>
      </c>
      <c r="J28" s="20" t="inlineStr">
        <is>
          <t>Presidente</t>
        </is>
      </c>
      <c r="K28" s="20" t="inlineStr">
        <is>
          <t>(11) 3170-2000</t>
        </is>
      </c>
      <c r="L28" s="20" t="inlineStr"/>
      <c r="M28" s="20" t="inlineStr"/>
      <c r="N28" s="20" t="inlineStr"/>
      <c r="O28" s="20" t="inlineStr"/>
      <c r="P28" s="20" t="inlineStr">
        <is>
          <t>ADRIANA FERNANDES PERES</t>
        </is>
      </c>
      <c r="Q28" s="20" t="inlineStr">
        <is>
          <t>Diretor</t>
        </is>
      </c>
      <c r="R28" s="20" t="inlineStr">
        <is>
          <t>(11) 3170-2000</t>
        </is>
      </c>
      <c r="S28" s="20" t="inlineStr"/>
      <c r="T28" s="21" t="n">
        <v>11070395.8</v>
      </c>
      <c r="U28" s="22" t="inlineStr">
        <is>
          <t>B</t>
        </is>
      </c>
      <c r="V28" s="23">
        <f>IFERROR(VLOOKUP(U28,Assumptions!$A$7:$D$11,2,FALSE),0)</f>
        <v/>
      </c>
      <c r="W28" s="24">
        <f>MAX(0.5,IFERROR(VLOOKUP(U28,Assumptions!$A$7:$D$11,3,FALSE),3)+IFERROR(VLOOKUP(U28,Assumptions!$A$7:$D$11,4,FALSE),8)/2-IF(AN28="",0,YEAR(TODAY())-AN28))</f>
        <v/>
      </c>
      <c r="X28" s="21">
        <f>T28*V28/(1+Assumptions!$B$3)^W28</f>
        <v/>
      </c>
      <c r="Y28" s="25">
        <f>IF(T28=0,"",ROUND(X28/T28*100,1))</f>
        <v/>
      </c>
      <c r="Z28" s="26">
        <f>X28*Assumptions!$B$4</f>
        <v/>
      </c>
      <c r="AA28" s="25">
        <f>IF(T28=0,"",ROUND(Z28/T28*100,1))</f>
        <v/>
      </c>
      <c r="AB28" s="26">
        <f>X28-Z28</f>
        <v/>
      </c>
      <c r="AC28" s="25">
        <f>IF(T28=0,"",ROUND((X28-Z28)/T28*100,1))</f>
        <v/>
      </c>
      <c r="AD28" s="27" t="inlineStr">
        <is>
          <t>UNKNOWN</t>
        </is>
      </c>
      <c r="AE28" s="28" t="inlineStr">
        <is>
          <t>https://inova-aj.com.br/wp-content/uploads/2026/08/1a-Relacao-de-Credores-Real.pdf</t>
        </is>
      </c>
      <c r="AF28" s="27" t="inlineStr">
        <is>
          <t>p1 r14</t>
        </is>
      </c>
      <c r="AG28" s="27" t="inlineStr">
        <is>
          <t>p1: R$ 11.070.395,80</t>
        </is>
      </c>
      <c r="AH28" s="27" t="inlineStr">
        <is>
          <t>AJ_LIST</t>
        </is>
      </c>
      <c r="AI28" s="27" t="inlineStr">
        <is>
          <t>2023-06-05</t>
        </is>
      </c>
      <c r="AJ28" s="27" t="inlineStr">
        <is>
          <t>OK</t>
        </is>
      </c>
      <c r="AK28" s="29" t="inlineStr">
        <is>
          <t>0873061-47.2023.8.19.0001</t>
        </is>
      </c>
      <c r="AL28" s="29" t="inlineStr">
        <is>
          <t>TJ</t>
        </is>
      </c>
      <c r="AM28" s="29" t="inlineStr"/>
      <c r="AN28" s="29" t="n">
        <v>2023</v>
      </c>
      <c r="AO28" s="29" t="inlineStr">
        <is>
          <t>live case, no plan document yet</t>
        </is>
      </c>
      <c r="AP28" s="29" t="inlineStr">
        <is>
          <t>SAO PAULO</t>
        </is>
      </c>
      <c r="AQ28" s="29" t="inlineStr">
        <is>
          <t>SP</t>
        </is>
      </c>
      <c r="AR28" s="29" t="inlineStr">
        <is>
          <t>Bancos múltiplos, com carteira comercial</t>
        </is>
      </c>
      <c r="AS28" s="29" t="inlineStr">
        <is>
          <t>DEMAIS</t>
        </is>
      </c>
      <c r="AT28" s="29" t="inlineStr">
        <is>
          <t>LARGE CORP</t>
        </is>
      </c>
      <c r="AU28" s="29" t="inlineStr">
        <is>
          <t>28195667</t>
        </is>
      </c>
      <c r="AV28" s="29" t="n">
        <v>1</v>
      </c>
      <c r="AW28" s="29" t="inlineStr">
        <is>
          <t>ALT_VALUE:R$8.049.373,91 ROWS:p1r14</t>
        </is>
      </c>
    </row>
    <row r="29">
      <c r="A29" s="15" t="inlineStr">
        <is>
          <t>STONE SOCIEDADE DE CREDITO DIRETO S.A.</t>
        </is>
      </c>
      <c r="B29" s="16" t="n">
        <v>16005897.08</v>
      </c>
      <c r="C29" s="17" t="inlineStr">
        <is>
          <t>COMERCIO RACOES BEM BOM LTDA</t>
        </is>
      </c>
      <c r="D29" s="18" t="inlineStr">
        <is>
          <t>NEW</t>
        </is>
      </c>
      <c r="E29" s="19" t="inlineStr"/>
      <c r="F29" s="18" t="inlineStr"/>
      <c r="G29" s="19" t="inlineStr"/>
      <c r="H29" s="18" t="inlineStr"/>
      <c r="I29" s="20" t="inlineStr">
        <is>
          <t>DIEGO VENTURA SALGADO</t>
        </is>
      </c>
      <c r="J29" s="20" t="inlineStr">
        <is>
          <t>Diretor</t>
        </is>
      </c>
      <c r="K29" s="20" t="inlineStr">
        <is>
          <t>(11) 3568-6318</t>
        </is>
      </c>
      <c r="L29" s="20" t="inlineStr"/>
      <c r="M29" s="20" t="inlineStr"/>
      <c r="N29" s="20" t="inlineStr"/>
      <c r="O29" s="20" t="inlineStr"/>
      <c r="P29" s="20" t="inlineStr">
        <is>
          <t>EDUARDO VICENTE Y SILVA DOS SANTOS</t>
        </is>
      </c>
      <c r="Q29" s="20" t="inlineStr">
        <is>
          <t>Diretor</t>
        </is>
      </c>
      <c r="R29" s="20" t="inlineStr">
        <is>
          <t>(11) 3568-6318</t>
        </is>
      </c>
      <c r="S29" s="20" t="inlineStr"/>
      <c r="T29" s="21" t="n">
        <v>16005897.08</v>
      </c>
      <c r="U29" s="32" t="inlineStr">
        <is>
          <t>A</t>
        </is>
      </c>
      <c r="V29" s="23">
        <f>IFERROR(VLOOKUP(U29,Assumptions!$A$7:$D$11,2,FALSE),0)</f>
        <v/>
      </c>
      <c r="W29" s="24">
        <f>MAX(0.5,IFERROR(VLOOKUP(U29,Assumptions!$A$7:$D$11,3,FALSE),3)+IFERROR(VLOOKUP(U29,Assumptions!$A$7:$D$11,4,FALSE),8)/2-IF(AN29="",0,YEAR(TODAY())-AN29))</f>
        <v/>
      </c>
      <c r="X29" s="21">
        <f>T29*V29/(1+Assumptions!$B$3)^W29</f>
        <v/>
      </c>
      <c r="Y29" s="25">
        <f>IF(T29=0,"",ROUND(X29/T29*100,1))</f>
        <v/>
      </c>
      <c r="Z29" s="26">
        <f>X29*Assumptions!$B$4</f>
        <v/>
      </c>
      <c r="AA29" s="25">
        <f>IF(T29=0,"",ROUND(Z29/T29*100,1))</f>
        <v/>
      </c>
      <c r="AB29" s="26">
        <f>X29-Z29</f>
        <v/>
      </c>
      <c r="AC29" s="25">
        <f>IF(T29=0,"",ROUND((X29-Z29)/T29*100,1))</f>
        <v/>
      </c>
      <c r="AD29" s="27" t="inlineStr">
        <is>
          <t>CONFIRMED</t>
        </is>
      </c>
      <c r="AE29" s="28" t="inlineStr">
        <is>
          <t>https://stenius.com.br/wp-content/uploads/2026/06/EDITAL-GRUPO-3E.pdf</t>
        </is>
      </c>
      <c r="AF29" s="27" t="inlineStr">
        <is>
          <t>p18 r11</t>
        </is>
      </c>
      <c r="AG29" s="27" t="inlineStr">
        <is>
          <t>p18: R$ 16.005.897,08</t>
        </is>
      </c>
      <c r="AH29" s="27" t="inlineStr">
        <is>
          <t>DEBTOR_LIST</t>
        </is>
      </c>
      <c r="AI29" s="27" t="inlineStr">
        <is>
          <t>2026-06-22</t>
        </is>
      </c>
      <c r="AJ29" s="27" t="inlineStr">
        <is>
          <t>OK_NO_TOTALS</t>
        </is>
      </c>
      <c r="AK29" s="29" t="inlineStr">
        <is>
          <t>5341375-33.2026.8.09.0049</t>
        </is>
      </c>
      <c r="AL29" s="29" t="inlineStr">
        <is>
          <t>TJGO</t>
        </is>
      </c>
      <c r="AM29" s="29" t="inlineStr">
        <is>
          <t>ACTIVE</t>
        </is>
      </c>
      <c r="AN29" s="29" t="n">
        <v>2026</v>
      </c>
      <c r="AO29" s="29" t="inlineStr">
        <is>
          <t>plan/homologation document found</t>
        </is>
      </c>
      <c r="AP29" s="29" t="inlineStr">
        <is>
          <t>SAO PAULO</t>
        </is>
      </c>
      <c r="AQ29" s="29" t="inlineStr">
        <is>
          <t>SP</t>
        </is>
      </c>
      <c r="AR29" s="29" t="inlineStr">
        <is>
          <t>Outras atividades de serviços financeiros não especificadas anteriormente</t>
        </is>
      </c>
      <c r="AS29" s="29" t="inlineStr">
        <is>
          <t>DEMAIS</t>
        </is>
      </c>
      <c r="AT29" s="29" t="inlineStr">
        <is>
          <t>LARGE CORP</t>
        </is>
      </c>
      <c r="AU29" s="29" t="inlineStr">
        <is>
          <t>34590184</t>
        </is>
      </c>
      <c r="AV29" s="29" t="n">
        <v>1</v>
      </c>
      <c r="AW29" s="29" t="inlineStr">
        <is>
          <t>ROWS:p18r11 UNRECONCILED_SOURCE</t>
        </is>
      </c>
    </row>
    <row r="30">
      <c r="A30" s="15" t="inlineStr">
        <is>
          <t>BANCO SANTANDER (BRASIL) S.A.</t>
        </is>
      </c>
      <c r="B30" s="16" t="n">
        <v>13569297.24</v>
      </c>
      <c r="C30" s="17" t="inlineStr">
        <is>
          <t>IMOBI DESENVOLVIMENTO URBANO LTDA - EM RECUPERACAO JUDICIAL</t>
        </is>
      </c>
      <c r="D30" s="18" t="inlineStr">
        <is>
          <t>NEW</t>
        </is>
      </c>
      <c r="E30" s="19" t="inlineStr"/>
      <c r="F30" s="18" t="inlineStr"/>
      <c r="G30" s="19" t="inlineStr"/>
      <c r="H30" s="18" t="inlineStr"/>
      <c r="I30" s="20" t="inlineStr">
        <is>
          <t>GILSON FINKELSZTAIN</t>
        </is>
      </c>
      <c r="J30" s="20" t="inlineStr">
        <is>
          <t>Presidente</t>
        </is>
      </c>
      <c r="K30" s="20" t="inlineStr">
        <is>
          <t>(11) 4004-3535</t>
        </is>
      </c>
      <c r="L30" s="20" t="inlineStr"/>
      <c r="M30" s="20" t="inlineStr"/>
      <c r="N30" s="20" t="inlineStr"/>
      <c r="O30" s="20" t="inlineStr"/>
      <c r="P30" s="20" t="inlineStr">
        <is>
          <t>ALESSANDRO CHAGAS FARIAS</t>
        </is>
      </c>
      <c r="Q30" s="20" t="inlineStr">
        <is>
          <t>Diretor</t>
        </is>
      </c>
      <c r="R30" s="20" t="inlineStr">
        <is>
          <t>(11) 4004-3535</t>
        </is>
      </c>
      <c r="S30" s="20" t="inlineStr"/>
      <c r="T30" s="21" t="n">
        <v>13569297.24</v>
      </c>
      <c r="U30" s="22" t="inlineStr">
        <is>
          <t>B</t>
        </is>
      </c>
      <c r="V30" s="23">
        <f>IFERROR(VLOOKUP(U30,Assumptions!$A$7:$D$11,2,FALSE),0)</f>
        <v/>
      </c>
      <c r="W30" s="24">
        <f>MAX(0.5,IFERROR(VLOOKUP(U30,Assumptions!$A$7:$D$11,3,FALSE),3)+IFERROR(VLOOKUP(U30,Assumptions!$A$7:$D$11,4,FALSE),8)/2-IF(AN30="",0,YEAR(TODAY())-AN30))</f>
        <v/>
      </c>
      <c r="X30" s="21">
        <f>T30*V30/(1+Assumptions!$B$3)^W30</f>
        <v/>
      </c>
      <c r="Y30" s="25">
        <f>IF(T30=0,"",ROUND(X30/T30*100,1))</f>
        <v/>
      </c>
      <c r="Z30" s="26">
        <f>X30*Assumptions!$B$4</f>
        <v/>
      </c>
      <c r="AA30" s="25">
        <f>IF(T30=0,"",ROUND(Z30/T30*100,1))</f>
        <v/>
      </c>
      <c r="AB30" s="26">
        <f>X30-Z30</f>
        <v/>
      </c>
      <c r="AC30" s="25">
        <f>IF(T30=0,"",ROUND((X30-Z30)/T30*100,1))</f>
        <v/>
      </c>
      <c r="AD30" s="27" t="inlineStr">
        <is>
          <t>ESTIMATED</t>
        </is>
      </c>
      <c r="AE30" s="28" t="inlineStr">
        <is>
          <t>https://lrflideres.com.br/wp-content/plugins/download-attachments/includes/download.php?id=6273</t>
        </is>
      </c>
      <c r="AF30" s="27" t="inlineStr">
        <is>
          <t>p3 r95</t>
        </is>
      </c>
      <c r="AG30" s="27" t="inlineStr">
        <is>
          <t>p3: R$ 13.569.297,24</t>
        </is>
      </c>
      <c r="AH30" s="27" t="inlineStr">
        <is>
          <t>AJ_LIST</t>
        </is>
      </c>
      <c r="AI30" s="27" t="inlineStr">
        <is>
          <t>2024-11-14</t>
        </is>
      </c>
      <c r="AJ30" s="27" t="inlineStr">
        <is>
          <t>OK</t>
        </is>
      </c>
      <c r="AK30" s="29" t="inlineStr">
        <is>
          <t>0074500-63.2024.8.17.2001</t>
        </is>
      </c>
      <c r="AL30" s="29" t="inlineStr">
        <is>
          <t>TJPE</t>
        </is>
      </c>
      <c r="AM30" s="29" t="inlineStr">
        <is>
          <t>ACTIVE</t>
        </is>
      </c>
      <c r="AN30" s="29" t="n">
        <v>2024</v>
      </c>
      <c r="AO30" s="29" t="inlineStr">
        <is>
          <t>live case, no plan document yet</t>
        </is>
      </c>
      <c r="AP30" s="29" t="inlineStr">
        <is>
          <t>SAO PAULO</t>
        </is>
      </c>
      <c r="AQ30" s="29" t="inlineStr">
        <is>
          <t>SP</t>
        </is>
      </c>
      <c r="AR30" s="29" t="inlineStr">
        <is>
          <t>Bancos múltiplos, com carteira comercial</t>
        </is>
      </c>
      <c r="AS30" s="29" t="inlineStr">
        <is>
          <t>DEMAIS</t>
        </is>
      </c>
      <c r="AT30" s="29" t="inlineStr">
        <is>
          <t>LARGE CORP</t>
        </is>
      </c>
      <c r="AU30" s="29" t="inlineStr">
        <is>
          <t>90400888</t>
        </is>
      </c>
      <c r="AV30" s="29" t="n">
        <v>1</v>
      </c>
      <c r="AW30" s="29" t="inlineStr">
        <is>
          <t>LIKELY_FINANCIAL_BY_NAME ROWS:p3r95</t>
        </is>
      </c>
    </row>
    <row r="31">
      <c r="A31" s="15" t="inlineStr">
        <is>
          <t>BANCO SANTANDER (BRASIL) S.A.</t>
        </is>
      </c>
      <c r="B31" s="16" t="n">
        <v>21041903.06</v>
      </c>
      <c r="C31" s="17" t="inlineStr">
        <is>
          <t>E FALENCIA</t>
        </is>
      </c>
      <c r="D31" s="18" t="inlineStr">
        <is>
          <t>NEW</t>
        </is>
      </c>
      <c r="E31" s="19" t="inlineStr"/>
      <c r="F31" s="18" t="inlineStr"/>
      <c r="G31" s="19" t="inlineStr"/>
      <c r="H31" s="18" t="inlineStr"/>
      <c r="I31" s="20" t="inlineStr">
        <is>
          <t>GILSON FINKELSZTAIN</t>
        </is>
      </c>
      <c r="J31" s="20" t="inlineStr">
        <is>
          <t>Presidente</t>
        </is>
      </c>
      <c r="K31" s="20" t="inlineStr">
        <is>
          <t>(11) 4004-3535</t>
        </is>
      </c>
      <c r="L31" s="20" t="inlineStr"/>
      <c r="M31" s="20" t="inlineStr"/>
      <c r="N31" s="20" t="inlineStr"/>
      <c r="O31" s="20" t="inlineStr"/>
      <c r="P31" s="20" t="inlineStr">
        <is>
          <t>ALESSANDRO CHAGAS FARIAS</t>
        </is>
      </c>
      <c r="Q31" s="20" t="inlineStr">
        <is>
          <t>Diretor</t>
        </is>
      </c>
      <c r="R31" s="20" t="inlineStr">
        <is>
          <t>(11) 4004-3535</t>
        </is>
      </c>
      <c r="S31" s="20" t="inlineStr"/>
      <c r="T31" s="21" t="n">
        <v>21041903.06</v>
      </c>
      <c r="U31" s="22" t="inlineStr">
        <is>
          <t>B</t>
        </is>
      </c>
      <c r="V31" s="23">
        <f>IFERROR(VLOOKUP(U31,Assumptions!$A$7:$D$11,2,FALSE),0)</f>
        <v/>
      </c>
      <c r="W31" s="24">
        <f>MAX(0.5,IFERROR(VLOOKUP(U31,Assumptions!$A$7:$D$11,3,FALSE),3)+IFERROR(VLOOKUP(U31,Assumptions!$A$7:$D$11,4,FALSE),8)/2-IF(AN31="",0,YEAR(TODAY())-AN31))</f>
        <v/>
      </c>
      <c r="X31" s="21">
        <f>T31*V31/(1+Assumptions!$B$3)^W31</f>
        <v/>
      </c>
      <c r="Y31" s="25">
        <f>IF(T31=0,"",ROUND(X31/T31*100,1))</f>
        <v/>
      </c>
      <c r="Z31" s="26">
        <f>X31*Assumptions!$B$4</f>
        <v/>
      </c>
      <c r="AA31" s="25">
        <f>IF(T31=0,"",ROUND(Z31/T31*100,1))</f>
        <v/>
      </c>
      <c r="AB31" s="26">
        <f>X31-Z31</f>
        <v/>
      </c>
      <c r="AC31" s="25">
        <f>IF(T31=0,"",ROUND((X31-Z31)/T31*100,1))</f>
        <v/>
      </c>
      <c r="AD31" s="27" t="inlineStr">
        <is>
          <t>ESTIMATED</t>
        </is>
      </c>
      <c r="AE31" s="28" t="inlineStr">
        <is>
          <t>https://recuperasolucoes.com/wp-content/plugins/download-attachments/includes/download.php?id=1597</t>
        </is>
      </c>
      <c r="AF31" s="27" t="inlineStr">
        <is>
          <t>p13 r19</t>
        </is>
      </c>
      <c r="AG31" s="27" t="inlineStr">
        <is>
          <t>p13: R$ 21.041.903,06</t>
        </is>
      </c>
      <c r="AH31" s="27" t="inlineStr">
        <is>
          <t>DEBTOR_LIST</t>
        </is>
      </c>
      <c r="AI31" s="27" t="inlineStr">
        <is>
          <t>2026-05-21</t>
        </is>
      </c>
      <c r="AJ31" s="27" t="inlineStr">
        <is>
          <t>OK</t>
        </is>
      </c>
      <c r="AK31" s="29" t="inlineStr">
        <is>
          <t>0001639-09.2026.8.17.2810</t>
        </is>
      </c>
      <c r="AL31" s="29" t="inlineStr">
        <is>
          <t>TJPE</t>
        </is>
      </c>
      <c r="AM31" s="29" t="inlineStr">
        <is>
          <t>ACTIVE</t>
        </is>
      </c>
      <c r="AN31" s="29" t="n">
        <v>2026</v>
      </c>
      <c r="AO31" s="29" t="inlineStr">
        <is>
          <t>live case, no plan document yet</t>
        </is>
      </c>
      <c r="AP31" s="29" t="inlineStr">
        <is>
          <t>SAO PAULO</t>
        </is>
      </c>
      <c r="AQ31" s="29" t="inlineStr">
        <is>
          <t>SP</t>
        </is>
      </c>
      <c r="AR31" s="29" t="inlineStr">
        <is>
          <t>Bancos múltiplos, com carteira comercial</t>
        </is>
      </c>
      <c r="AS31" s="29" t="inlineStr">
        <is>
          <t>DEMAIS</t>
        </is>
      </c>
      <c r="AT31" s="29" t="inlineStr">
        <is>
          <t>LARGE CORP</t>
        </is>
      </c>
      <c r="AU31" s="29" t="inlineStr">
        <is>
          <t>90400888</t>
        </is>
      </c>
      <c r="AV31" s="29" t="n">
        <v>1</v>
      </c>
      <c r="AW31" s="29" t="inlineStr">
        <is>
          <t>LIKELY_FINANCIAL_BY_NAME ROWS:p13r19</t>
        </is>
      </c>
    </row>
    <row r="32">
      <c r="A32" s="15" t="inlineStr">
        <is>
          <t>CAIXA ECONOMICA FEDERAL</t>
        </is>
      </c>
      <c r="B32" s="16" t="n">
        <v>13335951.83</v>
      </c>
      <c r="C32" s="17" t="inlineStr">
        <is>
          <t>GRUPO ADLIM – LRF Líderes em Recuperação Judicial e Falência</t>
        </is>
      </c>
      <c r="D32" s="18" t="inlineStr">
        <is>
          <t>NEW</t>
        </is>
      </c>
      <c r="E32" s="19" t="inlineStr"/>
      <c r="F32" s="18" t="inlineStr"/>
      <c r="G32" s="19" t="inlineStr"/>
      <c r="H32" s="18" t="inlineStr"/>
      <c r="I32" s="20" t="inlineStr">
        <is>
          <t>ADRIANO ASSIS MATIAS</t>
        </is>
      </c>
      <c r="J32" s="20" t="inlineStr">
        <is>
          <t>Administrador</t>
        </is>
      </c>
      <c r="K32" s="20" t="inlineStr">
        <is>
          <t>(00) 4004-0104</t>
        </is>
      </c>
      <c r="L32" s="20" t="inlineStr"/>
      <c r="M32" s="20" t="inlineStr"/>
      <c r="N32" s="20" t="inlineStr"/>
      <c r="O32" s="20" t="inlineStr"/>
      <c r="P32" s="20" t="inlineStr">
        <is>
          <t>HENRIETE ALEXANDRA SARTORI BERNABE</t>
        </is>
      </c>
      <c r="Q32" s="20" t="inlineStr">
        <is>
          <t>Administrador</t>
        </is>
      </c>
      <c r="R32" s="20" t="inlineStr">
        <is>
          <t>(00) 4004-0104</t>
        </is>
      </c>
      <c r="S32" s="20" t="inlineStr"/>
      <c r="T32" s="21" t="n">
        <v>13335951.83</v>
      </c>
      <c r="U32" s="22" t="inlineStr">
        <is>
          <t>B</t>
        </is>
      </c>
      <c r="V32" s="23">
        <f>IFERROR(VLOOKUP(U32,Assumptions!$A$7:$D$11,2,FALSE),0)</f>
        <v/>
      </c>
      <c r="W32" s="24">
        <f>MAX(0.5,IFERROR(VLOOKUP(U32,Assumptions!$A$7:$D$11,3,FALSE),3)+IFERROR(VLOOKUP(U32,Assumptions!$A$7:$D$11,4,FALSE),8)/2-IF(AN32="",0,YEAR(TODAY())-AN32))</f>
        <v/>
      </c>
      <c r="X32" s="21">
        <f>T32*V32/(1+Assumptions!$B$3)^W32</f>
        <v/>
      </c>
      <c r="Y32" s="25">
        <f>IF(T32=0,"",ROUND(X32/T32*100,1))</f>
        <v/>
      </c>
      <c r="Z32" s="26">
        <f>X32*Assumptions!$B$4</f>
        <v/>
      </c>
      <c r="AA32" s="25">
        <f>IF(T32=0,"",ROUND(Z32/T32*100,1))</f>
        <v/>
      </c>
      <c r="AB32" s="26">
        <f>X32-Z32</f>
        <v/>
      </c>
      <c r="AC32" s="25">
        <f>IF(T32=0,"",ROUND((X32-Z32)/T32*100,1))</f>
        <v/>
      </c>
      <c r="AD32" s="27" t="inlineStr">
        <is>
          <t>ESTIMATED</t>
        </is>
      </c>
      <c r="AE32" s="28" t="inlineStr">
        <is>
          <t>https://lrflideres.com.br/wp-content/plugins/download-attachments/includes/download.php?id=6051</t>
        </is>
      </c>
      <c r="AF32" s="27" t="inlineStr">
        <is>
          <t>p66 r74; p85 r24; p97 r23</t>
        </is>
      </c>
      <c r="AG32" s="27" t="inlineStr">
        <is>
          <t>p66: R$ 8997846,92; p85: R$ 743735,91; p97: R$ 3594369,00</t>
        </is>
      </c>
      <c r="AH32" s="27" t="inlineStr">
        <is>
          <t>AJ_LIST</t>
        </is>
      </c>
      <c r="AI32" s="27" t="inlineStr">
        <is>
          <t>2024-08-12</t>
        </is>
      </c>
      <c r="AJ32" s="27" t="inlineStr">
        <is>
          <t>QUARANTINED</t>
        </is>
      </c>
      <c r="AK32" s="29" t="inlineStr">
        <is>
          <t>0019761-43.2024.8.17.2001</t>
        </is>
      </c>
      <c r="AL32" s="29" t="inlineStr">
        <is>
          <t>TJPE</t>
        </is>
      </c>
      <c r="AM32" s="29" t="inlineStr">
        <is>
          <t>ACTIVE</t>
        </is>
      </c>
      <c r="AN32" s="29" t="n">
        <v>2024</v>
      </c>
      <c r="AO32" s="29" t="inlineStr">
        <is>
          <t>live case, no plan document yet</t>
        </is>
      </c>
      <c r="AP32" s="29" t="inlineStr">
        <is>
          <t>BRASILIA</t>
        </is>
      </c>
      <c r="AQ32" s="29" t="inlineStr">
        <is>
          <t>DF</t>
        </is>
      </c>
      <c r="AR32" s="29" t="inlineStr">
        <is>
          <t>Caixas econômicas</t>
        </is>
      </c>
      <c r="AS32" s="29" t="inlineStr">
        <is>
          <t>DEMAIS</t>
        </is>
      </c>
      <c r="AT32" s="29" t="inlineStr">
        <is>
          <t>LARGE CORP</t>
        </is>
      </c>
      <c r="AU32" s="29" t="inlineStr">
        <is>
          <t>00360305</t>
        </is>
      </c>
      <c r="AV32" s="29" t="n">
        <v>3</v>
      </c>
      <c r="AW32" s="29" t="inlineStr">
        <is>
          <t>LIKELY_FINANCIAL_BY_NAME PARTIAL_DOC_CLASS_III_RECONCILED ROWS:p66r74,p85r24,p97r23</t>
        </is>
      </c>
    </row>
    <row r="33">
      <c r="A33" s="15" t="inlineStr">
        <is>
          <t>BOCOM BBM CORPORATE CREDIT HIGH YIELD FIF - CLASSE DE INVESTIMENTO MULT CRED PRIV - RESP LIMITADA</t>
        </is>
      </c>
      <c r="B33" s="16" t="n">
        <v>14500488.51</v>
      </c>
      <c r="C33" s="17" t="inlineStr"/>
      <c r="D33" s="18" t="inlineStr">
        <is>
          <t>NEW</t>
        </is>
      </c>
      <c r="E33" s="19" t="inlineStr"/>
      <c r="F33" s="18" t="inlineStr"/>
      <c r="G33" s="19" t="inlineStr"/>
      <c r="H33" s="18" t="inlineStr"/>
      <c r="I33" s="20" t="inlineStr"/>
      <c r="J33" s="20" t="inlineStr"/>
      <c r="K33" s="20" t="inlineStr">
        <is>
          <t>(11) 3684-5122</t>
        </is>
      </c>
      <c r="L33" s="20" t="inlineStr"/>
      <c r="M33" s="20" t="inlineStr"/>
      <c r="N33" s="20" t="inlineStr"/>
      <c r="O33" s="20" t="inlineStr"/>
      <c r="P33" s="20" t="inlineStr"/>
      <c r="Q33" s="20" t="inlineStr"/>
      <c r="R33" s="20" t="inlineStr"/>
      <c r="S33" s="20" t="inlineStr"/>
      <c r="T33" s="21" t="n">
        <v>14500488.51</v>
      </c>
      <c r="U33" s="22" t="inlineStr">
        <is>
          <t>B</t>
        </is>
      </c>
      <c r="V33" s="23">
        <f>IFERROR(VLOOKUP(U33,Assumptions!$A$7:$D$11,2,FALSE),0)</f>
        <v/>
      </c>
      <c r="W33" s="24">
        <f>MAX(0.5,IFERROR(VLOOKUP(U33,Assumptions!$A$7:$D$11,3,FALSE),3)+IFERROR(VLOOKUP(U33,Assumptions!$A$7:$D$11,4,FALSE),8)/2-IF(AN33="",0,YEAR(TODAY())-AN33))</f>
        <v/>
      </c>
      <c r="X33" s="21">
        <f>T33*V33/(1+Assumptions!$B$3)^W33</f>
        <v/>
      </c>
      <c r="Y33" s="25">
        <f>IF(T33=0,"",ROUND(X33/T33*100,1))</f>
        <v/>
      </c>
      <c r="Z33" s="26">
        <f>X33*Assumptions!$B$4</f>
        <v/>
      </c>
      <c r="AA33" s="25">
        <f>IF(T33=0,"",ROUND(Z33/T33*100,1))</f>
        <v/>
      </c>
      <c r="AB33" s="26">
        <f>X33-Z33</f>
        <v/>
      </c>
      <c r="AC33" s="25">
        <f>IF(T33=0,"",ROUND((X33-Z33)/T33*100,1))</f>
        <v/>
      </c>
      <c r="AD33" s="27" t="inlineStr">
        <is>
          <t>UNKNOWN</t>
        </is>
      </c>
      <c r="AE33" s="28" t="inlineStr">
        <is>
          <t>https://credibilita.com.br/wp-content/uploads/2025/09/Relacao-Credores-29.04.2026.pdf</t>
        </is>
      </c>
      <c r="AF33" s="27" t="inlineStr">
        <is>
          <t>p1 r15</t>
        </is>
      </c>
      <c r="AG33" s="27" t="inlineStr">
        <is>
          <t>p1: R$ 14.500.488,51</t>
        </is>
      </c>
      <c r="AH33" s="27" t="inlineStr">
        <is>
          <t>UNKNOWN</t>
        </is>
      </c>
      <c r="AI33" s="27" t="inlineStr"/>
      <c r="AJ33" s="27" t="inlineStr">
        <is>
          <t>OK_NO_TOTALS</t>
        </is>
      </c>
      <c r="AK33" s="29" t="inlineStr">
        <is>
          <t>5057720-48.2025.8.24.0023</t>
        </is>
      </c>
      <c r="AL33" s="29" t="inlineStr">
        <is>
          <t>TJ</t>
        </is>
      </c>
      <c r="AM33" s="29" t="inlineStr"/>
      <c r="AN33" s="29" t="n">
        <v>2025</v>
      </c>
      <c r="AO33" s="29" t="inlineStr">
        <is>
          <t>live case, no plan document yet</t>
        </is>
      </c>
      <c r="AP33" s="29" t="inlineStr">
        <is>
          <t>OSASCO</t>
        </is>
      </c>
      <c r="AQ33" s="29" t="inlineStr">
        <is>
          <t>SP</t>
        </is>
      </c>
      <c r="AR33" s="29" t="inlineStr">
        <is>
          <t>Fundos de investimento, exceto previdenciários e imobiliários</t>
        </is>
      </c>
      <c r="AS33" s="29" t="inlineStr">
        <is>
          <t>DEMAIS</t>
        </is>
      </c>
      <c r="AT33" s="29" t="inlineStr">
        <is>
          <t>MID-MARKET</t>
        </is>
      </c>
      <c r="AU33" s="29" t="inlineStr">
        <is>
          <t>34799393</t>
        </is>
      </c>
      <c r="AV33" s="29" t="n">
        <v>1</v>
      </c>
      <c r="AW33" s="29" t="inlineStr">
        <is>
          <t>ROWS:p1r15 UNRECONCILED_SOURCE VALUE_COL:Valor_Após_Analise</t>
        </is>
      </c>
    </row>
    <row r="34">
      <c r="A34" s="15" t="inlineStr">
        <is>
          <t>Itaú Unibanco Holding S.A.</t>
        </is>
      </c>
      <c r="B34" s="16" t="n">
        <v>12852151.77</v>
      </c>
      <c r="C34" s="17" t="inlineStr">
        <is>
          <t>COMERCIO RACOES BEM BOM LTDA</t>
        </is>
      </c>
      <c r="D34" s="18" t="inlineStr">
        <is>
          <t>NEW</t>
        </is>
      </c>
      <c r="E34" s="19" t="inlineStr"/>
      <c r="F34" s="18" t="inlineStr"/>
      <c r="G34" s="19" t="inlineStr"/>
      <c r="H34" s="18" t="inlineStr"/>
      <c r="I34" s="20" t="inlineStr"/>
      <c r="J34" s="20" t="inlineStr"/>
      <c r="K34" s="20" t="inlineStr"/>
      <c r="L34" s="20" t="inlineStr"/>
      <c r="M34" s="20" t="inlineStr"/>
      <c r="N34" s="20" t="inlineStr"/>
      <c r="O34" s="20" t="inlineStr"/>
      <c r="P34" s="20" t="inlineStr"/>
      <c r="Q34" s="20" t="inlineStr"/>
      <c r="R34" s="20" t="inlineStr"/>
      <c r="S34" s="20" t="inlineStr"/>
      <c r="T34" s="21" t="n">
        <v>12852151.77</v>
      </c>
      <c r="U34" s="32" t="inlineStr">
        <is>
          <t>A</t>
        </is>
      </c>
      <c r="V34" s="23">
        <f>IFERROR(VLOOKUP(U34,Assumptions!$A$7:$D$11,2,FALSE),0)</f>
        <v/>
      </c>
      <c r="W34" s="24">
        <f>MAX(0.5,IFERROR(VLOOKUP(U34,Assumptions!$A$7:$D$11,3,FALSE),3)+IFERROR(VLOOKUP(U34,Assumptions!$A$7:$D$11,4,FALSE),8)/2-IF(AN34="",0,YEAR(TODAY())-AN34))</f>
        <v/>
      </c>
      <c r="X34" s="21">
        <f>T34*V34/(1+Assumptions!$B$3)^W34</f>
        <v/>
      </c>
      <c r="Y34" s="25">
        <f>IF(T34=0,"",ROUND(X34/T34*100,1))</f>
        <v/>
      </c>
      <c r="Z34" s="26">
        <f>X34*Assumptions!$B$4</f>
        <v/>
      </c>
      <c r="AA34" s="25">
        <f>IF(T34=0,"",ROUND(Z34/T34*100,1))</f>
        <v/>
      </c>
      <c r="AB34" s="26">
        <f>X34-Z34</f>
        <v/>
      </c>
      <c r="AC34" s="25">
        <f>IF(T34=0,"",ROUND((X34-Z34)/T34*100,1))</f>
        <v/>
      </c>
      <c r="AD34" s="27" t="inlineStr">
        <is>
          <t>CONFIRMED</t>
        </is>
      </c>
      <c r="AE34" s="28" t="inlineStr">
        <is>
          <t>https://stenius.com.br/wp-content/uploads/2026/06/EDITAL-GRUPO-3E.pdf</t>
        </is>
      </c>
      <c r="AF34" s="27" t="inlineStr">
        <is>
          <t>p14 r63</t>
        </is>
      </c>
      <c r="AG34" s="27" t="inlineStr">
        <is>
          <t>p14: R$ 12.852.151,77</t>
        </is>
      </c>
      <c r="AH34" s="27" t="inlineStr">
        <is>
          <t>DEBTOR_LIST</t>
        </is>
      </c>
      <c r="AI34" s="27" t="inlineStr">
        <is>
          <t>2026-06-22</t>
        </is>
      </c>
      <c r="AJ34" s="27" t="inlineStr">
        <is>
          <t>OK_NO_TOTALS</t>
        </is>
      </c>
      <c r="AK34" s="29" t="inlineStr">
        <is>
          <t>5341375-33.2026.8.09.0049</t>
        </is>
      </c>
      <c r="AL34" s="29" t="inlineStr">
        <is>
          <t>TJGO</t>
        </is>
      </c>
      <c r="AM34" s="29" t="inlineStr">
        <is>
          <t>ACTIVE</t>
        </is>
      </c>
      <c r="AN34" s="29" t="n">
        <v>2026</v>
      </c>
      <c r="AO34" s="29" t="inlineStr">
        <is>
          <t>plan/homologation document found</t>
        </is>
      </c>
      <c r="AP34" s="29" t="inlineStr"/>
      <c r="AQ34" s="29" t="inlineStr"/>
      <c r="AR34" s="29" t="inlineStr"/>
      <c r="AS34" s="29" t="inlineStr"/>
      <c r="AT34" s="29" t="inlineStr">
        <is>
          <t>MID-MARKET</t>
        </is>
      </c>
      <c r="AU34" s="29" t="inlineStr">
        <is>
          <t>60872504</t>
        </is>
      </c>
      <c r="AV34" s="29" t="n">
        <v>1</v>
      </c>
      <c r="AW34" s="29" t="inlineStr">
        <is>
          <t>LIKELY_FINANCIAL_BY_NAME ROWS:p14r63 UNRECONCILED_SOURCE</t>
        </is>
      </c>
    </row>
    <row r="35">
      <c r="A35" s="15" t="inlineStr">
        <is>
          <t>BANCO DO BRASIL SA</t>
        </is>
      </c>
      <c r="B35" s="16" t="n">
        <v>10935147.95</v>
      </c>
      <c r="C35" s="17" t="inlineStr">
        <is>
          <t>BANCO DO BRASIL SA</t>
        </is>
      </c>
      <c r="D35" s="18" t="inlineStr">
        <is>
          <t>NEW</t>
        </is>
      </c>
      <c r="E35" s="19" t="inlineStr"/>
      <c r="F35" s="18" t="inlineStr"/>
      <c r="G35" s="19" t="inlineStr"/>
      <c r="H35" s="18" t="inlineStr"/>
      <c r="I35" s="20" t="inlineStr">
        <is>
          <t>TARCIANA PAULA GOMES MEDEIROS</t>
        </is>
      </c>
      <c r="J35" s="20" t="inlineStr">
        <is>
          <t>Presidente</t>
        </is>
      </c>
      <c r="K35" s="20" t="inlineStr">
        <is>
          <t>(61) 3493-9002</t>
        </is>
      </c>
      <c r="L35" s="20" t="inlineStr"/>
      <c r="M35" s="20" t="inlineStr"/>
      <c r="N35" s="20" t="inlineStr"/>
      <c r="O35" s="20" t="inlineStr"/>
      <c r="P35" s="20" t="inlineStr">
        <is>
          <t>ALAN CARLOS GUEDES DE OLIVEIRA</t>
        </is>
      </c>
      <c r="Q35" s="20" t="inlineStr">
        <is>
          <t>Diretor</t>
        </is>
      </c>
      <c r="R35" s="20" t="inlineStr">
        <is>
          <t>(61) 3493-9002</t>
        </is>
      </c>
      <c r="S35" s="20" t="inlineStr"/>
      <c r="T35" s="21" t="n">
        <v>10935147.95</v>
      </c>
      <c r="U35" s="22" t="inlineStr">
        <is>
          <t>B</t>
        </is>
      </c>
      <c r="V35" s="23">
        <f>IFERROR(VLOOKUP(U35,Assumptions!$A$7:$D$11,2,FALSE),0)</f>
        <v/>
      </c>
      <c r="W35" s="24">
        <f>MAX(0.5,IFERROR(VLOOKUP(U35,Assumptions!$A$7:$D$11,3,FALSE),3)+IFERROR(VLOOKUP(U35,Assumptions!$A$7:$D$11,4,FALSE),8)/2-IF(AN35="",0,YEAR(TODAY())-AN35))</f>
        <v/>
      </c>
      <c r="X35" s="21">
        <f>T35*V35/(1+Assumptions!$B$3)^W35</f>
        <v/>
      </c>
      <c r="Y35" s="25">
        <f>IF(T35=0,"",ROUND(X35/T35*100,1))</f>
        <v/>
      </c>
      <c r="Z35" s="26">
        <f>X35*Assumptions!$B$4</f>
        <v/>
      </c>
      <c r="AA35" s="25">
        <f>IF(T35=0,"",ROUND(Z35/T35*100,1))</f>
        <v/>
      </c>
      <c r="AB35" s="26">
        <f>X35-Z35</f>
        <v/>
      </c>
      <c r="AC35" s="25">
        <f>IF(T35=0,"",ROUND((X35-Z35)/T35*100,1))</f>
        <v/>
      </c>
      <c r="AD35" s="27" t="inlineStr">
        <is>
          <t>ESTIMATED</t>
        </is>
      </c>
      <c r="AE35" s="28" t="inlineStr">
        <is>
          <t>https://marquesadmjudicial.com.br/sgc/download.php?file=files/processo_documento/processo_documento09391327032025_1_.pdf&amp;nome=Relação Nominal de Credores AJ</t>
        </is>
      </c>
      <c r="AF35" s="27" t="inlineStr">
        <is>
          <t>p4 r4</t>
        </is>
      </c>
      <c r="AG35" s="27" t="inlineStr">
        <is>
          <t>p4: R$ 10.935.147,95</t>
        </is>
      </c>
      <c r="AH35" s="27" t="inlineStr">
        <is>
          <t>AJ_LIST</t>
        </is>
      </c>
      <c r="AI35" s="27" t="inlineStr">
        <is>
          <t>2025-03-21</t>
        </is>
      </c>
      <c r="AJ35" s="27" t="inlineStr">
        <is>
          <t>QUARANTINED</t>
        </is>
      </c>
      <c r="AK35" s="29" t="inlineStr">
        <is>
          <t>0044747-14.2024.8.16.0021</t>
        </is>
      </c>
      <c r="AL35" s="29" t="inlineStr">
        <is>
          <t>TJPR</t>
        </is>
      </c>
      <c r="AM35" s="29" t="inlineStr">
        <is>
          <t>ACTIVE</t>
        </is>
      </c>
      <c r="AN35" s="29" t="n">
        <v>2024</v>
      </c>
      <c r="AO35" s="29" t="inlineStr">
        <is>
          <t>live case, no plan document yet</t>
        </is>
      </c>
      <c r="AP35" s="29" t="inlineStr">
        <is>
          <t>BRASILIA</t>
        </is>
      </c>
      <c r="AQ35" s="29" t="inlineStr">
        <is>
          <t>DF</t>
        </is>
      </c>
      <c r="AR35" s="29" t="inlineStr">
        <is>
          <t>Bancos múltiplos, com carteira comercial</t>
        </is>
      </c>
      <c r="AS35" s="29" t="inlineStr">
        <is>
          <t>DEMAIS</t>
        </is>
      </c>
      <c r="AT35" s="29" t="inlineStr">
        <is>
          <t>LARGE CORP</t>
        </is>
      </c>
      <c r="AU35" s="29" t="inlineStr">
        <is>
          <t>00000000</t>
        </is>
      </c>
      <c r="AV35" s="29" t="n">
        <v>1</v>
      </c>
      <c r="AW35" s="29" t="inlineStr">
        <is>
          <t>NAME_MISSING PARTIAL_DOC_CLASS_III_RECONCILED ROWS:p4r4</t>
        </is>
      </c>
    </row>
    <row r="36">
      <c r="A36" s="15" t="inlineStr">
        <is>
          <t>BANCO DAYCOVAL S.A.</t>
        </is>
      </c>
      <c r="B36" s="16" t="n">
        <v>8739976.119999999</v>
      </c>
      <c r="C36" s="17" t="inlineStr">
        <is>
          <t>VEV COMERCIO DE MEDICAMENTOS LTDA EM RECUPERACAO JUDICIAL</t>
        </is>
      </c>
      <c r="D36" s="18" t="inlineStr">
        <is>
          <t>NEW</t>
        </is>
      </c>
      <c r="E36" s="19" t="inlineStr"/>
      <c r="F36" s="18" t="inlineStr"/>
      <c r="G36" s="19" t="inlineStr"/>
      <c r="H36" s="18" t="inlineStr"/>
      <c r="I36" s="20" t="inlineStr">
        <is>
          <t>ADELY DAYAN HAMOUI</t>
        </is>
      </c>
      <c r="J36" s="20" t="inlineStr">
        <is>
          <t>Diretor</t>
        </is>
      </c>
      <c r="K36" s="20" t="inlineStr">
        <is>
          <t>(11) 3138-0500</t>
        </is>
      </c>
      <c r="L36" s="20" t="inlineStr"/>
      <c r="M36" s="20" t="inlineStr"/>
      <c r="N36" s="20" t="inlineStr"/>
      <c r="O36" s="20" t="inlineStr"/>
      <c r="P36" s="20" t="inlineStr">
        <is>
          <t>ALBERT ROUBEN</t>
        </is>
      </c>
      <c r="Q36" s="20" t="inlineStr">
        <is>
          <t>Diretor</t>
        </is>
      </c>
      <c r="R36" s="20" t="inlineStr">
        <is>
          <t>(11) 3138-0500</t>
        </is>
      </c>
      <c r="S36" s="20" t="inlineStr"/>
      <c r="T36" s="21" t="n">
        <v>8739976.119999999</v>
      </c>
      <c r="U36" s="22" t="inlineStr">
        <is>
          <t>B</t>
        </is>
      </c>
      <c r="V36" s="23">
        <f>IFERROR(VLOOKUP(U36,Assumptions!$A$7:$D$11,2,FALSE),0)</f>
        <v/>
      </c>
      <c r="W36" s="24">
        <f>MAX(0.5,IFERROR(VLOOKUP(U36,Assumptions!$A$7:$D$11,3,FALSE),3)+IFERROR(VLOOKUP(U36,Assumptions!$A$7:$D$11,4,FALSE),8)/2-IF(AN36="",0,YEAR(TODAY())-AN36))</f>
        <v/>
      </c>
      <c r="X36" s="21">
        <f>T36*V36/(1+Assumptions!$B$3)^W36</f>
        <v/>
      </c>
      <c r="Y36" s="25">
        <f>IF(T36=0,"",ROUND(X36/T36*100,1))</f>
        <v/>
      </c>
      <c r="Z36" s="26">
        <f>X36*Assumptions!$B$4</f>
        <v/>
      </c>
      <c r="AA36" s="25">
        <f>IF(T36=0,"",ROUND(Z36/T36*100,1))</f>
        <v/>
      </c>
      <c r="AB36" s="26">
        <f>X36-Z36</f>
        <v/>
      </c>
      <c r="AC36" s="25">
        <f>IF(T36=0,"",ROUND((X36-Z36)/T36*100,1))</f>
        <v/>
      </c>
      <c r="AD36" s="27" t="inlineStr">
        <is>
          <t>ESTIMATED</t>
        </is>
      </c>
      <c r="AE36" s="28" t="inlineStr">
        <is>
          <t>https://marquesadmjudicial.com.br/sgc/download.php?file=files/processo_documento/processo_documento15293208032024_1_.pdf&amp;nome=Relação Nominal de Credores da AJ-Sintética</t>
        </is>
      </c>
      <c r="AF36" s="27" t="inlineStr">
        <is>
          <t>p20 r9</t>
        </is>
      </c>
      <c r="AG36" s="27" t="inlineStr">
        <is>
          <t>p20: R$ 8.739.976,12</t>
        </is>
      </c>
      <c r="AH36" s="27" t="inlineStr">
        <is>
          <t>AJ_LIST</t>
        </is>
      </c>
      <c r="AI36" s="27" t="inlineStr">
        <is>
          <t>2023-03-02</t>
        </is>
      </c>
      <c r="AJ36" s="27" t="inlineStr">
        <is>
          <t>QUARANTINED</t>
        </is>
      </c>
      <c r="AK36" s="29" t="inlineStr">
        <is>
          <t>0005010-98.2023.8.16.0001</t>
        </is>
      </c>
      <c r="AL36" s="29" t="inlineStr">
        <is>
          <t>TJPR</t>
        </is>
      </c>
      <c r="AM36" s="29" t="inlineStr">
        <is>
          <t>ACTIVE</t>
        </is>
      </c>
      <c r="AN36" s="29" t="n">
        <v>2023</v>
      </c>
      <c r="AO36" s="29" t="inlineStr">
        <is>
          <t>live case, no plan document yet</t>
        </is>
      </c>
      <c r="AP36" s="29" t="inlineStr">
        <is>
          <t>SAO PAULO</t>
        </is>
      </c>
      <c r="AQ36" s="29" t="inlineStr">
        <is>
          <t>SP</t>
        </is>
      </c>
      <c r="AR36" s="29" t="inlineStr">
        <is>
          <t>Bancos múltiplos, com carteira comercial</t>
        </is>
      </c>
      <c r="AS36" s="29" t="inlineStr">
        <is>
          <t>DEMAIS</t>
        </is>
      </c>
      <c r="AT36" s="29" t="inlineStr">
        <is>
          <t>LARGE CORP</t>
        </is>
      </c>
      <c r="AU36" s="29" t="inlineStr">
        <is>
          <t>62232889</t>
        </is>
      </c>
      <c r="AV36" s="29" t="n">
        <v>1</v>
      </c>
      <c r="AW36" s="29" t="inlineStr">
        <is>
          <t>LIKELY_FINANCIAL_BY_NAME PARTIAL_DOC_CLASS_III_RECONCILED ROWS:p20r9</t>
        </is>
      </c>
    </row>
    <row r="37">
      <c r="A37" s="15" t="inlineStr">
        <is>
          <t>BANCO BOCOM BBM S.A.</t>
        </is>
      </c>
      <c r="B37" s="16" t="n">
        <v>12763083.47</v>
      </c>
      <c r="C37" s="17" t="inlineStr"/>
      <c r="D37" s="18" t="inlineStr">
        <is>
          <t>NEW</t>
        </is>
      </c>
      <c r="E37" s="19" t="inlineStr"/>
      <c r="F37" s="18" t="inlineStr"/>
      <c r="G37" s="19" t="inlineStr"/>
      <c r="H37" s="18" t="inlineStr"/>
      <c r="I37" s="20" t="inlineStr">
        <is>
          <t>ALEXANDRE LOWENKRON</t>
        </is>
      </c>
      <c r="J37" s="20" t="inlineStr">
        <is>
          <t>Diretor</t>
        </is>
      </c>
      <c r="K37" s="20" t="inlineStr">
        <is>
          <t>(71) 3243-2666</t>
        </is>
      </c>
      <c r="L37" s="20" t="inlineStr"/>
      <c r="M37" s="20" t="inlineStr"/>
      <c r="N37" s="20" t="inlineStr"/>
      <c r="O37" s="20" t="inlineStr"/>
      <c r="P37" s="20" t="inlineStr">
        <is>
          <t>ALEXANDRE MOSCOSO CABRAL</t>
        </is>
      </c>
      <c r="Q37" s="20" t="inlineStr">
        <is>
          <t>Diretor</t>
        </is>
      </c>
      <c r="R37" s="20" t="inlineStr">
        <is>
          <t>(71) 3243-2666</t>
        </is>
      </c>
      <c r="S37" s="20" t="inlineStr"/>
      <c r="T37" s="21" t="n">
        <v>12763083.47</v>
      </c>
      <c r="U37" s="22" t="inlineStr">
        <is>
          <t>B</t>
        </is>
      </c>
      <c r="V37" s="23">
        <f>IFERROR(VLOOKUP(U37,Assumptions!$A$7:$D$11,2,FALSE),0)</f>
        <v/>
      </c>
      <c r="W37" s="24">
        <f>MAX(0.5,IFERROR(VLOOKUP(U37,Assumptions!$A$7:$D$11,3,FALSE),3)+IFERROR(VLOOKUP(U37,Assumptions!$A$7:$D$11,4,FALSE),8)/2-IF(AN37="",0,YEAR(TODAY())-AN37))</f>
        <v/>
      </c>
      <c r="X37" s="21">
        <f>T37*V37/(1+Assumptions!$B$3)^W37</f>
        <v/>
      </c>
      <c r="Y37" s="25">
        <f>IF(T37=0,"",ROUND(X37/T37*100,1))</f>
        <v/>
      </c>
      <c r="Z37" s="26">
        <f>X37*Assumptions!$B$4</f>
        <v/>
      </c>
      <c r="AA37" s="25">
        <f>IF(T37=0,"",ROUND(Z37/T37*100,1))</f>
        <v/>
      </c>
      <c r="AB37" s="26">
        <f>X37-Z37</f>
        <v/>
      </c>
      <c r="AC37" s="25">
        <f>IF(T37=0,"",ROUND((X37-Z37)/T37*100,1))</f>
        <v/>
      </c>
      <c r="AD37" s="27" t="inlineStr">
        <is>
          <t>UNKNOWN</t>
        </is>
      </c>
      <c r="AE37" s="28" t="inlineStr">
        <is>
          <t>https://credibilita.com.br/wp-content/uploads/2025/09/Relacao-Credores-29.04.2026.pdf</t>
        </is>
      </c>
      <c r="AF37" s="27" t="inlineStr">
        <is>
          <t>p1 r7; p1 r8</t>
        </is>
      </c>
      <c r="AG37" s="27" t="inlineStr">
        <is>
          <t>p1: R$ 11.190.064,90; p1: R$ 1.573.018,57</t>
        </is>
      </c>
      <c r="AH37" s="27" t="inlineStr">
        <is>
          <t>UNKNOWN</t>
        </is>
      </c>
      <c r="AI37" s="27" t="inlineStr"/>
      <c r="AJ37" s="27" t="inlineStr">
        <is>
          <t>OK_NO_TOTALS</t>
        </is>
      </c>
      <c r="AK37" s="29" t="inlineStr">
        <is>
          <t>5057720-48.2025.8.24.0023</t>
        </is>
      </c>
      <c r="AL37" s="29" t="inlineStr">
        <is>
          <t>TJ</t>
        </is>
      </c>
      <c r="AM37" s="29" t="inlineStr"/>
      <c r="AN37" s="29" t="n">
        <v>2025</v>
      </c>
      <c r="AO37" s="29" t="inlineStr">
        <is>
          <t>live case, no plan document yet</t>
        </is>
      </c>
      <c r="AP37" s="29" t="inlineStr">
        <is>
          <t>SALVADOR</t>
        </is>
      </c>
      <c r="AQ37" s="29" t="inlineStr">
        <is>
          <t>BA</t>
        </is>
      </c>
      <c r="AR37" s="29" t="inlineStr">
        <is>
          <t>Bancos múltiplos, com carteira comercial</t>
        </is>
      </c>
      <c r="AS37" s="29" t="inlineStr">
        <is>
          <t>DEMAIS</t>
        </is>
      </c>
      <c r="AT37" s="29" t="inlineStr">
        <is>
          <t>LARGE CORP</t>
        </is>
      </c>
      <c r="AU37" s="29" t="inlineStr">
        <is>
          <t>15114366</t>
        </is>
      </c>
      <c r="AV37" s="29" t="n">
        <v>2</v>
      </c>
      <c r="AW37" s="29" t="inlineStr">
        <is>
          <t>ROWS:p1r7,p1r8 UNRECONCILED_SOURCE VALUE_COL:Valor_Após_Analise</t>
        </is>
      </c>
    </row>
    <row r="38">
      <c r="A38" s="15" t="inlineStr">
        <is>
          <t>BANCO ALFA DE INVESTIMENTO S.A.</t>
        </is>
      </c>
      <c r="B38" s="16" t="n">
        <v>12737378.82</v>
      </c>
      <c r="C38" s="17" t="inlineStr"/>
      <c r="D38" s="18" t="inlineStr">
        <is>
          <t>NEW</t>
        </is>
      </c>
      <c r="E38" s="19" t="inlineStr"/>
      <c r="F38" s="18" t="inlineStr"/>
      <c r="G38" s="19" t="inlineStr"/>
      <c r="H38" s="18" t="inlineStr"/>
      <c r="I38" s="20" t="inlineStr">
        <is>
          <t>MARCOS LIMA MONTEIRO</t>
        </is>
      </c>
      <c r="J38" s="20" t="inlineStr">
        <is>
          <t>Presidente</t>
        </is>
      </c>
      <c r="K38" s="20" t="inlineStr">
        <is>
          <t>(11) 3175-7575</t>
        </is>
      </c>
      <c r="L38" s="20" t="inlineStr"/>
      <c r="M38" s="20" t="inlineStr"/>
      <c r="N38" s="20" t="inlineStr"/>
      <c r="O38" s="20" t="inlineStr"/>
      <c r="P38" s="20" t="inlineStr">
        <is>
          <t>ALBERTO MONTEIRO DE QUEIROZ NETTO</t>
        </is>
      </c>
      <c r="Q38" s="20" t="inlineStr">
        <is>
          <t>Diretor</t>
        </is>
      </c>
      <c r="R38" s="20" t="inlineStr">
        <is>
          <t>(11) 3175-7575</t>
        </is>
      </c>
      <c r="S38" s="20" t="inlineStr"/>
      <c r="T38" s="21" t="n">
        <v>12737378.82</v>
      </c>
      <c r="U38" s="22" t="inlineStr">
        <is>
          <t>B</t>
        </is>
      </c>
      <c r="V38" s="23">
        <f>IFERROR(VLOOKUP(U38,Assumptions!$A$7:$D$11,2,FALSE),0)</f>
        <v/>
      </c>
      <c r="W38" s="24">
        <f>MAX(0.5,IFERROR(VLOOKUP(U38,Assumptions!$A$7:$D$11,3,FALSE),3)+IFERROR(VLOOKUP(U38,Assumptions!$A$7:$D$11,4,FALSE),8)/2-IF(AN38="",0,YEAR(TODAY())-AN38))</f>
        <v/>
      </c>
      <c r="X38" s="21">
        <f>T38*V38/(1+Assumptions!$B$3)^W38</f>
        <v/>
      </c>
      <c r="Y38" s="25">
        <f>IF(T38=0,"",ROUND(X38/T38*100,1))</f>
        <v/>
      </c>
      <c r="Z38" s="26">
        <f>X38*Assumptions!$B$4</f>
        <v/>
      </c>
      <c r="AA38" s="25">
        <f>IF(T38=0,"",ROUND(Z38/T38*100,1))</f>
        <v/>
      </c>
      <c r="AB38" s="26">
        <f>X38-Z38</f>
        <v/>
      </c>
      <c r="AC38" s="25">
        <f>IF(T38=0,"",ROUND((X38-Z38)/T38*100,1))</f>
        <v/>
      </c>
      <c r="AD38" s="27" t="inlineStr">
        <is>
          <t>UNKNOWN</t>
        </is>
      </c>
      <c r="AE38" s="28" t="inlineStr">
        <is>
          <t>https://credibilita.com.br/wp-content/uploads/2025/09/Relacao-Credores-29.04.2026.pdf</t>
        </is>
      </c>
      <c r="AF38" s="27" t="inlineStr">
        <is>
          <t>p1 r6</t>
        </is>
      </c>
      <c r="AG38" s="27" t="inlineStr">
        <is>
          <t>p1: R$ 12.737.378,82</t>
        </is>
      </c>
      <c r="AH38" s="27" t="inlineStr">
        <is>
          <t>UNKNOWN</t>
        </is>
      </c>
      <c r="AI38" s="27" t="inlineStr"/>
      <c r="AJ38" s="27" t="inlineStr">
        <is>
          <t>OK_NO_TOTALS</t>
        </is>
      </c>
      <c r="AK38" s="29" t="inlineStr">
        <is>
          <t>5057720-48.2025.8.24.0023</t>
        </is>
      </c>
      <c r="AL38" s="29" t="inlineStr">
        <is>
          <t>TJ</t>
        </is>
      </c>
      <c r="AM38" s="29" t="inlineStr"/>
      <c r="AN38" s="29" t="n">
        <v>2025</v>
      </c>
      <c r="AO38" s="29" t="inlineStr">
        <is>
          <t>live case, no plan document yet</t>
        </is>
      </c>
      <c r="AP38" s="29" t="inlineStr">
        <is>
          <t>SAO PAULO</t>
        </is>
      </c>
      <c r="AQ38" s="29" t="inlineStr">
        <is>
          <t>SP</t>
        </is>
      </c>
      <c r="AR38" s="29" t="inlineStr">
        <is>
          <t>Bancos de investimento</t>
        </is>
      </c>
      <c r="AS38" s="29" t="inlineStr">
        <is>
          <t>DEMAIS</t>
        </is>
      </c>
      <c r="AT38" s="29" t="inlineStr">
        <is>
          <t>LARGE CORP</t>
        </is>
      </c>
      <c r="AU38" s="29" t="inlineStr">
        <is>
          <t>60770336</t>
        </is>
      </c>
      <c r="AV38" s="29" t="n">
        <v>1</v>
      </c>
      <c r="AW38" s="29" t="inlineStr">
        <is>
          <t>ROWS:p1r6 UNRECONCILED_SOURCE VALUE_COL:Valor_Após_Analise</t>
        </is>
      </c>
    </row>
    <row r="39">
      <c r="A39" s="15" t="inlineStr">
        <is>
          <t>BANCO SANTANDER (BRASIL) S.A.</t>
        </is>
      </c>
      <c r="B39" s="16" t="n">
        <v>10130566.25</v>
      </c>
      <c r="C39" s="17" t="inlineStr">
        <is>
          <t>GRUPO ADLIM – LRF Líderes em Recuperação Judicial e Falência</t>
        </is>
      </c>
      <c r="D39" s="18" t="inlineStr">
        <is>
          <t>NEW</t>
        </is>
      </c>
      <c r="E39" s="19" t="inlineStr"/>
      <c r="F39" s="18" t="inlineStr"/>
      <c r="G39" s="19" t="inlineStr"/>
      <c r="H39" s="18" t="inlineStr"/>
      <c r="I39" s="20" t="inlineStr">
        <is>
          <t>GILSON FINKELSZTAIN</t>
        </is>
      </c>
      <c r="J39" s="20" t="inlineStr">
        <is>
          <t>Presidente</t>
        </is>
      </c>
      <c r="K39" s="20" t="inlineStr">
        <is>
          <t>(11) 4004-3535</t>
        </is>
      </c>
      <c r="L39" s="20" t="inlineStr"/>
      <c r="M39" s="20" t="inlineStr"/>
      <c r="N39" s="20" t="inlineStr"/>
      <c r="O39" s="20" t="inlineStr"/>
      <c r="P39" s="20" t="inlineStr">
        <is>
          <t>ALESSANDRO CHAGAS FARIAS</t>
        </is>
      </c>
      <c r="Q39" s="20" t="inlineStr">
        <is>
          <t>Diretor</t>
        </is>
      </c>
      <c r="R39" s="20" t="inlineStr">
        <is>
          <t>(11) 4004-3535</t>
        </is>
      </c>
      <c r="S39" s="20" t="inlineStr"/>
      <c r="T39" s="21" t="n">
        <v>10130566.25</v>
      </c>
      <c r="U39" s="22" t="inlineStr">
        <is>
          <t>B</t>
        </is>
      </c>
      <c r="V39" s="23">
        <f>IFERROR(VLOOKUP(U39,Assumptions!$A$7:$D$11,2,FALSE),0)</f>
        <v/>
      </c>
      <c r="W39" s="24">
        <f>MAX(0.5,IFERROR(VLOOKUP(U39,Assumptions!$A$7:$D$11,3,FALSE),3)+IFERROR(VLOOKUP(U39,Assumptions!$A$7:$D$11,4,FALSE),8)/2-IF(AN39="",0,YEAR(TODAY())-AN39))</f>
        <v/>
      </c>
      <c r="X39" s="21">
        <f>T39*V39/(1+Assumptions!$B$3)^W39</f>
        <v/>
      </c>
      <c r="Y39" s="25">
        <f>IF(T39=0,"",ROUND(X39/T39*100,1))</f>
        <v/>
      </c>
      <c r="Z39" s="26">
        <f>X39*Assumptions!$B$4</f>
        <v/>
      </c>
      <c r="AA39" s="25">
        <f>IF(T39=0,"",ROUND(Z39/T39*100,1))</f>
        <v/>
      </c>
      <c r="AB39" s="26">
        <f>X39-Z39</f>
        <v/>
      </c>
      <c r="AC39" s="25">
        <f>IF(T39=0,"",ROUND((X39-Z39)/T39*100,1))</f>
        <v/>
      </c>
      <c r="AD39" s="27" t="inlineStr">
        <is>
          <t>ESTIMATED</t>
        </is>
      </c>
      <c r="AE39" s="28" t="inlineStr">
        <is>
          <t>https://lrflideres.com.br/wp-content/plugins/download-attachments/includes/download.php?id=6051</t>
        </is>
      </c>
      <c r="AF39" s="27" t="inlineStr">
        <is>
          <t>p66 r71; p85 r23; p97 r22</t>
        </is>
      </c>
      <c r="AG39" s="27" t="inlineStr">
        <is>
          <t>p66: R$ 5124521,38; p85: R$ 5006044,87; p97: R$ 5006044,87</t>
        </is>
      </c>
      <c r="AH39" s="27" t="inlineStr">
        <is>
          <t>AJ_LIST</t>
        </is>
      </c>
      <c r="AI39" s="27" t="inlineStr">
        <is>
          <t>2024-08-12</t>
        </is>
      </c>
      <c r="AJ39" s="27" t="inlineStr">
        <is>
          <t>QUARANTINED</t>
        </is>
      </c>
      <c r="AK39" s="29" t="inlineStr">
        <is>
          <t>0019761-43.2024.8.17.2001</t>
        </is>
      </c>
      <c r="AL39" s="29" t="inlineStr">
        <is>
          <t>TJPE</t>
        </is>
      </c>
      <c r="AM39" s="29" t="inlineStr">
        <is>
          <t>ACTIVE</t>
        </is>
      </c>
      <c r="AN39" s="29" t="n">
        <v>2024</v>
      </c>
      <c r="AO39" s="29" t="inlineStr">
        <is>
          <t>live case, no plan document yet</t>
        </is>
      </c>
      <c r="AP39" s="29" t="inlineStr">
        <is>
          <t>SAO PAULO</t>
        </is>
      </c>
      <c r="AQ39" s="29" t="inlineStr">
        <is>
          <t>SP</t>
        </is>
      </c>
      <c r="AR39" s="29" t="inlineStr">
        <is>
          <t>Bancos múltiplos, com carteira comercial</t>
        </is>
      </c>
      <c r="AS39" s="29" t="inlineStr">
        <is>
          <t>DEMAIS</t>
        </is>
      </c>
      <c r="AT39" s="29" t="inlineStr">
        <is>
          <t>LARGE CORP</t>
        </is>
      </c>
      <c r="AU39" s="29" t="inlineStr">
        <is>
          <t>90400888</t>
        </is>
      </c>
      <c r="AV39" s="29" t="n">
        <v>2</v>
      </c>
      <c r="AW39" s="29" t="inlineStr">
        <is>
          <t>LIKELY_FINANCIAL_BY_NAME PARTIAL_DOC_CLASS_III_RECONCILED ROWS:p66r71,p85r23</t>
        </is>
      </c>
    </row>
    <row r="40">
      <c r="A40" s="15" t="inlineStr">
        <is>
          <t>BANCO BRADESCO S.A.</t>
        </is>
      </c>
      <c r="B40" s="16" t="n">
        <v>12430000</v>
      </c>
      <c r="C40" s="17" t="inlineStr">
        <is>
          <t>Cerealista Sa</t>
        </is>
      </c>
      <c r="D40" s="18" t="inlineStr">
        <is>
          <t>NEW</t>
        </is>
      </c>
      <c r="E40" s="19" t="inlineStr"/>
      <c r="F40" s="18" t="inlineStr"/>
      <c r="G40" s="19" t="inlineStr"/>
      <c r="H40" s="18" t="inlineStr"/>
      <c r="I40" s="20" t="inlineStr">
        <is>
          <t>MARCELO DE ARAUJO NORONHA</t>
        </is>
      </c>
      <c r="J40" s="20" t="inlineStr">
        <is>
          <t>Presidente</t>
        </is>
      </c>
      <c r="K40" s="20" t="inlineStr">
        <is>
          <t>(11) 3684-5122</t>
        </is>
      </c>
      <c r="L40" s="20" t="inlineStr"/>
      <c r="M40" s="20" t="inlineStr"/>
      <c r="N40" s="20" t="inlineStr"/>
      <c r="O40" s="20" t="inlineStr"/>
      <c r="P40" s="20" t="inlineStr">
        <is>
          <t>AFRANIO CARLOS CAMARGO DANTZGER</t>
        </is>
      </c>
      <c r="Q40" s="20" t="inlineStr">
        <is>
          <t>Diretor</t>
        </is>
      </c>
      <c r="R40" s="20" t="inlineStr">
        <is>
          <t>(11) 3684-5122</t>
        </is>
      </c>
      <c r="S40" s="20" t="inlineStr"/>
      <c r="T40" s="21" t="n">
        <v>12430000</v>
      </c>
      <c r="U40" s="22" t="inlineStr">
        <is>
          <t>B</t>
        </is>
      </c>
      <c r="V40" s="23">
        <f>IFERROR(VLOOKUP(U40,Assumptions!$A$7:$D$11,2,FALSE),0)</f>
        <v/>
      </c>
      <c r="W40" s="24">
        <f>MAX(0.5,IFERROR(VLOOKUP(U40,Assumptions!$A$7:$D$11,3,FALSE),3)+IFERROR(VLOOKUP(U40,Assumptions!$A$7:$D$11,4,FALSE),8)/2-IF(AN40="",0,YEAR(TODAY())-AN40))</f>
        <v/>
      </c>
      <c r="X40" s="21">
        <f>T40*V40/(1+Assumptions!$B$3)^W40</f>
        <v/>
      </c>
      <c r="Y40" s="25">
        <f>IF(T40=0,"",ROUND(X40/T40*100,1))</f>
        <v/>
      </c>
      <c r="Z40" s="26">
        <f>X40*Assumptions!$B$4</f>
        <v/>
      </c>
      <c r="AA40" s="25">
        <f>IF(T40=0,"",ROUND(Z40/T40*100,1))</f>
        <v/>
      </c>
      <c r="AB40" s="26">
        <f>X40-Z40</f>
        <v/>
      </c>
      <c r="AC40" s="25">
        <f>IF(T40=0,"",ROUND((X40-Z40)/T40*100,1))</f>
        <v/>
      </c>
      <c r="AD40" s="27" t="inlineStr">
        <is>
          <t>ESTIMATED</t>
        </is>
      </c>
      <c r="AE40" s="28" t="inlineStr">
        <is>
          <t>https://ajruiz.com.br/sites/default/files/public/arquivos-processos/2026-01/safrasul_relacao_de_credores_recuperanda.pdf</t>
        </is>
      </c>
      <c r="AF40" s="27" t="inlineStr">
        <is>
          <t>p8 r16; p8 r17; p8 r18; p8 r19</t>
        </is>
      </c>
      <c r="AG40" s="27" t="inlineStr">
        <is>
          <t>p8: R$ 4.000.000,00; p8: R$ 8.000.000,00; p8: R$ 400.000,00; p8: R$ 30.000,00</t>
        </is>
      </c>
      <c r="AH40" s="27" t="inlineStr">
        <is>
          <t>AJ_LIST</t>
        </is>
      </c>
      <c r="AI40" s="27" t="inlineStr">
        <is>
          <t>2026-01-14</t>
        </is>
      </c>
      <c r="AJ40" s="27" t="inlineStr">
        <is>
          <t>OK_NO_TOTALS</t>
        </is>
      </c>
      <c r="AK40" s="29" t="inlineStr">
        <is>
          <t>4000167-23.2025.8.26.0373</t>
        </is>
      </c>
      <c r="AL40" s="29" t="inlineStr">
        <is>
          <t>TJSP</t>
        </is>
      </c>
      <c r="AM40" s="29" t="inlineStr">
        <is>
          <t>ACTIVE</t>
        </is>
      </c>
      <c r="AN40" s="29" t="n">
        <v>2025</v>
      </c>
      <c r="AO40" s="29" t="inlineStr">
        <is>
          <t>live case, no plan document yet</t>
        </is>
      </c>
      <c r="AP40" s="29" t="inlineStr">
        <is>
          <t>OSASCO</t>
        </is>
      </c>
      <c r="AQ40" s="29" t="inlineStr">
        <is>
          <t>SP</t>
        </is>
      </c>
      <c r="AR40" s="29" t="inlineStr">
        <is>
          <t>Bancos múltiplos, com carteira comercial</t>
        </is>
      </c>
      <c r="AS40" s="29" t="inlineStr">
        <is>
          <t>DEMAIS</t>
        </is>
      </c>
      <c r="AT40" s="29" t="inlineStr">
        <is>
          <t>LARGE CORP</t>
        </is>
      </c>
      <c r="AU40" s="29" t="inlineStr">
        <is>
          <t>60746948</t>
        </is>
      </c>
      <c r="AV40" s="29" t="n">
        <v>4</v>
      </c>
      <c r="AW40" s="29" t="inlineStr">
        <is>
          <t>LIKELY_FINANCIAL_BY_NAME ROWS:p8r16,p8r17,p8r18,p8r19 UNRECONCILED_SOURCE</t>
        </is>
      </c>
    </row>
    <row r="41">
      <c r="A41" s="15" t="inlineStr">
        <is>
          <t>CAIXA ECONOMICA FEDERAL</t>
        </is>
      </c>
      <c r="B41" s="16" t="n">
        <v>11652776.23</v>
      </c>
      <c r="C41" s="17" t="inlineStr">
        <is>
          <t>COMERCIO RACOES BEM BOM LTDA</t>
        </is>
      </c>
      <c r="D41" s="18" t="inlineStr">
        <is>
          <t>NEW</t>
        </is>
      </c>
      <c r="E41" s="19" t="inlineStr"/>
      <c r="F41" s="18" t="inlineStr"/>
      <c r="G41" s="19" t="inlineStr"/>
      <c r="H41" s="18" t="inlineStr"/>
      <c r="I41" s="20" t="inlineStr">
        <is>
          <t>ADRIANO ASSIS MATIAS</t>
        </is>
      </c>
      <c r="J41" s="20" t="inlineStr">
        <is>
          <t>Administrador</t>
        </is>
      </c>
      <c r="K41" s="20" t="inlineStr">
        <is>
          <t>(00) 4004-0104</t>
        </is>
      </c>
      <c r="L41" s="20" t="inlineStr"/>
      <c r="M41" s="20" t="inlineStr"/>
      <c r="N41" s="20" t="inlineStr"/>
      <c r="O41" s="20" t="inlineStr"/>
      <c r="P41" s="20" t="inlineStr">
        <is>
          <t>HENRIETE ALEXANDRA SARTORI BERNABE</t>
        </is>
      </c>
      <c r="Q41" s="20" t="inlineStr">
        <is>
          <t>Administrador</t>
        </is>
      </c>
      <c r="R41" s="20" t="inlineStr">
        <is>
          <t>(00) 4004-0104</t>
        </is>
      </c>
      <c r="S41" s="20" t="inlineStr"/>
      <c r="T41" s="21" t="n">
        <v>11652776.23</v>
      </c>
      <c r="U41" s="32" t="inlineStr">
        <is>
          <t>A</t>
        </is>
      </c>
      <c r="V41" s="23">
        <f>IFERROR(VLOOKUP(U41,Assumptions!$A$7:$D$11,2,FALSE),0)</f>
        <v/>
      </c>
      <c r="W41" s="24">
        <f>MAX(0.5,IFERROR(VLOOKUP(U41,Assumptions!$A$7:$D$11,3,FALSE),3)+IFERROR(VLOOKUP(U41,Assumptions!$A$7:$D$11,4,FALSE),8)/2-IF(AN41="",0,YEAR(TODAY())-AN41))</f>
        <v/>
      </c>
      <c r="X41" s="21">
        <f>T41*V41/(1+Assumptions!$B$3)^W41</f>
        <v/>
      </c>
      <c r="Y41" s="25">
        <f>IF(T41=0,"",ROUND(X41/T41*100,1))</f>
        <v/>
      </c>
      <c r="Z41" s="26">
        <f>X41*Assumptions!$B$4</f>
        <v/>
      </c>
      <c r="AA41" s="25">
        <f>IF(T41=0,"",ROUND(Z41/T41*100,1))</f>
        <v/>
      </c>
      <c r="AB41" s="26">
        <f>X41-Z41</f>
        <v/>
      </c>
      <c r="AC41" s="25">
        <f>IF(T41=0,"",ROUND((X41-Z41)/T41*100,1))</f>
        <v/>
      </c>
      <c r="AD41" s="27" t="inlineStr">
        <is>
          <t>CONFIRMED</t>
        </is>
      </c>
      <c r="AE41" s="28" t="inlineStr">
        <is>
          <t>https://stenius.com.br/wp-content/uploads/2026/06/EDITAL-GRUPO-3E.pdf</t>
        </is>
      </c>
      <c r="AF41" s="27" t="inlineStr">
        <is>
          <t>p11 r27</t>
        </is>
      </c>
      <c r="AG41" s="27" t="inlineStr">
        <is>
          <t>p11: R$ 11.652.776,23</t>
        </is>
      </c>
      <c r="AH41" s="27" t="inlineStr">
        <is>
          <t>DEBTOR_LIST</t>
        </is>
      </c>
      <c r="AI41" s="27" t="inlineStr">
        <is>
          <t>2026-06-22</t>
        </is>
      </c>
      <c r="AJ41" s="27" t="inlineStr">
        <is>
          <t>OK_NO_TOTALS</t>
        </is>
      </c>
      <c r="AK41" s="29" t="inlineStr">
        <is>
          <t>5341375-33.2026.8.09.0049</t>
        </is>
      </c>
      <c r="AL41" s="29" t="inlineStr">
        <is>
          <t>TJGO</t>
        </is>
      </c>
      <c r="AM41" s="29" t="inlineStr">
        <is>
          <t>ACTIVE</t>
        </is>
      </c>
      <c r="AN41" s="29" t="n">
        <v>2026</v>
      </c>
      <c r="AO41" s="29" t="inlineStr">
        <is>
          <t>plan/homologation document found</t>
        </is>
      </c>
      <c r="AP41" s="29" t="inlineStr">
        <is>
          <t>BRASILIA</t>
        </is>
      </c>
      <c r="AQ41" s="29" t="inlineStr">
        <is>
          <t>DF</t>
        </is>
      </c>
      <c r="AR41" s="29" t="inlineStr">
        <is>
          <t>Caixas econômicas</t>
        </is>
      </c>
      <c r="AS41" s="29" t="inlineStr">
        <is>
          <t>DEMAIS</t>
        </is>
      </c>
      <c r="AT41" s="29" t="inlineStr">
        <is>
          <t>LARGE CORP</t>
        </is>
      </c>
      <c r="AU41" s="29" t="inlineStr">
        <is>
          <t>00360305</t>
        </is>
      </c>
      <c r="AV41" s="29" t="n">
        <v>1</v>
      </c>
      <c r="AW41" s="29" t="inlineStr">
        <is>
          <t>LIKELY_FINANCIAL_BY_NAME ROWS:p11r27 UNRECONCILED_SOURCE</t>
        </is>
      </c>
    </row>
    <row r="42">
      <c r="A42" s="15" t="inlineStr">
        <is>
          <t>BANCO DO BRASIL SA</t>
        </is>
      </c>
      <c r="B42" s="16" t="n">
        <v>6252701.01</v>
      </c>
      <c r="C42" s="17" t="inlineStr">
        <is>
          <t>R W CONSTRUCOES LTDA</t>
        </is>
      </c>
      <c r="D42" s="18" t="inlineStr">
        <is>
          <t>NEW</t>
        </is>
      </c>
      <c r="E42" s="19" t="inlineStr"/>
      <c r="F42" s="18" t="inlineStr"/>
      <c r="G42" s="19" t="inlineStr"/>
      <c r="H42" s="18" t="inlineStr"/>
      <c r="I42" s="20" t="inlineStr">
        <is>
          <t>TARCIANA PAULA GOMES MEDEIROS</t>
        </is>
      </c>
      <c r="J42" s="20" t="inlineStr">
        <is>
          <t>Presidente</t>
        </is>
      </c>
      <c r="K42" s="20" t="inlineStr">
        <is>
          <t>(61) 3493-9002</t>
        </is>
      </c>
      <c r="L42" s="20" t="inlineStr"/>
      <c r="M42" s="20" t="inlineStr"/>
      <c r="N42" s="20" t="inlineStr"/>
      <c r="O42" s="20" t="inlineStr"/>
      <c r="P42" s="20" t="inlineStr">
        <is>
          <t>ALAN CARLOS GUEDES DE OLIVEIRA</t>
        </is>
      </c>
      <c r="Q42" s="20" t="inlineStr">
        <is>
          <t>Diretor</t>
        </is>
      </c>
      <c r="R42" s="20" t="inlineStr">
        <is>
          <t>(61) 3493-9002</t>
        </is>
      </c>
      <c r="S42" s="20" t="inlineStr"/>
      <c r="T42" s="21" t="n">
        <v>6252701.01</v>
      </c>
      <c r="U42" s="22" t="inlineStr">
        <is>
          <t>B</t>
        </is>
      </c>
      <c r="V42" s="23">
        <f>IFERROR(VLOOKUP(U42,Assumptions!$A$7:$D$11,2,FALSE),0)</f>
        <v/>
      </c>
      <c r="W42" s="24">
        <f>MAX(0.5,IFERROR(VLOOKUP(U42,Assumptions!$A$7:$D$11,3,FALSE),3)+IFERROR(VLOOKUP(U42,Assumptions!$A$7:$D$11,4,FALSE),8)/2-IF(AN42="",0,YEAR(TODAY())-AN42))</f>
        <v/>
      </c>
      <c r="X42" s="21">
        <f>T42*V42/(1+Assumptions!$B$3)^W42</f>
        <v/>
      </c>
      <c r="Y42" s="25">
        <f>IF(T42=0,"",ROUND(X42/T42*100,1))</f>
        <v/>
      </c>
      <c r="Z42" s="26">
        <f>X42*Assumptions!$B$4</f>
        <v/>
      </c>
      <c r="AA42" s="25">
        <f>IF(T42=0,"",ROUND(Z42/T42*100,1))</f>
        <v/>
      </c>
      <c r="AB42" s="26">
        <f>X42-Z42</f>
        <v/>
      </c>
      <c r="AC42" s="25">
        <f>IF(T42=0,"",ROUND((X42-Z42)/T42*100,1))</f>
        <v/>
      </c>
      <c r="AD42" s="27" t="inlineStr">
        <is>
          <t>ESTIMATED</t>
        </is>
      </c>
      <c r="AE42" s="28" t="inlineStr">
        <is>
          <t>https://lrflideres.com.br/wp-content/plugins/download-attachments/includes/download.php?id=4023</t>
        </is>
      </c>
      <c r="AF42" s="27" t="inlineStr">
        <is>
          <t>p4 r56; p7 r77; p8 r82; p9 r58</t>
        </is>
      </c>
      <c r="AG42" s="27" t="inlineStr">
        <is>
          <t>p4: R$ 1.137.317,04; p7: R$ 3.511.725,73; p8: R$ 1.400.000,00; p9: R$ 203.658,24</t>
        </is>
      </c>
      <c r="AH42" s="27" t="inlineStr">
        <is>
          <t>DEBTOR_LIST</t>
        </is>
      </c>
      <c r="AI42" s="27" t="inlineStr"/>
      <c r="AJ42" s="27" t="inlineStr">
        <is>
          <t>QUARANTINED</t>
        </is>
      </c>
      <c r="AK42" s="29" t="inlineStr">
        <is>
          <t>0002484-82.2022.8.17.2001</t>
        </is>
      </c>
      <c r="AL42" s="29" t="inlineStr">
        <is>
          <t>TJPE</t>
        </is>
      </c>
      <c r="AM42" s="29" t="inlineStr">
        <is>
          <t>ACTIVE</t>
        </is>
      </c>
      <c r="AN42" s="29" t="n">
        <v>2022</v>
      </c>
      <c r="AO42" s="29" t="inlineStr">
        <is>
          <t>live case, no plan document yet</t>
        </is>
      </c>
      <c r="AP42" s="29" t="inlineStr">
        <is>
          <t>BRASILIA</t>
        </is>
      </c>
      <c r="AQ42" s="29" t="inlineStr">
        <is>
          <t>DF</t>
        </is>
      </c>
      <c r="AR42" s="29" t="inlineStr">
        <is>
          <t>Bancos múltiplos, com carteira comercial</t>
        </is>
      </c>
      <c r="AS42" s="29" t="inlineStr">
        <is>
          <t>DEMAIS</t>
        </is>
      </c>
      <c r="AT42" s="29" t="inlineStr">
        <is>
          <t>LARGE CORP</t>
        </is>
      </c>
      <c r="AU42" s="29" t="inlineStr">
        <is>
          <t>00000000</t>
        </is>
      </c>
      <c r="AV42" s="29" t="n">
        <v>4</v>
      </c>
      <c r="AW42" s="29" t="inlineStr">
        <is>
          <t>LIKELY_FINANCIAL_BY_NAME PARTIAL_DOC_CLASS_III_RECONCILED ROWS:p4r56,p7r77,p8r82,p9r58</t>
        </is>
      </c>
    </row>
    <row r="43">
      <c r="A43" s="15" t="inlineStr">
        <is>
          <t>Banco Cooperativo Sicredi S.A.</t>
        </is>
      </c>
      <c r="B43" s="16" t="n">
        <v>11225999.29</v>
      </c>
      <c r="C43" s="17" t="inlineStr">
        <is>
          <t>COMERCIO RACOES BEM BOM LTDA</t>
        </is>
      </c>
      <c r="D43" s="18" t="inlineStr">
        <is>
          <t>NEW</t>
        </is>
      </c>
      <c r="E43" s="19" t="inlineStr"/>
      <c r="F43" s="18" t="inlineStr"/>
      <c r="G43" s="19" t="inlineStr"/>
      <c r="H43" s="18" t="inlineStr"/>
      <c r="I43" s="20" t="inlineStr"/>
      <c r="J43" s="20" t="inlineStr"/>
      <c r="K43" s="20" t="inlineStr"/>
      <c r="L43" s="20" t="inlineStr"/>
      <c r="M43" s="20" t="inlineStr"/>
      <c r="N43" s="20" t="inlineStr"/>
      <c r="O43" s="20" t="inlineStr"/>
      <c r="P43" s="20" t="inlineStr"/>
      <c r="Q43" s="20" t="inlineStr"/>
      <c r="R43" s="20" t="inlineStr"/>
      <c r="S43" s="20" t="inlineStr"/>
      <c r="T43" s="21" t="n">
        <v>11225999.29</v>
      </c>
      <c r="U43" s="32" t="inlineStr">
        <is>
          <t>A</t>
        </is>
      </c>
      <c r="V43" s="23">
        <f>IFERROR(VLOOKUP(U43,Assumptions!$A$7:$D$11,2,FALSE),0)</f>
        <v/>
      </c>
      <c r="W43" s="24">
        <f>MAX(0.5,IFERROR(VLOOKUP(U43,Assumptions!$A$7:$D$11,3,FALSE),3)+IFERROR(VLOOKUP(U43,Assumptions!$A$7:$D$11,4,FALSE),8)/2-IF(AN43="",0,YEAR(TODAY())-AN43))</f>
        <v/>
      </c>
      <c r="X43" s="21">
        <f>T43*V43/(1+Assumptions!$B$3)^W43</f>
        <v/>
      </c>
      <c r="Y43" s="25">
        <f>IF(T43=0,"",ROUND(X43/T43*100,1))</f>
        <v/>
      </c>
      <c r="Z43" s="26">
        <f>X43*Assumptions!$B$4</f>
        <v/>
      </c>
      <c r="AA43" s="25">
        <f>IF(T43=0,"",ROUND(Z43/T43*100,1))</f>
        <v/>
      </c>
      <c r="AB43" s="26">
        <f>X43-Z43</f>
        <v/>
      </c>
      <c r="AC43" s="25">
        <f>IF(T43=0,"",ROUND((X43-Z43)/T43*100,1))</f>
        <v/>
      </c>
      <c r="AD43" s="27" t="inlineStr">
        <is>
          <t>CONFIRMED</t>
        </is>
      </c>
      <c r="AE43" s="28" t="inlineStr">
        <is>
          <t>https://stenius.com.br/wp-content/uploads/2026/06/EDITAL-GRUPO-3E.pdf</t>
        </is>
      </c>
      <c r="AF43" s="27" t="inlineStr">
        <is>
          <t>p10 r34</t>
        </is>
      </c>
      <c r="AG43" s="27" t="inlineStr">
        <is>
          <t>p10: R$ 11.225.999,29</t>
        </is>
      </c>
      <c r="AH43" s="27" t="inlineStr">
        <is>
          <t>DEBTOR_LIST</t>
        </is>
      </c>
      <c r="AI43" s="27" t="inlineStr">
        <is>
          <t>2026-06-22</t>
        </is>
      </c>
      <c r="AJ43" s="27" t="inlineStr">
        <is>
          <t>OK_NO_TOTALS</t>
        </is>
      </c>
      <c r="AK43" s="29" t="inlineStr">
        <is>
          <t>5341375-33.2026.8.09.0049</t>
        </is>
      </c>
      <c r="AL43" s="29" t="inlineStr">
        <is>
          <t>TJGO</t>
        </is>
      </c>
      <c r="AM43" s="29" t="inlineStr">
        <is>
          <t>ACTIVE</t>
        </is>
      </c>
      <c r="AN43" s="29" t="n">
        <v>2026</v>
      </c>
      <c r="AO43" s="29" t="inlineStr">
        <is>
          <t>plan/homologation document found</t>
        </is>
      </c>
      <c r="AP43" s="29" t="inlineStr"/>
      <c r="AQ43" s="29" t="inlineStr"/>
      <c r="AR43" s="29" t="inlineStr"/>
      <c r="AS43" s="29" t="inlineStr"/>
      <c r="AT43" s="29" t="inlineStr">
        <is>
          <t>MID-MARKET</t>
        </is>
      </c>
      <c r="AU43" s="29" t="inlineStr">
        <is>
          <t>01181521</t>
        </is>
      </c>
      <c r="AV43" s="29" t="n">
        <v>1</v>
      </c>
      <c r="AW43" s="29" t="inlineStr">
        <is>
          <t>LIKELY_FINANCIAL_BY_NAME ROWS:p10r34 UNRECONCILED_SOURCE</t>
        </is>
      </c>
    </row>
    <row r="44">
      <c r="A44" s="15" t="inlineStr">
        <is>
          <t>BANCO BRADESCO S.A.</t>
        </is>
      </c>
      <c r="B44" s="16" t="n">
        <v>14366044.44</v>
      </c>
      <c r="C44" s="17" t="inlineStr">
        <is>
          <t>FORMAPLAN FORMAS PLANEJADAS INDUSTRIA E COMERCIO LTDA EM RECUPERACAO JUDICIAL</t>
        </is>
      </c>
      <c r="D44" s="18" t="inlineStr">
        <is>
          <t>NEW</t>
        </is>
      </c>
      <c r="E44" s="19" t="inlineStr"/>
      <c r="F44" s="18" t="inlineStr"/>
      <c r="G44" s="19" t="inlineStr"/>
      <c r="H44" s="18" t="inlineStr"/>
      <c r="I44" s="20" t="inlineStr">
        <is>
          <t>MARCELO DE ARAUJO NORONHA</t>
        </is>
      </c>
      <c r="J44" s="20" t="inlineStr">
        <is>
          <t>Presidente</t>
        </is>
      </c>
      <c r="K44" s="20" t="inlineStr">
        <is>
          <t>(11) 3684-5122</t>
        </is>
      </c>
      <c r="L44" s="20" t="inlineStr"/>
      <c r="M44" s="20" t="inlineStr"/>
      <c r="N44" s="20" t="inlineStr"/>
      <c r="O44" s="20" t="inlineStr"/>
      <c r="P44" s="20" t="inlineStr">
        <is>
          <t>AFRANIO CARLOS CAMARGO DANTZGER</t>
        </is>
      </c>
      <c r="Q44" s="20" t="inlineStr">
        <is>
          <t>Diretor</t>
        </is>
      </c>
      <c r="R44" s="20" t="inlineStr">
        <is>
          <t>(11) 3684-5122</t>
        </is>
      </c>
      <c r="S44" s="20" t="inlineStr"/>
      <c r="T44" s="21" t="n">
        <v>14366044.44</v>
      </c>
      <c r="U44" s="31" t="inlineStr">
        <is>
          <t>C</t>
        </is>
      </c>
      <c r="V44" s="23">
        <f>IFERROR(VLOOKUP(U44,Assumptions!$A$7:$D$11,2,FALSE),0)</f>
        <v/>
      </c>
      <c r="W44" s="24">
        <f>MAX(0.5,IFERROR(VLOOKUP(U44,Assumptions!$A$7:$D$11,3,FALSE),3)+IFERROR(VLOOKUP(U44,Assumptions!$A$7:$D$11,4,FALSE),8)/2-IF(AN44="",0,YEAR(TODAY())-AN44))</f>
        <v/>
      </c>
      <c r="X44" s="21">
        <f>T44*V44/(1+Assumptions!$B$3)^W44</f>
        <v/>
      </c>
      <c r="Y44" s="25">
        <f>IF(T44=0,"",ROUND(X44/T44*100,1))</f>
        <v/>
      </c>
      <c r="Z44" s="26">
        <f>X44*Assumptions!$B$4</f>
        <v/>
      </c>
      <c r="AA44" s="25">
        <f>IF(T44=0,"",ROUND(Z44/T44*100,1))</f>
        <v/>
      </c>
      <c r="AB44" s="26">
        <f>X44-Z44</f>
        <v/>
      </c>
      <c r="AC44" s="25">
        <f>IF(T44=0,"",ROUND((X44-Z44)/T44*100,1))</f>
        <v/>
      </c>
      <c r="AD44" s="27" t="inlineStr">
        <is>
          <t>ESTIMATED</t>
        </is>
      </c>
      <c r="AE44" s="28" t="inlineStr">
        <is>
          <t>https://marquesadmjudicial.com.br/sgc/download.php?file=files/processo_documento/processo_documento15232121112024_1_.pdf&amp;nome=Relação de Credores</t>
        </is>
      </c>
      <c r="AF44" s="27" t="inlineStr">
        <is>
          <t>p13 r7</t>
        </is>
      </c>
      <c r="AG44" s="27" t="inlineStr">
        <is>
          <t>p13: R$ 14.366.044,44</t>
        </is>
      </c>
      <c r="AH44" s="27" t="inlineStr">
        <is>
          <t>AJ_LIST</t>
        </is>
      </c>
      <c r="AI44" s="27" t="inlineStr">
        <is>
          <t>2021-01-22</t>
        </is>
      </c>
      <c r="AJ44" s="27" t="inlineStr">
        <is>
          <t>QUARANTINED</t>
        </is>
      </c>
      <c r="AK44" s="29" t="inlineStr">
        <is>
          <t>0000410-68.2021.8.16.0174</t>
        </is>
      </c>
      <c r="AL44" s="29" t="inlineStr">
        <is>
          <t>TJPR</t>
        </is>
      </c>
      <c r="AM44" s="29" t="inlineStr">
        <is>
          <t>ACTIVE</t>
        </is>
      </c>
      <c r="AN44" s="29" t="n">
        <v>2021</v>
      </c>
      <c r="AO44" s="29" t="inlineStr">
        <is>
          <t>5y since filing, no plan document</t>
        </is>
      </c>
      <c r="AP44" s="29" t="inlineStr">
        <is>
          <t>OSASCO</t>
        </is>
      </c>
      <c r="AQ44" s="29" t="inlineStr">
        <is>
          <t>SP</t>
        </is>
      </c>
      <c r="AR44" s="29" t="inlineStr">
        <is>
          <t>Bancos múltiplos, com carteira comercial</t>
        </is>
      </c>
      <c r="AS44" s="29" t="inlineStr">
        <is>
          <t>DEMAIS</t>
        </is>
      </c>
      <c r="AT44" s="29" t="inlineStr">
        <is>
          <t>LARGE CORP</t>
        </is>
      </c>
      <c r="AU44" s="29" t="inlineStr">
        <is>
          <t>60746948</t>
        </is>
      </c>
      <c r="AV44" s="29" t="n">
        <v>1</v>
      </c>
      <c r="AW44" s="29" t="inlineStr">
        <is>
          <t>LIKELY_FINANCIAL_BY_NAME PARTIAL_DOC_CLASS_III_RECONCILED ROWS:p13r7</t>
        </is>
      </c>
    </row>
    <row r="45">
      <c r="A45" s="15" t="inlineStr">
        <is>
          <t>BANCO C6 S.A.</t>
        </is>
      </c>
      <c r="B45" s="16" t="n">
        <v>7160294.01</v>
      </c>
      <c r="C45" s="17" t="inlineStr">
        <is>
          <t>VEV COMERCIO DE MEDICAMENTOS LTDA EM RECUPERACAO JUDICIAL</t>
        </is>
      </c>
      <c r="D45" s="18" t="inlineStr">
        <is>
          <t>NEW</t>
        </is>
      </c>
      <c r="E45" s="19" t="inlineStr"/>
      <c r="F45" s="18" t="inlineStr"/>
      <c r="G45" s="19" t="inlineStr"/>
      <c r="H45" s="18" t="inlineStr"/>
      <c r="I45" s="20" t="inlineStr">
        <is>
          <t>FERNANDO NOGUEIRA NOLASCO ASTOLFI</t>
        </is>
      </c>
      <c r="J45" s="20" t="inlineStr">
        <is>
          <t>Diretor</t>
        </is>
      </c>
      <c r="K45" s="20" t="inlineStr">
        <is>
          <t>(11) 2832-6000</t>
        </is>
      </c>
      <c r="L45" s="20" t="inlineStr"/>
      <c r="M45" s="20" t="inlineStr"/>
      <c r="N45" s="20" t="inlineStr"/>
      <c r="O45" s="20" t="inlineStr"/>
      <c r="P45" s="20" t="inlineStr">
        <is>
          <t>GUSTAVO CALDAS DA SILVA</t>
        </is>
      </c>
      <c r="Q45" s="20" t="inlineStr">
        <is>
          <t>Diretor</t>
        </is>
      </c>
      <c r="R45" s="20" t="inlineStr">
        <is>
          <t>(11) 2832-6000</t>
        </is>
      </c>
      <c r="S45" s="20" t="inlineStr"/>
      <c r="T45" s="21" t="n">
        <v>7160294.01</v>
      </c>
      <c r="U45" s="22" t="inlineStr">
        <is>
          <t>B</t>
        </is>
      </c>
      <c r="V45" s="23">
        <f>IFERROR(VLOOKUP(U45,Assumptions!$A$7:$D$11,2,FALSE),0)</f>
        <v/>
      </c>
      <c r="W45" s="24">
        <f>MAX(0.5,IFERROR(VLOOKUP(U45,Assumptions!$A$7:$D$11,3,FALSE),3)+IFERROR(VLOOKUP(U45,Assumptions!$A$7:$D$11,4,FALSE),8)/2-IF(AN45="",0,YEAR(TODAY())-AN45))</f>
        <v/>
      </c>
      <c r="X45" s="21">
        <f>T45*V45/(1+Assumptions!$B$3)^W45</f>
        <v/>
      </c>
      <c r="Y45" s="25">
        <f>IF(T45=0,"",ROUND(X45/T45*100,1))</f>
        <v/>
      </c>
      <c r="Z45" s="26">
        <f>X45*Assumptions!$B$4</f>
        <v/>
      </c>
      <c r="AA45" s="25">
        <f>IF(T45=0,"",ROUND(Z45/T45*100,1))</f>
        <v/>
      </c>
      <c r="AB45" s="26">
        <f>X45-Z45</f>
        <v/>
      </c>
      <c r="AC45" s="25">
        <f>IF(T45=0,"",ROUND((X45-Z45)/T45*100,1))</f>
        <v/>
      </c>
      <c r="AD45" s="27" t="inlineStr">
        <is>
          <t>ESTIMATED</t>
        </is>
      </c>
      <c r="AE45" s="28" t="inlineStr">
        <is>
          <t>https://marquesadmjudicial.com.br/sgc/download.php?file=files/processo_documento/processo_documento15293208032024_1_.pdf&amp;nome=Relação Nominal de Credores da AJ-Sintética</t>
        </is>
      </c>
      <c r="AF45" s="27" t="inlineStr">
        <is>
          <t>p20 r8</t>
        </is>
      </c>
      <c r="AG45" s="27" t="inlineStr">
        <is>
          <t>p20: R$ 7.160.294,01</t>
        </is>
      </c>
      <c r="AH45" s="27" t="inlineStr">
        <is>
          <t>AJ_LIST</t>
        </is>
      </c>
      <c r="AI45" s="27" t="inlineStr">
        <is>
          <t>2023-03-02</t>
        </is>
      </c>
      <c r="AJ45" s="27" t="inlineStr">
        <is>
          <t>QUARANTINED</t>
        </is>
      </c>
      <c r="AK45" s="29" t="inlineStr">
        <is>
          <t>0005010-98.2023.8.16.0001</t>
        </is>
      </c>
      <c r="AL45" s="29" t="inlineStr">
        <is>
          <t>TJPR</t>
        </is>
      </c>
      <c r="AM45" s="29" t="inlineStr">
        <is>
          <t>ACTIVE</t>
        </is>
      </c>
      <c r="AN45" s="29" t="n">
        <v>2023</v>
      </c>
      <c r="AO45" s="29" t="inlineStr">
        <is>
          <t>live case, no plan document yet</t>
        </is>
      </c>
      <c r="AP45" s="29" t="inlineStr">
        <is>
          <t>SAO PAULO</t>
        </is>
      </c>
      <c r="AQ45" s="29" t="inlineStr">
        <is>
          <t>SP</t>
        </is>
      </c>
      <c r="AR45" s="29" t="inlineStr">
        <is>
          <t>Bancos múltiplos, com carteira comercial</t>
        </is>
      </c>
      <c r="AS45" s="29" t="inlineStr">
        <is>
          <t>DEMAIS</t>
        </is>
      </c>
      <c r="AT45" s="29" t="inlineStr">
        <is>
          <t>LARGE CORP</t>
        </is>
      </c>
      <c r="AU45" s="29" t="inlineStr">
        <is>
          <t>31872495</t>
        </is>
      </c>
      <c r="AV45" s="29" t="n">
        <v>1</v>
      </c>
      <c r="AW45" s="29" t="inlineStr">
        <is>
          <t>LIKELY_FINANCIAL_BY_NAME PARTIAL_DOC_CLASS_III_RECONCILED ROWS:p20r8</t>
        </is>
      </c>
    </row>
    <row r="46">
      <c r="A46" s="15" t="inlineStr">
        <is>
          <t>BANCO DO BRASIL SA</t>
        </is>
      </c>
      <c r="B46" s="16" t="n">
        <v>11024401.03</v>
      </c>
      <c r="C46" s="17" t="inlineStr">
        <is>
          <t>BIGOLIN MATERIAIS DE CONSTRUCAO LTDA</t>
        </is>
      </c>
      <c r="D46" s="18" t="inlineStr">
        <is>
          <t>NEW</t>
        </is>
      </c>
      <c r="E46" s="19" t="inlineStr"/>
      <c r="F46" s="18" t="inlineStr"/>
      <c r="G46" s="19" t="inlineStr"/>
      <c r="H46" s="18" t="inlineStr"/>
      <c r="I46" s="20" t="inlineStr">
        <is>
          <t>TARCIANA PAULA GOMES MEDEIROS</t>
        </is>
      </c>
      <c r="J46" s="20" t="inlineStr">
        <is>
          <t>Presidente</t>
        </is>
      </c>
      <c r="K46" s="20" t="inlineStr">
        <is>
          <t>(61) 3493-9002</t>
        </is>
      </c>
      <c r="L46" s="20" t="inlineStr"/>
      <c r="M46" s="20" t="inlineStr"/>
      <c r="N46" s="20" t="inlineStr"/>
      <c r="O46" s="20" t="inlineStr"/>
      <c r="P46" s="20" t="inlineStr">
        <is>
          <t>ALAN CARLOS GUEDES DE OLIVEIRA</t>
        </is>
      </c>
      <c r="Q46" s="20" t="inlineStr">
        <is>
          <t>Diretor</t>
        </is>
      </c>
      <c r="R46" s="20" t="inlineStr">
        <is>
          <t>(61) 3493-9002</t>
        </is>
      </c>
      <c r="S46" s="20" t="inlineStr"/>
      <c r="T46" s="21" t="n">
        <v>11024401.03</v>
      </c>
      <c r="U46" s="22" t="inlineStr">
        <is>
          <t>B</t>
        </is>
      </c>
      <c r="V46" s="23">
        <f>IFERROR(VLOOKUP(U46,Assumptions!$A$7:$D$11,2,FALSE),0)</f>
        <v/>
      </c>
      <c r="W46" s="24">
        <f>MAX(0.5,IFERROR(VLOOKUP(U46,Assumptions!$A$7:$D$11,3,FALSE),3)+IFERROR(VLOOKUP(U46,Assumptions!$A$7:$D$11,4,FALSE),8)/2-IF(AN46="",0,YEAR(TODAY())-AN46))</f>
        <v/>
      </c>
      <c r="X46" s="21">
        <f>T46*V46/(1+Assumptions!$B$3)^W46</f>
        <v/>
      </c>
      <c r="Y46" s="25">
        <f>IF(T46=0,"",ROUND(X46/T46*100,1))</f>
        <v/>
      </c>
      <c r="Z46" s="26">
        <f>X46*Assumptions!$B$4</f>
        <v/>
      </c>
      <c r="AA46" s="25">
        <f>IF(T46=0,"",ROUND(Z46/T46*100,1))</f>
        <v/>
      </c>
      <c r="AB46" s="26">
        <f>X46-Z46</f>
        <v/>
      </c>
      <c r="AC46" s="25">
        <f>IF(T46=0,"",ROUND((X46-Z46)/T46*100,1))</f>
        <v/>
      </c>
      <c r="AD46" s="27" t="inlineStr">
        <is>
          <t>ESTIMATED</t>
        </is>
      </c>
      <c r="AE46" s="28" t="inlineStr">
        <is>
          <t>https://ativosajce.com.br/admin/download.php?file=files/processo_documento/processo_documento16022716122025_1_.pdf&amp;nome=Relação de credores - art. 52, §1º da Lei 11.101/05 - 15/12/2025</t>
        </is>
      </c>
      <c r="AF46" s="27" t="inlineStr">
        <is>
          <t>p2 r19</t>
        </is>
      </c>
      <c r="AG46" s="27" t="inlineStr">
        <is>
          <t>p2: R$ 11.024.401,03</t>
        </is>
      </c>
      <c r="AH46" s="27" t="inlineStr">
        <is>
          <t>UNKNOWN</t>
        </is>
      </c>
      <c r="AI46" s="27" t="inlineStr"/>
      <c r="AJ46" s="27" t="inlineStr">
        <is>
          <t>OK_NO_TOTALS</t>
        </is>
      </c>
      <c r="AK46" s="29" t="inlineStr">
        <is>
          <t>4054599-35.2025.8.26.0100</t>
        </is>
      </c>
      <c r="AL46" s="29" t="inlineStr">
        <is>
          <t>TJSP</t>
        </is>
      </c>
      <c r="AM46" s="29" t="inlineStr">
        <is>
          <t>ACTIVE</t>
        </is>
      </c>
      <c r="AN46" s="29" t="n">
        <v>2025</v>
      </c>
      <c r="AO46" s="29" t="inlineStr">
        <is>
          <t>live case, no plan document yet</t>
        </is>
      </c>
      <c r="AP46" s="29" t="inlineStr">
        <is>
          <t>BRASILIA</t>
        </is>
      </c>
      <c r="AQ46" s="29" t="inlineStr">
        <is>
          <t>DF</t>
        </is>
      </c>
      <c r="AR46" s="29" t="inlineStr">
        <is>
          <t>Bancos múltiplos, com carteira comercial</t>
        </is>
      </c>
      <c r="AS46" s="29" t="inlineStr">
        <is>
          <t>DEMAIS</t>
        </is>
      </c>
      <c r="AT46" s="29" t="inlineStr">
        <is>
          <t>LARGE CORP</t>
        </is>
      </c>
      <c r="AU46" s="29" t="inlineStr">
        <is>
          <t>00000000</t>
        </is>
      </c>
      <c r="AV46" s="29" t="n">
        <v>1</v>
      </c>
      <c r="AW46" s="29" t="inlineStr">
        <is>
          <t>ROWS:p2r19 UNRECONCILED_SOURCE VALUE_COL:Valor</t>
        </is>
      </c>
    </row>
    <row r="47">
      <c r="A47" s="15" t="inlineStr">
        <is>
          <t>GCD ADMINISTRADORA DE CARTOES DE CREDITO LTDA</t>
        </is>
      </c>
      <c r="B47" s="16" t="n">
        <v>5397872.9</v>
      </c>
      <c r="C47" s="17" t="inlineStr">
        <is>
          <t>R W CONSTRUCOES LTDA</t>
        </is>
      </c>
      <c r="D47" s="18" t="inlineStr">
        <is>
          <t>NEW</t>
        </is>
      </c>
      <c r="E47" s="19" t="inlineStr"/>
      <c r="F47" s="18" t="inlineStr"/>
      <c r="G47" s="19" t="inlineStr"/>
      <c r="H47" s="18" t="inlineStr"/>
      <c r="I47" s="20" t="inlineStr">
        <is>
          <t>FERNANDO MELO CATAO</t>
        </is>
      </c>
      <c r="J47" s="20" t="inlineStr">
        <is>
          <t>Sócio-Administrador</t>
        </is>
      </c>
      <c r="K47" s="20" t="inlineStr">
        <is>
          <t>(81) 3032-8400</t>
        </is>
      </c>
      <c r="L47" s="20" t="inlineStr">
        <is>
          <t>(81) 8814-1100</t>
        </is>
      </c>
      <c r="M47" s="20" t="inlineStr"/>
      <c r="N47" s="20" t="inlineStr"/>
      <c r="O47" s="20" t="inlineStr"/>
      <c r="P47" s="20" t="inlineStr"/>
      <c r="Q47" s="20" t="inlineStr"/>
      <c r="R47" s="20" t="inlineStr"/>
      <c r="S47" s="20" t="inlineStr"/>
      <c r="T47" s="21" t="n">
        <v>5397872.9</v>
      </c>
      <c r="U47" s="22" t="inlineStr">
        <is>
          <t>B</t>
        </is>
      </c>
      <c r="V47" s="23">
        <f>IFERROR(VLOOKUP(U47,Assumptions!$A$7:$D$11,2,FALSE),0)</f>
        <v/>
      </c>
      <c r="W47" s="24">
        <f>MAX(0.5,IFERROR(VLOOKUP(U47,Assumptions!$A$7:$D$11,3,FALSE),3)+IFERROR(VLOOKUP(U47,Assumptions!$A$7:$D$11,4,FALSE),8)/2-IF(AN47="",0,YEAR(TODAY())-AN47))</f>
        <v/>
      </c>
      <c r="X47" s="21">
        <f>T47*V47/(1+Assumptions!$B$3)^W47</f>
        <v/>
      </c>
      <c r="Y47" s="25">
        <f>IF(T47=0,"",ROUND(X47/T47*100,1))</f>
        <v/>
      </c>
      <c r="Z47" s="26">
        <f>X47*Assumptions!$B$4</f>
        <v/>
      </c>
      <c r="AA47" s="25">
        <f>IF(T47=0,"",ROUND(Z47/T47*100,1))</f>
        <v/>
      </c>
      <c r="AB47" s="26">
        <f>X47-Z47</f>
        <v/>
      </c>
      <c r="AC47" s="25">
        <f>IF(T47=0,"",ROUND((X47-Z47)/T47*100,1))</f>
        <v/>
      </c>
      <c r="AD47" s="27" t="inlineStr">
        <is>
          <t>ESTIMATED</t>
        </is>
      </c>
      <c r="AE47" s="28" t="inlineStr">
        <is>
          <t>https://lrflideres.com.br/wp-content/plugins/download-attachments/includes/download.php?id=4023</t>
        </is>
      </c>
      <c r="AF47" s="27" t="inlineStr">
        <is>
          <t>p4 r73; p7 r97; p9 r71</t>
        </is>
      </c>
      <c r="AG47" s="27" t="inlineStr">
        <is>
          <t>p4: R$ 480.000,00; p7: R$ 4.717.872,90; p9: R$ 200.000,00</t>
        </is>
      </c>
      <c r="AH47" s="27" t="inlineStr">
        <is>
          <t>DEBTOR_LIST</t>
        </is>
      </c>
      <c r="AI47" s="27" t="inlineStr"/>
      <c r="AJ47" s="27" t="inlineStr">
        <is>
          <t>QUARANTINED</t>
        </is>
      </c>
      <c r="AK47" s="29" t="inlineStr">
        <is>
          <t>0002484-82.2022.8.17.2001</t>
        </is>
      </c>
      <c r="AL47" s="29" t="inlineStr">
        <is>
          <t>TJPE</t>
        </is>
      </c>
      <c r="AM47" s="29" t="inlineStr">
        <is>
          <t>ACTIVE</t>
        </is>
      </c>
      <c r="AN47" s="29" t="n">
        <v>2022</v>
      </c>
      <c r="AO47" s="29" t="inlineStr">
        <is>
          <t>live case, no plan document yet</t>
        </is>
      </c>
      <c r="AP47" s="29" t="inlineStr">
        <is>
          <t>RECIFE</t>
        </is>
      </c>
      <c r="AQ47" s="29" t="inlineStr">
        <is>
          <t>PE</t>
        </is>
      </c>
      <c r="AR47" s="29" t="inlineStr">
        <is>
          <t>Outras atividades auxiliares dos serviços financeiros não especificadas anteriormente</t>
        </is>
      </c>
      <c r="AS47" s="29" t="inlineStr">
        <is>
          <t>DEMAIS</t>
        </is>
      </c>
      <c r="AT47" s="29" t="inlineStr">
        <is>
          <t>MID-MARKET</t>
        </is>
      </c>
      <c r="AU47" s="29" t="inlineStr">
        <is>
          <t>32193199</t>
        </is>
      </c>
      <c r="AV47" s="29" t="n">
        <v>3</v>
      </c>
      <c r="AW47" s="29" t="inlineStr">
        <is>
          <t>PARTIAL_DOC_CLASS_III_RECONCILED ROWS:p4r73,p7r97,p9r71</t>
        </is>
      </c>
    </row>
    <row r="48">
      <c r="A48" s="15" t="inlineStr">
        <is>
          <t>LIBRA II NP FUNDO DE INVESTIMENTO EM DIREITOS CREDITÓRIOS NÃO PADRONIZADOS MULTISSETORIAL</t>
        </is>
      </c>
      <c r="B48" s="16" t="n">
        <v>6738246.38</v>
      </c>
      <c r="C48" s="17" t="inlineStr">
        <is>
          <t>CRISTAL MASTER INDUSTRIA E COMERCIO LTDA</t>
        </is>
      </c>
      <c r="D48" s="18" t="inlineStr">
        <is>
          <t>NEW</t>
        </is>
      </c>
      <c r="E48" s="19" t="inlineStr"/>
      <c r="F48" s="18" t="inlineStr"/>
      <c r="G48" s="19" t="inlineStr"/>
      <c r="H48" s="18" t="inlineStr"/>
      <c r="I48" s="20" t="inlineStr"/>
      <c r="J48" s="20" t="inlineStr"/>
      <c r="K48" s="20" t="inlineStr"/>
      <c r="L48" s="20" t="inlineStr"/>
      <c r="M48" s="20" t="inlineStr"/>
      <c r="N48" s="20" t="inlineStr"/>
      <c r="O48" s="20" t="inlineStr"/>
      <c r="P48" s="20" t="inlineStr"/>
      <c r="Q48" s="20" t="inlineStr"/>
      <c r="R48" s="20" t="inlineStr"/>
      <c r="S48" s="20" t="inlineStr"/>
      <c r="T48" s="21" t="n">
        <v>6738246.38</v>
      </c>
      <c r="U48" s="22" t="inlineStr">
        <is>
          <t>B</t>
        </is>
      </c>
      <c r="V48" s="23">
        <f>IFERROR(VLOOKUP(U48,Assumptions!$A$7:$D$11,2,FALSE),0)</f>
        <v/>
      </c>
      <c r="W48" s="24">
        <f>MAX(0.5,IFERROR(VLOOKUP(U48,Assumptions!$A$7:$D$11,3,FALSE),3)+IFERROR(VLOOKUP(U48,Assumptions!$A$7:$D$11,4,FALSE),8)/2-IF(AN48="",0,YEAR(TODAY())-AN48))</f>
        <v/>
      </c>
      <c r="X48" s="21">
        <f>T48*V48/(1+Assumptions!$B$3)^W48</f>
        <v/>
      </c>
      <c r="Y48" s="25">
        <f>IF(T48=0,"",ROUND(X48/T48*100,1))</f>
        <v/>
      </c>
      <c r="Z48" s="26">
        <f>X48*Assumptions!$B$4</f>
        <v/>
      </c>
      <c r="AA48" s="25">
        <f>IF(T48=0,"",ROUND(Z48/T48*100,1))</f>
        <v/>
      </c>
      <c r="AB48" s="26">
        <f>X48-Z48</f>
        <v/>
      </c>
      <c r="AC48" s="25">
        <f>IF(T48=0,"",ROUND((X48-Z48)/T48*100,1))</f>
        <v/>
      </c>
      <c r="AD48" s="27" t="inlineStr">
        <is>
          <t>ESTIMATED</t>
        </is>
      </c>
      <c r="AE48" s="28" t="inlineStr">
        <is>
          <t>https://ajruiz.com.br/sites/default/files/public/arquivos-processos/2026-08/qgc_azeplast_julho_2026.pdf</t>
        </is>
      </c>
      <c r="AF48" s="27" t="inlineStr">
        <is>
          <t>p1 r38</t>
        </is>
      </c>
      <c r="AG48" s="27" t="inlineStr">
        <is>
          <t>p1: R$ 6.738.246,38</t>
        </is>
      </c>
      <c r="AH48" s="27" t="inlineStr">
        <is>
          <t>QGC</t>
        </is>
      </c>
      <c r="AI48" s="27" t="inlineStr"/>
      <c r="AJ48" s="27" t="inlineStr">
        <is>
          <t>QUARANTINED</t>
        </is>
      </c>
      <c r="AK48" s="29" t="inlineStr">
        <is>
          <t>5008793-34.2023.8.24.0019</t>
        </is>
      </c>
      <c r="AL48" s="29" t="inlineStr">
        <is>
          <t>TJSC</t>
        </is>
      </c>
      <c r="AM48" s="29" t="inlineStr">
        <is>
          <t>ACTIVE</t>
        </is>
      </c>
      <c r="AN48" s="29" t="n">
        <v>2023</v>
      </c>
      <c r="AO48" s="29" t="inlineStr">
        <is>
          <t>live case, no plan document yet</t>
        </is>
      </c>
      <c r="AP48" s="29" t="inlineStr"/>
      <c r="AQ48" s="29" t="inlineStr"/>
      <c r="AR48" s="29" t="inlineStr"/>
      <c r="AS48" s="29" t="inlineStr"/>
      <c r="AT48" s="29" t="inlineStr">
        <is>
          <t>MID-MARKET</t>
        </is>
      </c>
      <c r="AU48" s="29" t="inlineStr">
        <is>
          <t>18563847</t>
        </is>
      </c>
      <c r="AV48" s="29" t="n">
        <v>1</v>
      </c>
      <c r="AW48" s="29" t="inlineStr">
        <is>
          <t>LIKELY_FINANCIAL_BY_NAME PARTIAL_DOC_CLASS_III_RECONCILED ROWS:p1r38</t>
        </is>
      </c>
    </row>
    <row r="49">
      <c r="A49" s="15" t="inlineStr">
        <is>
          <t>RODOBENS S.A.</t>
        </is>
      </c>
      <c r="B49" s="16" t="n">
        <v>13075093.63</v>
      </c>
      <c r="C49" s="17" t="inlineStr">
        <is>
          <t>E FALENCIA</t>
        </is>
      </c>
      <c r="D49" s="18" t="inlineStr">
        <is>
          <t>NEW</t>
        </is>
      </c>
      <c r="E49" s="19" t="inlineStr"/>
      <c r="F49" s="18" t="inlineStr"/>
      <c r="G49" s="19" t="inlineStr"/>
      <c r="H49" s="18" t="inlineStr"/>
      <c r="I49" s="20" t="inlineStr">
        <is>
          <t>FERNANDO MARCELO CALADO DE ANDRADE</t>
        </is>
      </c>
      <c r="J49" s="20" t="inlineStr">
        <is>
          <t>Diretor</t>
        </is>
      </c>
      <c r="K49" s="20" t="inlineStr">
        <is>
          <t>(17) 2136-3666</t>
        </is>
      </c>
      <c r="L49" s="20" t="inlineStr">
        <is>
          <t>(17) 3122-7800</t>
        </is>
      </c>
      <c r="M49" s="20" t="inlineStr"/>
      <c r="N49" s="20" t="inlineStr"/>
      <c r="O49" s="20" t="inlineStr"/>
      <c r="P49" s="20" t="inlineStr">
        <is>
          <t>FLAVIO LOPES FERRAZ</t>
        </is>
      </c>
      <c r="Q49" s="20" t="inlineStr">
        <is>
          <t>Diretor</t>
        </is>
      </c>
      <c r="R49" s="20" t="inlineStr">
        <is>
          <t>(17) 3122-7800</t>
        </is>
      </c>
      <c r="S49" s="20" t="inlineStr"/>
      <c r="T49" s="21" t="n">
        <v>13075093.63</v>
      </c>
      <c r="U49" s="22" t="inlineStr">
        <is>
          <t>B</t>
        </is>
      </c>
      <c r="V49" s="23">
        <f>IFERROR(VLOOKUP(U49,Assumptions!$A$7:$D$11,2,FALSE),0)</f>
        <v/>
      </c>
      <c r="W49" s="24">
        <f>MAX(0.5,IFERROR(VLOOKUP(U49,Assumptions!$A$7:$D$11,3,FALSE),3)+IFERROR(VLOOKUP(U49,Assumptions!$A$7:$D$11,4,FALSE),8)/2-IF(AN49="",0,YEAR(TODAY())-AN49))</f>
        <v/>
      </c>
      <c r="X49" s="21">
        <f>T49*V49/(1+Assumptions!$B$3)^W49</f>
        <v/>
      </c>
      <c r="Y49" s="25">
        <f>IF(T49=0,"",ROUND(X49/T49*100,1))</f>
        <v/>
      </c>
      <c r="Z49" s="26">
        <f>X49*Assumptions!$B$4</f>
        <v/>
      </c>
      <c r="AA49" s="25">
        <f>IF(T49=0,"",ROUND(Z49/T49*100,1))</f>
        <v/>
      </c>
      <c r="AB49" s="26">
        <f>X49-Z49</f>
        <v/>
      </c>
      <c r="AC49" s="25">
        <f>IF(T49=0,"",ROUND((X49-Z49)/T49*100,1))</f>
        <v/>
      </c>
      <c r="AD49" s="27" t="inlineStr">
        <is>
          <t>ESTIMATED</t>
        </is>
      </c>
      <c r="AE49" s="28" t="inlineStr">
        <is>
          <t>https://recuperasolucoes.com/wp-content/plugins/download-attachments/includes/download.php?id=1597</t>
        </is>
      </c>
      <c r="AF49" s="27" t="inlineStr">
        <is>
          <t>p13 r17</t>
        </is>
      </c>
      <c r="AG49" s="27" t="inlineStr">
        <is>
          <t>p13: R$ 13.075.093,63</t>
        </is>
      </c>
      <c r="AH49" s="27" t="inlineStr">
        <is>
          <t>DEBTOR_LIST</t>
        </is>
      </c>
      <c r="AI49" s="27" t="inlineStr">
        <is>
          <t>2026-05-21</t>
        </is>
      </c>
      <c r="AJ49" s="27" t="inlineStr">
        <is>
          <t>OK</t>
        </is>
      </c>
      <c r="AK49" s="29" t="inlineStr">
        <is>
          <t>0001639-09.2026.8.17.2810</t>
        </is>
      </c>
      <c r="AL49" s="29" t="inlineStr">
        <is>
          <t>TJPE</t>
        </is>
      </c>
      <c r="AM49" s="29" t="inlineStr">
        <is>
          <t>ACTIVE</t>
        </is>
      </c>
      <c r="AN49" s="29" t="n">
        <v>2026</v>
      </c>
      <c r="AO49" s="29" t="inlineStr">
        <is>
          <t>live case, no plan document yet</t>
        </is>
      </c>
      <c r="AP49" s="29" t="inlineStr">
        <is>
          <t>SAO JOSE DO RIO PRETO</t>
        </is>
      </c>
      <c r="AQ49" s="29" t="inlineStr">
        <is>
          <t>SP</t>
        </is>
      </c>
      <c r="AR49" s="29" t="inlineStr">
        <is>
          <t>Holdings de instituições não-financeiras</t>
        </is>
      </c>
      <c r="AS49" s="29" t="inlineStr">
        <is>
          <t>DEMAIS</t>
        </is>
      </c>
      <c r="AT49" s="29" t="inlineStr">
        <is>
          <t>LARGE CORP</t>
        </is>
      </c>
      <c r="AU49" s="29" t="inlineStr">
        <is>
          <t>59981829</t>
        </is>
      </c>
      <c r="AV49" s="29" t="n">
        <v>1</v>
      </c>
      <c r="AW49" s="29" t="inlineStr">
        <is>
          <t>ROWS:p13r17</t>
        </is>
      </c>
    </row>
    <row r="50">
      <c r="A50" s="15" t="inlineStr">
        <is>
          <t>FINANCA FOMENTO MERCANTIL LTDA</t>
        </is>
      </c>
      <c r="B50" s="16" t="n">
        <v>7562593.19</v>
      </c>
      <c r="C50" s="17" t="inlineStr">
        <is>
          <t>DIVINA INDUSTRIA DE COURO LTDA - EM RECUPERACAO JUDICIAL</t>
        </is>
      </c>
      <c r="D50" s="18" t="inlineStr">
        <is>
          <t>NEW</t>
        </is>
      </c>
      <c r="E50" s="19" t="inlineStr"/>
      <c r="F50" s="18" t="inlineStr"/>
      <c r="G50" s="19" t="inlineStr"/>
      <c r="H50" s="18" t="inlineStr"/>
      <c r="I50" s="20" t="inlineStr"/>
      <c r="J50" s="20" t="inlineStr"/>
      <c r="K50" s="20" t="inlineStr"/>
      <c r="L50" s="20" t="inlineStr"/>
      <c r="M50" s="20" t="inlineStr"/>
      <c r="N50" s="20" t="inlineStr"/>
      <c r="O50" s="20" t="inlineStr"/>
      <c r="P50" s="20" t="inlineStr"/>
      <c r="Q50" s="20" t="inlineStr"/>
      <c r="R50" s="20" t="inlineStr"/>
      <c r="S50" s="20" t="inlineStr"/>
      <c r="T50" s="21" t="n">
        <v>7562593.19</v>
      </c>
      <c r="U50" s="22" t="inlineStr">
        <is>
          <t>B</t>
        </is>
      </c>
      <c r="V50" s="23">
        <f>IFERROR(VLOOKUP(U50,Assumptions!$A$7:$D$11,2,FALSE),0)</f>
        <v/>
      </c>
      <c r="W50" s="24">
        <f>MAX(0.5,IFERROR(VLOOKUP(U50,Assumptions!$A$7:$D$11,3,FALSE),3)+IFERROR(VLOOKUP(U50,Assumptions!$A$7:$D$11,4,FALSE),8)/2-IF(AN50="",0,YEAR(TODAY())-AN50))</f>
        <v/>
      </c>
      <c r="X50" s="21">
        <f>T50*V50/(1+Assumptions!$B$3)^W50</f>
        <v/>
      </c>
      <c r="Y50" s="25">
        <f>IF(T50=0,"",ROUND(X50/T50*100,1))</f>
        <v/>
      </c>
      <c r="Z50" s="26">
        <f>X50*Assumptions!$B$4</f>
        <v/>
      </c>
      <c r="AA50" s="25">
        <f>IF(T50=0,"",ROUND(Z50/T50*100,1))</f>
        <v/>
      </c>
      <c r="AB50" s="26">
        <f>X50-Z50</f>
        <v/>
      </c>
      <c r="AC50" s="25">
        <f>IF(T50=0,"",ROUND((X50-Z50)/T50*100,1))</f>
        <v/>
      </c>
      <c r="AD50" s="27" t="inlineStr">
        <is>
          <t>ESTIMATED</t>
        </is>
      </c>
      <c r="AE50" s="28" t="inlineStr">
        <is>
          <t>https://lrflideres.com.br/wp-content/plugins/download-attachments/includes/download.php?id=6252</t>
        </is>
      </c>
      <c r="AF50" s="27" t="inlineStr">
        <is>
          <t>p2 r41</t>
        </is>
      </c>
      <c r="AG50" s="27" t="inlineStr">
        <is>
          <t>p2: R$ 7.562.593,19</t>
        </is>
      </c>
      <c r="AH50" s="27" t="inlineStr">
        <is>
          <t>AJ_LIST</t>
        </is>
      </c>
      <c r="AI50" s="27" t="inlineStr">
        <is>
          <t>2024-11-27</t>
        </is>
      </c>
      <c r="AJ50" s="27" t="inlineStr">
        <is>
          <t>QUARANTINED</t>
        </is>
      </c>
      <c r="AK50" s="29" t="inlineStr">
        <is>
          <t>0000721-61.2024.8.17.2620</t>
        </is>
      </c>
      <c r="AL50" s="29" t="inlineStr">
        <is>
          <t>TJPE</t>
        </is>
      </c>
      <c r="AM50" s="29" t="inlineStr">
        <is>
          <t>ACTIVE</t>
        </is>
      </c>
      <c r="AN50" s="29" t="n">
        <v>2024</v>
      </c>
      <c r="AO50" s="29" t="inlineStr">
        <is>
          <t>live case, no plan document yet</t>
        </is>
      </c>
      <c r="AP50" s="29" t="inlineStr"/>
      <c r="AQ50" s="29" t="inlineStr"/>
      <c r="AR50" s="29" t="inlineStr"/>
      <c r="AS50" s="29" t="inlineStr"/>
      <c r="AT50" s="29" t="inlineStr">
        <is>
          <t>MID-MARKET</t>
        </is>
      </c>
      <c r="AU50" s="29" t="inlineStr">
        <is>
          <t>10860776</t>
        </is>
      </c>
      <c r="AV50" s="29" t="n">
        <v>1</v>
      </c>
      <c r="AW50" s="29" t="inlineStr">
        <is>
          <t>LIKELY_FINANCIAL_BY_NAME PARTIAL_DOC_CLASS_III_RECONCILED ROWS:p2r41</t>
        </is>
      </c>
    </row>
    <row r="51">
      <c r="A51" s="15" t="inlineStr">
        <is>
          <t>BANCO DO BRASIL SA</t>
        </is>
      </c>
      <c r="B51" s="16" t="n">
        <v>5925881.1</v>
      </c>
      <c r="C51" s="17" t="inlineStr">
        <is>
          <t>ADVOCACIA WANDERLEI DE PAULA BARRETO</t>
        </is>
      </c>
      <c r="D51" s="18" t="inlineStr">
        <is>
          <t>NEW</t>
        </is>
      </c>
      <c r="E51" s="19" t="inlineStr"/>
      <c r="F51" s="18" t="inlineStr"/>
      <c r="G51" s="19" t="inlineStr"/>
      <c r="H51" s="18" t="inlineStr"/>
      <c r="I51" s="20" t="inlineStr">
        <is>
          <t>TARCIANA PAULA GOMES MEDEIROS</t>
        </is>
      </c>
      <c r="J51" s="20" t="inlineStr">
        <is>
          <t>Presidente</t>
        </is>
      </c>
      <c r="K51" s="20" t="inlineStr">
        <is>
          <t>(61) 3493-9002</t>
        </is>
      </c>
      <c r="L51" s="20" t="inlineStr"/>
      <c r="M51" s="20" t="inlineStr"/>
      <c r="N51" s="20" t="inlineStr"/>
      <c r="O51" s="20" t="inlineStr"/>
      <c r="P51" s="20" t="inlineStr">
        <is>
          <t>ALAN CARLOS GUEDES DE OLIVEIRA</t>
        </is>
      </c>
      <c r="Q51" s="20" t="inlineStr">
        <is>
          <t>Diretor</t>
        </is>
      </c>
      <c r="R51" s="20" t="inlineStr">
        <is>
          <t>(61) 3493-9002</t>
        </is>
      </c>
      <c r="S51" s="20" t="inlineStr"/>
      <c r="T51" s="21" t="n">
        <v>5925881.1</v>
      </c>
      <c r="U51" s="22" t="inlineStr">
        <is>
          <t>B</t>
        </is>
      </c>
      <c r="V51" s="23">
        <f>IFERROR(VLOOKUP(U51,Assumptions!$A$7:$D$11,2,FALSE),0)</f>
        <v/>
      </c>
      <c r="W51" s="24">
        <f>MAX(0.5,IFERROR(VLOOKUP(U51,Assumptions!$A$7:$D$11,3,FALSE),3)+IFERROR(VLOOKUP(U51,Assumptions!$A$7:$D$11,4,FALSE),8)/2-IF(AN51="",0,YEAR(TODAY())-AN51))</f>
        <v/>
      </c>
      <c r="X51" s="21">
        <f>T51*V51/(1+Assumptions!$B$3)^W51</f>
        <v/>
      </c>
      <c r="Y51" s="25">
        <f>IF(T51=0,"",ROUND(X51/T51*100,1))</f>
        <v/>
      </c>
      <c r="Z51" s="26">
        <f>X51*Assumptions!$B$4</f>
        <v/>
      </c>
      <c r="AA51" s="25">
        <f>IF(T51=0,"",ROUND(Z51/T51*100,1))</f>
        <v/>
      </c>
      <c r="AB51" s="26">
        <f>X51-Z51</f>
        <v/>
      </c>
      <c r="AC51" s="25">
        <f>IF(T51=0,"",ROUND((X51-Z51)/T51*100,1))</f>
        <v/>
      </c>
      <c r="AD51" s="27" t="inlineStr">
        <is>
          <t>ESTIMATED</t>
        </is>
      </c>
      <c r="AE51" s="28" t="inlineStr">
        <is>
          <t>https://marquesadmjudicial.com.br/sgc/download.php?file=files/processo_documento/processo_documento17040729052024_1_.pdf&amp;nome=Relação Nominal de Credores AJ-Sintética</t>
        </is>
      </c>
      <c r="AF51" s="27" t="inlineStr">
        <is>
          <t>p10 r3</t>
        </is>
      </c>
      <c r="AG51" s="27" t="inlineStr">
        <is>
          <t>p10: R$ 5.925.881,10</t>
        </is>
      </c>
      <c r="AH51" s="27" t="inlineStr">
        <is>
          <t>AJ_LIST</t>
        </is>
      </c>
      <c r="AI51" s="27" t="inlineStr">
        <is>
          <t>2024-05-27</t>
        </is>
      </c>
      <c r="AJ51" s="27" t="inlineStr">
        <is>
          <t>QUARANTINED</t>
        </is>
      </c>
      <c r="AK51" s="29" t="inlineStr">
        <is>
          <t>0003971-03.2023.8.16.0119</t>
        </is>
      </c>
      <c r="AL51" s="29" t="inlineStr">
        <is>
          <t>TJPR</t>
        </is>
      </c>
      <c r="AM51" s="29" t="inlineStr">
        <is>
          <t>ACTIVE</t>
        </is>
      </c>
      <c r="AN51" s="29" t="n">
        <v>2023</v>
      </c>
      <c r="AO51" s="29" t="inlineStr">
        <is>
          <t>live case, no plan document yet</t>
        </is>
      </c>
      <c r="AP51" s="29" t="inlineStr">
        <is>
          <t>BRASILIA</t>
        </is>
      </c>
      <c r="AQ51" s="29" t="inlineStr">
        <is>
          <t>DF</t>
        </is>
      </c>
      <c r="AR51" s="29" t="inlineStr">
        <is>
          <t>Bancos múltiplos, com carteira comercial</t>
        </is>
      </c>
      <c r="AS51" s="29" t="inlineStr">
        <is>
          <t>DEMAIS</t>
        </is>
      </c>
      <c r="AT51" s="29" t="inlineStr">
        <is>
          <t>LARGE CORP</t>
        </is>
      </c>
      <c r="AU51" s="29" t="inlineStr">
        <is>
          <t>00000000</t>
        </is>
      </c>
      <c r="AV51" s="29" t="n">
        <v>1</v>
      </c>
      <c r="AW51" s="29" t="inlineStr">
        <is>
          <t>LIKELY_FINANCIAL_BY_NAME PARTIAL_DOC_CLASS_III_RECONCILED ROWS:p10r3</t>
        </is>
      </c>
    </row>
    <row r="52">
      <c r="A52" s="15" t="inlineStr">
        <is>
          <t>BANCO SAFRA S A</t>
        </is>
      </c>
      <c r="B52" s="16" t="n">
        <v>8644481.52</v>
      </c>
      <c r="C52" s="17" t="inlineStr">
        <is>
          <t>COMERCIO RACOES BEM BOM LTDA</t>
        </is>
      </c>
      <c r="D52" s="18" t="inlineStr">
        <is>
          <t>NEW</t>
        </is>
      </c>
      <c r="E52" s="19" t="inlineStr"/>
      <c r="F52" s="18" t="inlineStr"/>
      <c r="G52" s="19" t="inlineStr"/>
      <c r="H52" s="18" t="inlineStr"/>
      <c r="I52" s="20" t="inlineStr">
        <is>
          <t>RAFAEL BORDALO QUINTAS</t>
        </is>
      </c>
      <c r="J52" s="20" t="inlineStr">
        <is>
          <t>Administrador</t>
        </is>
      </c>
      <c r="K52" s="20" t="inlineStr">
        <is>
          <t>(11) 3175-7575</t>
        </is>
      </c>
      <c r="L52" s="20" t="inlineStr"/>
      <c r="M52" s="20" t="inlineStr"/>
      <c r="N52" s="20" t="inlineStr"/>
      <c r="O52" s="20" t="inlineStr"/>
      <c r="P52" s="20" t="inlineStr">
        <is>
          <t>ADRIANO MACIEL PEDROTI</t>
        </is>
      </c>
      <c r="Q52" s="20" t="inlineStr">
        <is>
          <t>Diretor</t>
        </is>
      </c>
      <c r="R52" s="20" t="inlineStr">
        <is>
          <t>(11) 3175-7575</t>
        </is>
      </c>
      <c r="S52" s="20" t="inlineStr"/>
      <c r="T52" s="21" t="n">
        <v>8644481.52</v>
      </c>
      <c r="U52" s="32" t="inlineStr">
        <is>
          <t>A</t>
        </is>
      </c>
      <c r="V52" s="23">
        <f>IFERROR(VLOOKUP(U52,Assumptions!$A$7:$D$11,2,FALSE),0)</f>
        <v/>
      </c>
      <c r="W52" s="24">
        <f>MAX(0.5,IFERROR(VLOOKUP(U52,Assumptions!$A$7:$D$11,3,FALSE),3)+IFERROR(VLOOKUP(U52,Assumptions!$A$7:$D$11,4,FALSE),8)/2-IF(AN52="",0,YEAR(TODAY())-AN52))</f>
        <v/>
      </c>
      <c r="X52" s="21">
        <f>T52*V52/(1+Assumptions!$B$3)^W52</f>
        <v/>
      </c>
      <c r="Y52" s="25">
        <f>IF(T52=0,"",ROUND(X52/T52*100,1))</f>
        <v/>
      </c>
      <c r="Z52" s="26">
        <f>X52*Assumptions!$B$4</f>
        <v/>
      </c>
      <c r="AA52" s="25">
        <f>IF(T52=0,"",ROUND(Z52/T52*100,1))</f>
        <v/>
      </c>
      <c r="AB52" s="26">
        <f>X52-Z52</f>
        <v/>
      </c>
      <c r="AC52" s="25">
        <f>IF(T52=0,"",ROUND((X52-Z52)/T52*100,1))</f>
        <v/>
      </c>
      <c r="AD52" s="27" t="inlineStr">
        <is>
          <t>CONFIRMED</t>
        </is>
      </c>
      <c r="AE52" s="28" t="inlineStr">
        <is>
          <t>https://stenius.com.br/wp-content/uploads/2026/06/EDITAL-GRUPO-3E.pdf</t>
        </is>
      </c>
      <c r="AF52" s="27" t="inlineStr">
        <is>
          <t>p10 r38</t>
        </is>
      </c>
      <c r="AG52" s="27" t="inlineStr">
        <is>
          <t>p10: R$ 8.644.481,52</t>
        </is>
      </c>
      <c r="AH52" s="27" t="inlineStr">
        <is>
          <t>DEBTOR_LIST</t>
        </is>
      </c>
      <c r="AI52" s="27" t="inlineStr">
        <is>
          <t>2026-06-22</t>
        </is>
      </c>
      <c r="AJ52" s="27" t="inlineStr">
        <is>
          <t>OK_NO_TOTALS</t>
        </is>
      </c>
      <c r="AK52" s="29" t="inlineStr">
        <is>
          <t>5341375-33.2026.8.09.0049</t>
        </is>
      </c>
      <c r="AL52" s="29" t="inlineStr">
        <is>
          <t>TJGO</t>
        </is>
      </c>
      <c r="AM52" s="29" t="inlineStr">
        <is>
          <t>ACTIVE</t>
        </is>
      </c>
      <c r="AN52" s="29" t="n">
        <v>2026</v>
      </c>
      <c r="AO52" s="29" t="inlineStr">
        <is>
          <t>plan/homologation document found</t>
        </is>
      </c>
      <c r="AP52" s="29" t="inlineStr">
        <is>
          <t>SAO PAULO</t>
        </is>
      </c>
      <c r="AQ52" s="29" t="inlineStr">
        <is>
          <t>SP</t>
        </is>
      </c>
      <c r="AR52" s="29" t="inlineStr">
        <is>
          <t>Bancos múltiplos, com carteira comercial</t>
        </is>
      </c>
      <c r="AS52" s="29" t="inlineStr">
        <is>
          <t>DEMAIS</t>
        </is>
      </c>
      <c r="AT52" s="29" t="inlineStr">
        <is>
          <t>LARGE CORP</t>
        </is>
      </c>
      <c r="AU52" s="29" t="inlineStr">
        <is>
          <t>58160789</t>
        </is>
      </c>
      <c r="AV52" s="29" t="n">
        <v>1</v>
      </c>
      <c r="AW52" s="29" t="inlineStr">
        <is>
          <t>LIKELY_FINANCIAL_BY_NAME ROWS:p10r38 UNRECONCILED_SOURCE</t>
        </is>
      </c>
    </row>
    <row r="53">
      <c r="A53" s="15" t="inlineStr">
        <is>
          <t>BANCO SAFRA S A</t>
        </is>
      </c>
      <c r="B53" s="16" t="n">
        <v>4717582.89</v>
      </c>
      <c r="C53" s="17" t="inlineStr">
        <is>
          <t>R W CONSTRUCOES LTDA</t>
        </is>
      </c>
      <c r="D53" s="18" t="inlineStr">
        <is>
          <t>NEW</t>
        </is>
      </c>
      <c r="E53" s="19" t="inlineStr"/>
      <c r="F53" s="18" t="inlineStr"/>
      <c r="G53" s="19" t="inlineStr"/>
      <c r="H53" s="18" t="inlineStr"/>
      <c r="I53" s="20" t="inlineStr">
        <is>
          <t>RAFAEL BORDALO QUINTAS</t>
        </is>
      </c>
      <c r="J53" s="20" t="inlineStr">
        <is>
          <t>Administrador</t>
        </is>
      </c>
      <c r="K53" s="20" t="inlineStr">
        <is>
          <t>(11) 3175-7575</t>
        </is>
      </c>
      <c r="L53" s="20" t="inlineStr"/>
      <c r="M53" s="20" t="inlineStr"/>
      <c r="N53" s="20" t="inlineStr"/>
      <c r="O53" s="20" t="inlineStr"/>
      <c r="P53" s="20" t="inlineStr">
        <is>
          <t>ADRIANO MACIEL PEDROTI</t>
        </is>
      </c>
      <c r="Q53" s="20" t="inlineStr">
        <is>
          <t>Diretor</t>
        </is>
      </c>
      <c r="R53" s="20" t="inlineStr">
        <is>
          <t>(11) 3175-7575</t>
        </is>
      </c>
      <c r="S53" s="20" t="inlineStr"/>
      <c r="T53" s="21" t="n">
        <v>4717582.89</v>
      </c>
      <c r="U53" s="22" t="inlineStr">
        <is>
          <t>B</t>
        </is>
      </c>
      <c r="V53" s="23">
        <f>IFERROR(VLOOKUP(U53,Assumptions!$A$7:$D$11,2,FALSE),0)</f>
        <v/>
      </c>
      <c r="W53" s="24">
        <f>MAX(0.5,IFERROR(VLOOKUP(U53,Assumptions!$A$7:$D$11,3,FALSE),3)+IFERROR(VLOOKUP(U53,Assumptions!$A$7:$D$11,4,FALSE),8)/2-IF(AN53="",0,YEAR(TODAY())-AN53))</f>
        <v/>
      </c>
      <c r="X53" s="21">
        <f>T53*V53/(1+Assumptions!$B$3)^W53</f>
        <v/>
      </c>
      <c r="Y53" s="25">
        <f>IF(T53=0,"",ROUND(X53/T53*100,1))</f>
        <v/>
      </c>
      <c r="Z53" s="26">
        <f>X53*Assumptions!$B$4</f>
        <v/>
      </c>
      <c r="AA53" s="25">
        <f>IF(T53=0,"",ROUND(Z53/T53*100,1))</f>
        <v/>
      </c>
      <c r="AB53" s="26">
        <f>X53-Z53</f>
        <v/>
      </c>
      <c r="AC53" s="25">
        <f>IF(T53=0,"",ROUND((X53-Z53)/T53*100,1))</f>
        <v/>
      </c>
      <c r="AD53" s="27" t="inlineStr">
        <is>
          <t>ESTIMATED</t>
        </is>
      </c>
      <c r="AE53" s="28" t="inlineStr">
        <is>
          <t>https://lrflideres.com.br/wp-content/plugins/download-attachments/includes/download.php?id=4023</t>
        </is>
      </c>
      <c r="AF53" s="27" t="inlineStr">
        <is>
          <t>p7 r79</t>
        </is>
      </c>
      <c r="AG53" s="27" t="inlineStr">
        <is>
          <t>p7: R$ 4.717.582,89</t>
        </is>
      </c>
      <c r="AH53" s="27" t="inlineStr">
        <is>
          <t>DEBTOR_LIST</t>
        </is>
      </c>
      <c r="AI53" s="27" t="inlineStr"/>
      <c r="AJ53" s="27" t="inlineStr">
        <is>
          <t>QUARANTINED</t>
        </is>
      </c>
      <c r="AK53" s="29" t="inlineStr">
        <is>
          <t>0002484-82.2022.8.17.2001</t>
        </is>
      </c>
      <c r="AL53" s="29" t="inlineStr">
        <is>
          <t>TJPE</t>
        </is>
      </c>
      <c r="AM53" s="29" t="inlineStr">
        <is>
          <t>ACTIVE</t>
        </is>
      </c>
      <c r="AN53" s="29" t="n">
        <v>2022</v>
      </c>
      <c r="AO53" s="29" t="inlineStr">
        <is>
          <t>live case, no plan document yet</t>
        </is>
      </c>
      <c r="AP53" s="29" t="inlineStr">
        <is>
          <t>SAO PAULO</t>
        </is>
      </c>
      <c r="AQ53" s="29" t="inlineStr">
        <is>
          <t>SP</t>
        </is>
      </c>
      <c r="AR53" s="29" t="inlineStr">
        <is>
          <t>Bancos múltiplos, com carteira comercial</t>
        </is>
      </c>
      <c r="AS53" s="29" t="inlineStr">
        <is>
          <t>DEMAIS</t>
        </is>
      </c>
      <c r="AT53" s="29" t="inlineStr">
        <is>
          <t>LARGE CORP</t>
        </is>
      </c>
      <c r="AU53" s="29" t="inlineStr">
        <is>
          <t>58160789</t>
        </is>
      </c>
      <c r="AV53" s="29" t="n">
        <v>1</v>
      </c>
      <c r="AW53" s="29" t="inlineStr">
        <is>
          <t>LIKELY_FINANCIAL_BY_NAME PARTIAL_DOC_CLASS_III_RECONCILED ROWS:p7r79</t>
        </is>
      </c>
    </row>
    <row r="54">
      <c r="A54" s="15" t="inlineStr">
        <is>
          <t>BANCO SEMEAR S.A.</t>
        </is>
      </c>
      <c r="B54" s="16" t="n">
        <v>17013791.05</v>
      </c>
      <c r="C54" s="17" t="inlineStr">
        <is>
          <t>EGESA ENGENHARIA S/A (Consórcio ETDI)</t>
        </is>
      </c>
      <c r="D54" s="18" t="inlineStr">
        <is>
          <t>NEW</t>
        </is>
      </c>
      <c r="E54" s="19" t="inlineStr"/>
      <c r="F54" s="18" t="inlineStr"/>
      <c r="G54" s="19" t="inlineStr"/>
      <c r="H54" s="18" t="inlineStr"/>
      <c r="I54" s="20" t="inlineStr">
        <is>
          <t>ROBERTO WILLIANS SILVA AZEVEDO</t>
        </is>
      </c>
      <c r="J54" s="20" t="inlineStr">
        <is>
          <t>Presidente</t>
        </is>
      </c>
      <c r="K54" s="20" t="inlineStr">
        <is>
          <t>(31) 3516-8000</t>
        </is>
      </c>
      <c r="L54" s="20" t="inlineStr"/>
      <c r="M54" s="20" t="inlineStr"/>
      <c r="N54" s="20" t="inlineStr"/>
      <c r="O54" s="20" t="inlineStr"/>
      <c r="P54" s="20" t="inlineStr">
        <is>
          <t>ARTHUR SOARES CAMPOS</t>
        </is>
      </c>
      <c r="Q54" s="20" t="inlineStr">
        <is>
          <t>Diretor</t>
        </is>
      </c>
      <c r="R54" s="20" t="inlineStr">
        <is>
          <t>(31) 3516-8000</t>
        </is>
      </c>
      <c r="S54" s="20" t="inlineStr"/>
      <c r="T54" s="21" t="n">
        <v>17013791.05</v>
      </c>
      <c r="U54" s="30" t="inlineStr">
        <is>
          <t>?</t>
        </is>
      </c>
      <c r="V54" s="23">
        <f>IFERROR(VLOOKUP(U54,Assumptions!$A$7:$D$11,2,FALSE),0)</f>
        <v/>
      </c>
      <c r="W54" s="24">
        <f>MAX(0.5,IFERROR(VLOOKUP(U54,Assumptions!$A$7:$D$11,3,FALSE),3)+IFERROR(VLOOKUP(U54,Assumptions!$A$7:$D$11,4,FALSE),8)/2-IF(AN54="",0,YEAR(TODAY())-AN54))</f>
        <v/>
      </c>
      <c r="X54" s="21">
        <f>T54*V54/(1+Assumptions!$B$3)^W54</f>
        <v/>
      </c>
      <c r="Y54" s="25">
        <f>IF(T54=0,"",ROUND(X54/T54*100,1))</f>
        <v/>
      </c>
      <c r="Z54" s="26">
        <f>X54*Assumptions!$B$4</f>
        <v/>
      </c>
      <c r="AA54" s="25">
        <f>IF(T54=0,"",ROUND(Z54/T54*100,1))</f>
        <v/>
      </c>
      <c r="AB54" s="26">
        <f>X54-Z54</f>
        <v/>
      </c>
      <c r="AC54" s="25">
        <f>IF(T54=0,"",ROUND((X54-Z54)/T54*100,1))</f>
        <v/>
      </c>
      <c r="AD54" s="27" t="inlineStr">
        <is>
          <t>UNKNOWN</t>
        </is>
      </c>
      <c r="AE54" s="28" t="inlineStr">
        <is>
          <t>https://scalzilliaj.com.br/sgc/download.php?file=files/processo_documento/processo_documento09514021082025_1_.pdf&amp;nome=04 - Relação de credores das Recuperandas</t>
        </is>
      </c>
      <c r="AF54" s="27" t="inlineStr">
        <is>
          <t>p62 r18</t>
        </is>
      </c>
      <c r="AG54" s="27" t="inlineStr">
        <is>
          <t>p62: R$ 17.013.791,05</t>
        </is>
      </c>
      <c r="AH54" s="27" t="inlineStr">
        <is>
          <t>DEBTOR_LIST</t>
        </is>
      </c>
      <c r="AI54" s="27" t="inlineStr"/>
      <c r="AJ54" s="27" t="inlineStr">
        <is>
          <t>OK</t>
        </is>
      </c>
      <c r="AK54" s="29" t="inlineStr">
        <is>
          <t>(not printed)</t>
        </is>
      </c>
      <c r="AL54" s="29" t="inlineStr"/>
      <c r="AM54" s="29" t="inlineStr"/>
      <c r="AN54" s="29" t="inlineStr"/>
      <c r="AO54" s="29" t="inlineStr">
        <is>
          <t>RJ case number not identified on the document</t>
        </is>
      </c>
      <c r="AP54" s="29" t="inlineStr">
        <is>
          <t>BELO HORIZONTE</t>
        </is>
      </c>
      <c r="AQ54" s="29" t="inlineStr">
        <is>
          <t>MG</t>
        </is>
      </c>
      <c r="AR54" s="29" t="inlineStr">
        <is>
          <t>Bancos múltiplos, com carteira comercial</t>
        </is>
      </c>
      <c r="AS54" s="29" t="inlineStr">
        <is>
          <t>DEMAIS</t>
        </is>
      </c>
      <c r="AT54" s="29" t="inlineStr">
        <is>
          <t>LARGE CORP</t>
        </is>
      </c>
      <c r="AU54" s="29" t="inlineStr">
        <is>
          <t>00795423</t>
        </is>
      </c>
      <c r="AV54" s="29" t="n">
        <v>1</v>
      </c>
      <c r="AW54" s="29" t="inlineStr">
        <is>
          <t>LIKELY_FINANCIAL_BY_NAME ROWS:p62r18 VALUE_COL:Valor_Atualizado CASE_NUMBER_CORRECTED</t>
        </is>
      </c>
    </row>
    <row r="55">
      <c r="A55" s="15" t="inlineStr">
        <is>
          <t>BANCO SOFISA S.A.</t>
        </is>
      </c>
      <c r="B55" s="16" t="n">
        <v>5733764.93</v>
      </c>
      <c r="C55" s="17" t="inlineStr">
        <is>
          <t>Conduscabos Brasil Indústria Comércio de</t>
        </is>
      </c>
      <c r="D55" s="18" t="inlineStr">
        <is>
          <t>NEW</t>
        </is>
      </c>
      <c r="E55" s="19" t="inlineStr"/>
      <c r="F55" s="18" t="inlineStr"/>
      <c r="G55" s="19" t="inlineStr"/>
      <c r="H55" s="18" t="inlineStr"/>
      <c r="I55" s="20" t="inlineStr">
        <is>
          <t>ALEXANDRE BURMAIAN</t>
        </is>
      </c>
      <c r="J55" s="20" t="inlineStr">
        <is>
          <t>Presidente</t>
        </is>
      </c>
      <c r="K55" s="20" t="inlineStr">
        <is>
          <t>(11) 3176-5500</t>
        </is>
      </c>
      <c r="L55" s="20" t="inlineStr"/>
      <c r="M55" s="20" t="inlineStr"/>
      <c r="N55" s="20" t="inlineStr"/>
      <c r="O55" s="20" t="inlineStr"/>
      <c r="P55" s="20" t="inlineStr">
        <is>
          <t>CESAR AUGUSTO DE OLIVEIRA GONCALVES</t>
        </is>
      </c>
      <c r="Q55" s="20" t="inlineStr">
        <is>
          <t>Diretor</t>
        </is>
      </c>
      <c r="R55" s="20" t="inlineStr">
        <is>
          <t>(11) 3176-5500</t>
        </is>
      </c>
      <c r="S55" s="20" t="inlineStr"/>
      <c r="T55" s="21" t="n">
        <v>5733764.93</v>
      </c>
      <c r="U55" s="22" t="inlineStr">
        <is>
          <t>B</t>
        </is>
      </c>
      <c r="V55" s="23">
        <f>IFERROR(VLOOKUP(U55,Assumptions!$A$7:$D$11,2,FALSE),0)</f>
        <v/>
      </c>
      <c r="W55" s="24">
        <f>MAX(0.5,IFERROR(VLOOKUP(U55,Assumptions!$A$7:$D$11,3,FALSE),3)+IFERROR(VLOOKUP(U55,Assumptions!$A$7:$D$11,4,FALSE),8)/2-IF(AN55="",0,YEAR(TODAY())-AN55))</f>
        <v/>
      </c>
      <c r="X55" s="21">
        <f>T55*V55/(1+Assumptions!$B$3)^W55</f>
        <v/>
      </c>
      <c r="Y55" s="25">
        <f>IF(T55=0,"",ROUND(X55/T55*100,1))</f>
        <v/>
      </c>
      <c r="Z55" s="26">
        <f>X55*Assumptions!$B$4</f>
        <v/>
      </c>
      <c r="AA55" s="25">
        <f>IF(T55=0,"",ROUND(Z55/T55*100,1))</f>
        <v/>
      </c>
      <c r="AB55" s="26">
        <f>X55-Z55</f>
        <v/>
      </c>
      <c r="AC55" s="25">
        <f>IF(T55=0,"",ROUND((X55-Z55)/T55*100,1))</f>
        <v/>
      </c>
      <c r="AD55" s="27" t="inlineStr">
        <is>
          <t>ESTIMATED</t>
        </is>
      </c>
      <c r="AE55" s="28" t="inlineStr">
        <is>
          <t>https://assistjud.com.br/wp-content/uploads/elementor/forms/65098c80a5824.pdf</t>
        </is>
      </c>
      <c r="AF55" s="27" t="inlineStr">
        <is>
          <t>p5 r13</t>
        </is>
      </c>
      <c r="AG55" s="27" t="inlineStr">
        <is>
          <t>p5: R$ 5.733.764,93</t>
        </is>
      </c>
      <c r="AH55" s="27" t="inlineStr">
        <is>
          <t>AJ_LIST</t>
        </is>
      </c>
      <c r="AI55" s="27" t="inlineStr">
        <is>
          <t>2023-09-18</t>
        </is>
      </c>
      <c r="AJ55" s="27" t="inlineStr">
        <is>
          <t>OK_NO_TOTALS</t>
        </is>
      </c>
      <c r="AK55" s="29" t="inlineStr">
        <is>
          <t>8005129-09.2023.8.05.0039</t>
        </is>
      </c>
      <c r="AL55" s="29" t="inlineStr">
        <is>
          <t>TJBA</t>
        </is>
      </c>
      <c r="AM55" s="29" t="inlineStr">
        <is>
          <t>ACTIVE</t>
        </is>
      </c>
      <c r="AN55" s="29" t="n">
        <v>2023</v>
      </c>
      <c r="AO55" s="29" t="inlineStr">
        <is>
          <t>live case, no plan document yet</t>
        </is>
      </c>
      <c r="AP55" s="29" t="inlineStr">
        <is>
          <t>SAO PAULO</t>
        </is>
      </c>
      <c r="AQ55" s="29" t="inlineStr">
        <is>
          <t>SP</t>
        </is>
      </c>
      <c r="AR55" s="29" t="inlineStr">
        <is>
          <t>Bancos múltiplos, com carteira comercial</t>
        </is>
      </c>
      <c r="AS55" s="29" t="inlineStr">
        <is>
          <t>DEMAIS</t>
        </is>
      </c>
      <c r="AT55" s="29" t="inlineStr">
        <is>
          <t>LARGE CORP</t>
        </is>
      </c>
      <c r="AU55" s="29" t="inlineStr">
        <is>
          <t>60889128</t>
        </is>
      </c>
      <c r="AV55" s="29" t="n">
        <v>1</v>
      </c>
      <c r="AW55" s="29" t="inlineStr">
        <is>
          <t>LIKELY_FINANCIAL_BY_NAME ROWS:p5r13 UNRECONCILED_SOURCE VALUE_COL:Valor_Do_Crédito_2º_Edital_De_Credores</t>
        </is>
      </c>
    </row>
    <row r="56">
      <c r="A56" s="15" t="inlineStr">
        <is>
          <t>Cooperativa de Crédito de Livre Admissão Centro Oeste Ltda - Sicoob Emprecred</t>
        </is>
      </c>
      <c r="B56" s="16" t="n">
        <v>7977879.63</v>
      </c>
      <c r="C56" s="17" t="inlineStr">
        <is>
          <t>COMERCIO RACOES BEM BOM LTDA</t>
        </is>
      </c>
      <c r="D56" s="18" t="inlineStr">
        <is>
          <t>NEW</t>
        </is>
      </c>
      <c r="E56" s="19" t="inlineStr"/>
      <c r="F56" s="18" t="inlineStr"/>
      <c r="G56" s="19" t="inlineStr"/>
      <c r="H56" s="18" t="inlineStr"/>
      <c r="I56" s="20" t="inlineStr"/>
      <c r="J56" s="20" t="inlineStr"/>
      <c r="K56" s="20" t="inlineStr"/>
      <c r="L56" s="20" t="inlineStr"/>
      <c r="M56" s="20" t="inlineStr"/>
      <c r="N56" s="20" t="inlineStr"/>
      <c r="O56" s="20" t="inlineStr"/>
      <c r="P56" s="20" t="inlineStr"/>
      <c r="Q56" s="20" t="inlineStr"/>
      <c r="R56" s="20" t="inlineStr"/>
      <c r="S56" s="20" t="inlineStr"/>
      <c r="T56" s="21" t="n">
        <v>7977879.63</v>
      </c>
      <c r="U56" s="32" t="inlineStr">
        <is>
          <t>A</t>
        </is>
      </c>
      <c r="V56" s="23">
        <f>IFERROR(VLOOKUP(U56,Assumptions!$A$7:$D$11,2,FALSE),0)</f>
        <v/>
      </c>
      <c r="W56" s="24">
        <f>MAX(0.5,IFERROR(VLOOKUP(U56,Assumptions!$A$7:$D$11,3,FALSE),3)+IFERROR(VLOOKUP(U56,Assumptions!$A$7:$D$11,4,FALSE),8)/2-IF(AN56="",0,YEAR(TODAY())-AN56))</f>
        <v/>
      </c>
      <c r="X56" s="21">
        <f>T56*V56/(1+Assumptions!$B$3)^W56</f>
        <v/>
      </c>
      <c r="Y56" s="25">
        <f>IF(T56=0,"",ROUND(X56/T56*100,1))</f>
        <v/>
      </c>
      <c r="Z56" s="26">
        <f>X56*Assumptions!$B$4</f>
        <v/>
      </c>
      <c r="AA56" s="25">
        <f>IF(T56=0,"",ROUND(Z56/T56*100,1))</f>
        <v/>
      </c>
      <c r="AB56" s="26">
        <f>X56-Z56</f>
        <v/>
      </c>
      <c r="AC56" s="25">
        <f>IF(T56=0,"",ROUND((X56-Z56)/T56*100,1))</f>
        <v/>
      </c>
      <c r="AD56" s="27" t="inlineStr">
        <is>
          <t>CONFIRMED</t>
        </is>
      </c>
      <c r="AE56" s="28" t="inlineStr">
        <is>
          <t>https://stenius.com.br/wp-content/uploads/2026/06/EDITAL-GRUPO-3E.pdf</t>
        </is>
      </c>
      <c r="AF56" s="27" t="inlineStr">
        <is>
          <t>p12 r7</t>
        </is>
      </c>
      <c r="AG56" s="27" t="inlineStr">
        <is>
          <t>p12: R$ 7.977.879,63</t>
        </is>
      </c>
      <c r="AH56" s="27" t="inlineStr">
        <is>
          <t>DEBTOR_LIST</t>
        </is>
      </c>
      <c r="AI56" s="27" t="inlineStr">
        <is>
          <t>2026-06-22</t>
        </is>
      </c>
      <c r="AJ56" s="27" t="inlineStr">
        <is>
          <t>OK_NO_TOTALS</t>
        </is>
      </c>
      <c r="AK56" s="29" t="inlineStr">
        <is>
          <t>5341375-33.2026.8.09.0049</t>
        </is>
      </c>
      <c r="AL56" s="29" t="inlineStr">
        <is>
          <t>TJGO</t>
        </is>
      </c>
      <c r="AM56" s="29" t="inlineStr">
        <is>
          <t>ACTIVE</t>
        </is>
      </c>
      <c r="AN56" s="29" t="n">
        <v>2026</v>
      </c>
      <c r="AO56" s="29" t="inlineStr">
        <is>
          <t>plan/homologation document found</t>
        </is>
      </c>
      <c r="AP56" s="29" t="inlineStr"/>
      <c r="AQ56" s="29" t="inlineStr"/>
      <c r="AR56" s="29" t="inlineStr"/>
      <c r="AS56" s="29" t="inlineStr"/>
      <c r="AT56" s="29" t="inlineStr">
        <is>
          <t>MID-MARKET</t>
        </is>
      </c>
      <c r="AU56" s="29" t="inlineStr">
        <is>
          <t>07502031</t>
        </is>
      </c>
      <c r="AV56" s="29" t="n">
        <v>1</v>
      </c>
      <c r="AW56" s="29" t="inlineStr">
        <is>
          <t>LIKELY_FINANCIAL_BY_NAME ROWS:p12r7 UNRECONCILED_SOURCE</t>
        </is>
      </c>
    </row>
    <row r="57">
      <c r="A57" s="15" t="inlineStr">
        <is>
          <t>BANCO SAFRA S A</t>
        </is>
      </c>
      <c r="B57" s="16" t="n">
        <v>10547523.23</v>
      </c>
      <c r="C57" s="17" t="inlineStr">
        <is>
          <t>E FALENCIA</t>
        </is>
      </c>
      <c r="D57" s="18" t="inlineStr">
        <is>
          <t>NEW</t>
        </is>
      </c>
      <c r="E57" s="19" t="inlineStr"/>
      <c r="F57" s="18" t="inlineStr"/>
      <c r="G57" s="19" t="inlineStr"/>
      <c r="H57" s="18" t="inlineStr"/>
      <c r="I57" s="20" t="inlineStr">
        <is>
          <t>RAFAEL BORDALO QUINTAS</t>
        </is>
      </c>
      <c r="J57" s="20" t="inlineStr">
        <is>
          <t>Administrador</t>
        </is>
      </c>
      <c r="K57" s="20" t="inlineStr">
        <is>
          <t>(11) 3175-7575</t>
        </is>
      </c>
      <c r="L57" s="20" t="inlineStr"/>
      <c r="M57" s="20" t="inlineStr"/>
      <c r="N57" s="20" t="inlineStr"/>
      <c r="O57" s="20" t="inlineStr"/>
      <c r="P57" s="20" t="inlineStr">
        <is>
          <t>ADRIANO MACIEL PEDROTI</t>
        </is>
      </c>
      <c r="Q57" s="20" t="inlineStr">
        <is>
          <t>Diretor</t>
        </is>
      </c>
      <c r="R57" s="20" t="inlineStr">
        <is>
          <t>(11) 3175-7575</t>
        </is>
      </c>
      <c r="S57" s="20" t="inlineStr"/>
      <c r="T57" s="21" t="n">
        <v>10547523.23</v>
      </c>
      <c r="U57" s="22" t="inlineStr">
        <is>
          <t>B</t>
        </is>
      </c>
      <c r="V57" s="23">
        <f>IFERROR(VLOOKUP(U57,Assumptions!$A$7:$D$11,2,FALSE),0)</f>
        <v/>
      </c>
      <c r="W57" s="24">
        <f>MAX(0.5,IFERROR(VLOOKUP(U57,Assumptions!$A$7:$D$11,3,FALSE),3)+IFERROR(VLOOKUP(U57,Assumptions!$A$7:$D$11,4,FALSE),8)/2-IF(AN57="",0,YEAR(TODAY())-AN57))</f>
        <v/>
      </c>
      <c r="X57" s="21">
        <f>T57*V57/(1+Assumptions!$B$3)^W57</f>
        <v/>
      </c>
      <c r="Y57" s="25">
        <f>IF(T57=0,"",ROUND(X57/T57*100,1))</f>
        <v/>
      </c>
      <c r="Z57" s="26">
        <f>X57*Assumptions!$B$4</f>
        <v/>
      </c>
      <c r="AA57" s="25">
        <f>IF(T57=0,"",ROUND(Z57/T57*100,1))</f>
        <v/>
      </c>
      <c r="AB57" s="26">
        <f>X57-Z57</f>
        <v/>
      </c>
      <c r="AC57" s="25">
        <f>IF(T57=0,"",ROUND((X57-Z57)/T57*100,1))</f>
        <v/>
      </c>
      <c r="AD57" s="27" t="inlineStr">
        <is>
          <t>ESTIMATED</t>
        </is>
      </c>
      <c r="AE57" s="28" t="inlineStr">
        <is>
          <t>https://recuperasolucoes.com/wp-content/plugins/download-attachments/includes/download.php?id=1597</t>
        </is>
      </c>
      <c r="AF57" s="27" t="inlineStr">
        <is>
          <t>p13 r18</t>
        </is>
      </c>
      <c r="AG57" s="27" t="inlineStr">
        <is>
          <t>p13: R$ 10.547.523,23</t>
        </is>
      </c>
      <c r="AH57" s="27" t="inlineStr">
        <is>
          <t>DEBTOR_LIST</t>
        </is>
      </c>
      <c r="AI57" s="27" t="inlineStr">
        <is>
          <t>2026-05-21</t>
        </is>
      </c>
      <c r="AJ57" s="27" t="inlineStr">
        <is>
          <t>OK</t>
        </is>
      </c>
      <c r="AK57" s="29" t="inlineStr">
        <is>
          <t>0001639-09.2026.8.17.2810</t>
        </is>
      </c>
      <c r="AL57" s="29" t="inlineStr">
        <is>
          <t>TJPE</t>
        </is>
      </c>
      <c r="AM57" s="29" t="inlineStr">
        <is>
          <t>ACTIVE</t>
        </is>
      </c>
      <c r="AN57" s="29" t="n">
        <v>2026</v>
      </c>
      <c r="AO57" s="29" t="inlineStr">
        <is>
          <t>live case, no plan document yet</t>
        </is>
      </c>
      <c r="AP57" s="29" t="inlineStr">
        <is>
          <t>SAO PAULO</t>
        </is>
      </c>
      <c r="AQ57" s="29" t="inlineStr">
        <is>
          <t>SP</t>
        </is>
      </c>
      <c r="AR57" s="29" t="inlineStr">
        <is>
          <t>Bancos múltiplos, com carteira comercial</t>
        </is>
      </c>
      <c r="AS57" s="29" t="inlineStr">
        <is>
          <t>DEMAIS</t>
        </is>
      </c>
      <c r="AT57" s="29" t="inlineStr">
        <is>
          <t>LARGE CORP</t>
        </is>
      </c>
      <c r="AU57" s="29" t="inlineStr">
        <is>
          <t>58160789</t>
        </is>
      </c>
      <c r="AV57" s="29" t="n">
        <v>1</v>
      </c>
      <c r="AW57" s="29" t="inlineStr">
        <is>
          <t>ROWS:p13r18</t>
        </is>
      </c>
    </row>
    <row r="58">
      <c r="A58" s="15" t="inlineStr">
        <is>
          <t>BANCO BOCOM BBM S.A.</t>
        </is>
      </c>
      <c r="B58" s="16" t="n">
        <v>5372374.77</v>
      </c>
      <c r="C58" s="17" t="inlineStr">
        <is>
          <t>VEV COMERCIO DE MEDICAMENTOS LTDA EM RECUPERACAO JUDICIAL</t>
        </is>
      </c>
      <c r="D58" s="18" t="inlineStr">
        <is>
          <t>NEW</t>
        </is>
      </c>
      <c r="E58" s="19" t="inlineStr"/>
      <c r="F58" s="18" t="inlineStr"/>
      <c r="G58" s="19" t="inlineStr"/>
      <c r="H58" s="18" t="inlineStr"/>
      <c r="I58" s="20" t="inlineStr">
        <is>
          <t>ALEXANDRE LOWENKRON</t>
        </is>
      </c>
      <c r="J58" s="20" t="inlineStr">
        <is>
          <t>Diretor</t>
        </is>
      </c>
      <c r="K58" s="20" t="inlineStr">
        <is>
          <t>(71) 3243-2666</t>
        </is>
      </c>
      <c r="L58" s="20" t="inlineStr"/>
      <c r="M58" s="20" t="inlineStr"/>
      <c r="N58" s="20" t="inlineStr"/>
      <c r="O58" s="20" t="inlineStr"/>
      <c r="P58" s="20" t="inlineStr">
        <is>
          <t>ALEXANDRE MOSCOSO CABRAL</t>
        </is>
      </c>
      <c r="Q58" s="20" t="inlineStr">
        <is>
          <t>Diretor</t>
        </is>
      </c>
      <c r="R58" s="20" t="inlineStr">
        <is>
          <t>(71) 3243-2666</t>
        </is>
      </c>
      <c r="S58" s="20" t="inlineStr"/>
      <c r="T58" s="21" t="n">
        <v>5372374.77</v>
      </c>
      <c r="U58" s="22" t="inlineStr">
        <is>
          <t>B</t>
        </is>
      </c>
      <c r="V58" s="23">
        <f>IFERROR(VLOOKUP(U58,Assumptions!$A$7:$D$11,2,FALSE),0)</f>
        <v/>
      </c>
      <c r="W58" s="24">
        <f>MAX(0.5,IFERROR(VLOOKUP(U58,Assumptions!$A$7:$D$11,3,FALSE),3)+IFERROR(VLOOKUP(U58,Assumptions!$A$7:$D$11,4,FALSE),8)/2-IF(AN58="",0,YEAR(TODAY())-AN58))</f>
        <v/>
      </c>
      <c r="X58" s="21">
        <f>T58*V58/(1+Assumptions!$B$3)^W58</f>
        <v/>
      </c>
      <c r="Y58" s="25">
        <f>IF(T58=0,"",ROUND(X58/T58*100,1))</f>
        <v/>
      </c>
      <c r="Z58" s="26">
        <f>X58*Assumptions!$B$4</f>
        <v/>
      </c>
      <c r="AA58" s="25">
        <f>IF(T58=0,"",ROUND(Z58/T58*100,1))</f>
        <v/>
      </c>
      <c r="AB58" s="26">
        <f>X58-Z58</f>
        <v/>
      </c>
      <c r="AC58" s="25">
        <f>IF(T58=0,"",ROUND((X58-Z58)/T58*100,1))</f>
        <v/>
      </c>
      <c r="AD58" s="27" t="inlineStr">
        <is>
          <t>ESTIMATED</t>
        </is>
      </c>
      <c r="AE58" s="28" t="inlineStr">
        <is>
          <t>https://marquesadmjudicial.com.br/sgc/download.php?file=files/processo_documento/processo_documento15293208032024_1_.pdf&amp;nome=Relação Nominal de Credores da AJ-Sintética</t>
        </is>
      </c>
      <c r="AF58" s="27" t="inlineStr">
        <is>
          <t>p20 r6</t>
        </is>
      </c>
      <c r="AG58" s="27" t="inlineStr">
        <is>
          <t>p20: R$ 5.372.374,77</t>
        </is>
      </c>
      <c r="AH58" s="27" t="inlineStr">
        <is>
          <t>AJ_LIST</t>
        </is>
      </c>
      <c r="AI58" s="27" t="inlineStr">
        <is>
          <t>2023-03-02</t>
        </is>
      </c>
      <c r="AJ58" s="27" t="inlineStr">
        <is>
          <t>QUARANTINED</t>
        </is>
      </c>
      <c r="AK58" s="29" t="inlineStr">
        <is>
          <t>0005010-98.2023.8.16.0001</t>
        </is>
      </c>
      <c r="AL58" s="29" t="inlineStr">
        <is>
          <t>TJPR</t>
        </is>
      </c>
      <c r="AM58" s="29" t="inlineStr">
        <is>
          <t>ACTIVE</t>
        </is>
      </c>
      <c r="AN58" s="29" t="n">
        <v>2023</v>
      </c>
      <c r="AO58" s="29" t="inlineStr">
        <is>
          <t>live case, no plan document yet</t>
        </is>
      </c>
      <c r="AP58" s="29" t="inlineStr">
        <is>
          <t>SALVADOR</t>
        </is>
      </c>
      <c r="AQ58" s="29" t="inlineStr">
        <is>
          <t>BA</t>
        </is>
      </c>
      <c r="AR58" s="29" t="inlineStr">
        <is>
          <t>Bancos múltiplos, com carteira comercial</t>
        </is>
      </c>
      <c r="AS58" s="29" t="inlineStr">
        <is>
          <t>DEMAIS</t>
        </is>
      </c>
      <c r="AT58" s="29" t="inlineStr">
        <is>
          <t>LARGE CORP</t>
        </is>
      </c>
      <c r="AU58" s="29" t="inlineStr">
        <is>
          <t>15114366</t>
        </is>
      </c>
      <c r="AV58" s="29" t="n">
        <v>1</v>
      </c>
      <c r="AW58" s="29" t="inlineStr">
        <is>
          <t>LIKELY_FINANCIAL_BY_NAME PARTIAL_DOC_CLASS_III_RECONCILED ROWS:p20r6</t>
        </is>
      </c>
    </row>
    <row r="59">
      <c r="A59" s="15" t="inlineStr">
        <is>
          <t>ARAUJO FONTES PARTICIPACOES LTDA.</t>
        </is>
      </c>
      <c r="B59" s="16" t="n">
        <v>15143906.34</v>
      </c>
      <c r="C59" s="17" t="inlineStr">
        <is>
          <t>EGESA ENGENHARIA S/A (Consórcio ETDI)</t>
        </is>
      </c>
      <c r="D59" s="18" t="inlineStr">
        <is>
          <t>NEW</t>
        </is>
      </c>
      <c r="E59" s="19" t="inlineStr"/>
      <c r="F59" s="18" t="inlineStr"/>
      <c r="G59" s="19" t="inlineStr"/>
      <c r="H59" s="18" t="inlineStr"/>
      <c r="I59" s="20" t="inlineStr">
        <is>
          <t>EVALDO FONTES JUNIOR</t>
        </is>
      </c>
      <c r="J59" s="20" t="inlineStr">
        <is>
          <t>Sócio-Administrador</t>
        </is>
      </c>
      <c r="K59" s="20" t="inlineStr">
        <is>
          <t>(31) 2103-6000</t>
        </is>
      </c>
      <c r="L59" s="20" t="inlineStr">
        <is>
          <t>(31) 9324-2861</t>
        </is>
      </c>
      <c r="M59" s="20" t="inlineStr"/>
      <c r="N59" s="20" t="inlineStr"/>
      <c r="O59" s="20" t="inlineStr"/>
      <c r="P59" s="20" t="inlineStr">
        <is>
          <t>MARCELO MARTINS ARAUJO</t>
        </is>
      </c>
      <c r="Q59" s="20" t="inlineStr">
        <is>
          <t>Sócio-Administrador</t>
        </is>
      </c>
      <c r="R59" s="20" t="inlineStr">
        <is>
          <t>(31) 9324-2861</t>
        </is>
      </c>
      <c r="S59" s="20" t="inlineStr"/>
      <c r="T59" s="21" t="n">
        <v>15143906.34</v>
      </c>
      <c r="U59" s="30" t="inlineStr">
        <is>
          <t>?</t>
        </is>
      </c>
      <c r="V59" s="23">
        <f>IFERROR(VLOOKUP(U59,Assumptions!$A$7:$D$11,2,FALSE),0)</f>
        <v/>
      </c>
      <c r="W59" s="24">
        <f>MAX(0.5,IFERROR(VLOOKUP(U59,Assumptions!$A$7:$D$11,3,FALSE),3)+IFERROR(VLOOKUP(U59,Assumptions!$A$7:$D$11,4,FALSE),8)/2-IF(AN59="",0,YEAR(TODAY())-AN59))</f>
        <v/>
      </c>
      <c r="X59" s="21">
        <f>T59*V59/(1+Assumptions!$B$3)^W59</f>
        <v/>
      </c>
      <c r="Y59" s="25">
        <f>IF(T59=0,"",ROUND(X59/T59*100,1))</f>
        <v/>
      </c>
      <c r="Z59" s="26">
        <f>X59*Assumptions!$B$4</f>
        <v/>
      </c>
      <c r="AA59" s="25">
        <f>IF(T59=0,"",ROUND(Z59/T59*100,1))</f>
        <v/>
      </c>
      <c r="AB59" s="26">
        <f>X59-Z59</f>
        <v/>
      </c>
      <c r="AC59" s="25">
        <f>IF(T59=0,"",ROUND((X59-Z59)/T59*100,1))</f>
        <v/>
      </c>
      <c r="AD59" s="27" t="inlineStr">
        <is>
          <t>UNKNOWN</t>
        </is>
      </c>
      <c r="AE59" s="28" t="inlineStr">
        <is>
          <t>https://scalzilliaj.com.br/sgc/download.php?file=files/processo_documento/processo_documento09514021082025_1_.pdf&amp;nome=04 - Relação de credores das Recuperandas</t>
        </is>
      </c>
      <c r="AF59" s="27" t="inlineStr">
        <is>
          <t>p61 r1</t>
        </is>
      </c>
      <c r="AG59" s="27" t="inlineStr">
        <is>
          <t>p61: R$ 15.143.906,34</t>
        </is>
      </c>
      <c r="AH59" s="27" t="inlineStr">
        <is>
          <t>DEBTOR_LIST</t>
        </is>
      </c>
      <c r="AI59" s="27" t="inlineStr"/>
      <c r="AJ59" s="27" t="inlineStr">
        <is>
          <t>OK</t>
        </is>
      </c>
      <c r="AK59" s="29" t="inlineStr">
        <is>
          <t>(not printed)</t>
        </is>
      </c>
      <c r="AL59" s="29" t="inlineStr"/>
      <c r="AM59" s="29" t="inlineStr"/>
      <c r="AN59" s="29" t="inlineStr"/>
      <c r="AO59" s="29" t="inlineStr">
        <is>
          <t>RJ case number not identified on the document</t>
        </is>
      </c>
      <c r="AP59" s="29" t="inlineStr">
        <is>
          <t>BELO HORIZONTE</t>
        </is>
      </c>
      <c r="AQ59" s="29" t="inlineStr">
        <is>
          <t>MG</t>
        </is>
      </c>
      <c r="AR59" s="29" t="inlineStr">
        <is>
          <t>Holdings de instituições não-financeiras</t>
        </is>
      </c>
      <c r="AS59" s="29" t="inlineStr">
        <is>
          <t>DEMAIS</t>
        </is>
      </c>
      <c r="AT59" s="29" t="inlineStr">
        <is>
          <t>MID-MARKET</t>
        </is>
      </c>
      <c r="AU59" s="29" t="inlineStr">
        <is>
          <t>38725768</t>
        </is>
      </c>
      <c r="AV59" s="29" t="n">
        <v>1</v>
      </c>
      <c r="AW59" s="29" t="inlineStr">
        <is>
          <t>ROWS:p61r1 VALUE_COL:Valor_Atualizado CASE_NUMBER_CORRECTED</t>
        </is>
      </c>
    </row>
    <row r="60">
      <c r="A60" s="15" t="inlineStr">
        <is>
          <t>COOPERATIVA DE CREDITO POUPANCA E INVESTIMENTO NOSSA TERRA SICREDI NOSSA TERRA PRSP</t>
        </is>
      </c>
      <c r="B60" s="16" t="n">
        <v>7666039.9</v>
      </c>
      <c r="C60" s="17" t="inlineStr">
        <is>
          <t>Cerealista Sa</t>
        </is>
      </c>
      <c r="D60" s="18" t="inlineStr">
        <is>
          <t>NEW</t>
        </is>
      </c>
      <c r="E60" s="19" t="inlineStr"/>
      <c r="F60" s="18" t="inlineStr"/>
      <c r="G60" s="19" t="inlineStr"/>
      <c r="H60" s="18" t="inlineStr"/>
      <c r="I60" s="20" t="inlineStr"/>
      <c r="J60" s="20" t="inlineStr"/>
      <c r="K60" s="20" t="inlineStr"/>
      <c r="L60" s="20" t="inlineStr"/>
      <c r="M60" s="20" t="inlineStr"/>
      <c r="N60" s="20" t="inlineStr"/>
      <c r="O60" s="20" t="inlineStr"/>
      <c r="P60" s="20" t="inlineStr"/>
      <c r="Q60" s="20" t="inlineStr"/>
      <c r="R60" s="20" t="inlineStr"/>
      <c r="S60" s="20" t="inlineStr"/>
      <c r="T60" s="21" t="n">
        <v>7666039.9</v>
      </c>
      <c r="U60" s="22" t="inlineStr">
        <is>
          <t>B</t>
        </is>
      </c>
      <c r="V60" s="23">
        <f>IFERROR(VLOOKUP(U60,Assumptions!$A$7:$D$11,2,FALSE),0)</f>
        <v/>
      </c>
      <c r="W60" s="24">
        <f>MAX(0.5,IFERROR(VLOOKUP(U60,Assumptions!$A$7:$D$11,3,FALSE),3)+IFERROR(VLOOKUP(U60,Assumptions!$A$7:$D$11,4,FALSE),8)/2-IF(AN60="",0,YEAR(TODAY())-AN60))</f>
        <v/>
      </c>
      <c r="X60" s="21">
        <f>T60*V60/(1+Assumptions!$B$3)^W60</f>
        <v/>
      </c>
      <c r="Y60" s="25">
        <f>IF(T60=0,"",ROUND(X60/T60*100,1))</f>
        <v/>
      </c>
      <c r="Z60" s="26">
        <f>X60*Assumptions!$B$4</f>
        <v/>
      </c>
      <c r="AA60" s="25">
        <f>IF(T60=0,"",ROUND(Z60/T60*100,1))</f>
        <v/>
      </c>
      <c r="AB60" s="26">
        <f>X60-Z60</f>
        <v/>
      </c>
      <c r="AC60" s="25">
        <f>IF(T60=0,"",ROUND((X60-Z60)/T60*100,1))</f>
        <v/>
      </c>
      <c r="AD60" s="27" t="inlineStr">
        <is>
          <t>ESTIMATED</t>
        </is>
      </c>
      <c r="AE60" s="28" t="inlineStr">
        <is>
          <t>https://ajruiz.com.br/sites/default/files/public/arquivos-processos/2026-01/safrasul_relacao_de_credores_recuperanda.pdf</t>
        </is>
      </c>
      <c r="AF60" s="27" t="inlineStr">
        <is>
          <t>p8 r10; p8 r11; p8 r12; p8 r13</t>
        </is>
      </c>
      <c r="AG60" s="27" t="inlineStr">
        <is>
          <t>p8: R$ 5.000.000,00; p8: R$ 2.348.039,90; p8: R$ 288.000,00; p8: R$ 30.000,00</t>
        </is>
      </c>
      <c r="AH60" s="27" t="inlineStr">
        <is>
          <t>AJ_LIST</t>
        </is>
      </c>
      <c r="AI60" s="27" t="inlineStr">
        <is>
          <t>2026-01-14</t>
        </is>
      </c>
      <c r="AJ60" s="27" t="inlineStr">
        <is>
          <t>OK_NO_TOTALS</t>
        </is>
      </c>
      <c r="AK60" s="29" t="inlineStr">
        <is>
          <t>4000167-23.2025.8.26.0373</t>
        </is>
      </c>
      <c r="AL60" s="29" t="inlineStr">
        <is>
          <t>TJSP</t>
        </is>
      </c>
      <c r="AM60" s="29" t="inlineStr">
        <is>
          <t>ACTIVE</t>
        </is>
      </c>
      <c r="AN60" s="29" t="n">
        <v>2025</v>
      </c>
      <c r="AO60" s="29" t="inlineStr">
        <is>
          <t>live case, no plan document yet</t>
        </is>
      </c>
      <c r="AP60" s="29" t="inlineStr"/>
      <c r="AQ60" s="29" t="inlineStr"/>
      <c r="AR60" s="29" t="inlineStr"/>
      <c r="AS60" s="29" t="inlineStr"/>
      <c r="AT60" s="29" t="inlineStr">
        <is>
          <t>MID-MARKET</t>
        </is>
      </c>
      <c r="AU60" s="29" t="inlineStr">
        <is>
          <t>81192106</t>
        </is>
      </c>
      <c r="AV60" s="29" t="n">
        <v>4</v>
      </c>
      <c r="AW60" s="29" t="inlineStr">
        <is>
          <t>LIKELY_FINANCIAL_BY_NAME ROWS:p8r10,p8r11,p8r12,p8r13 UNRECONCILED_SOURCE</t>
        </is>
      </c>
    </row>
    <row r="61">
      <c r="A61" s="15" t="inlineStr">
        <is>
          <t>CAIXA ECONOMICA FEDERAL</t>
        </is>
      </c>
      <c r="B61" s="16" t="n">
        <v>4902057.29</v>
      </c>
      <c r="C61" s="17" t="inlineStr">
        <is>
          <t>civilmente LTDA</t>
        </is>
      </c>
      <c r="D61" s="18" t="inlineStr">
        <is>
          <t>NEW</t>
        </is>
      </c>
      <c r="E61" s="19" t="inlineStr"/>
      <c r="F61" s="18" t="inlineStr"/>
      <c r="G61" s="19" t="inlineStr"/>
      <c r="H61" s="18" t="inlineStr"/>
      <c r="I61" s="20" t="inlineStr">
        <is>
          <t>ADRIANO ASSIS MATIAS</t>
        </is>
      </c>
      <c r="J61" s="20" t="inlineStr">
        <is>
          <t>Administrador</t>
        </is>
      </c>
      <c r="K61" s="20" t="inlineStr">
        <is>
          <t>(00) 4004-0104</t>
        </is>
      </c>
      <c r="L61" s="20" t="inlineStr"/>
      <c r="M61" s="20" t="inlineStr"/>
      <c r="N61" s="20" t="inlineStr"/>
      <c r="O61" s="20" t="inlineStr"/>
      <c r="P61" s="20" t="inlineStr">
        <is>
          <t>HENRIETE ALEXANDRA SARTORI BERNABE</t>
        </is>
      </c>
      <c r="Q61" s="20" t="inlineStr">
        <is>
          <t>Administrador</t>
        </is>
      </c>
      <c r="R61" s="20" t="inlineStr">
        <is>
          <t>(00) 4004-0104</t>
        </is>
      </c>
      <c r="S61" s="20" t="inlineStr"/>
      <c r="T61" s="21" t="n">
        <v>4902057.29</v>
      </c>
      <c r="U61" s="22" t="inlineStr">
        <is>
          <t>B</t>
        </is>
      </c>
      <c r="V61" s="23">
        <f>IFERROR(VLOOKUP(U61,Assumptions!$A$7:$D$11,2,FALSE),0)</f>
        <v/>
      </c>
      <c r="W61" s="24">
        <f>MAX(0.5,IFERROR(VLOOKUP(U61,Assumptions!$A$7:$D$11,3,FALSE),3)+IFERROR(VLOOKUP(U61,Assumptions!$A$7:$D$11,4,FALSE),8)/2-IF(AN61="",0,YEAR(TODAY())-AN61))</f>
        <v/>
      </c>
      <c r="X61" s="21">
        <f>T61*V61/(1+Assumptions!$B$3)^W61</f>
        <v/>
      </c>
      <c r="Y61" s="25">
        <f>IF(T61=0,"",ROUND(X61/T61*100,1))</f>
        <v/>
      </c>
      <c r="Z61" s="26">
        <f>X61*Assumptions!$B$4</f>
        <v/>
      </c>
      <c r="AA61" s="25">
        <f>IF(T61=0,"",ROUND(Z61/T61*100,1))</f>
        <v/>
      </c>
      <c r="AB61" s="26">
        <f>X61-Z61</f>
        <v/>
      </c>
      <c r="AC61" s="25">
        <f>IF(T61=0,"",ROUND((X61-Z61)/T61*100,1))</f>
        <v/>
      </c>
      <c r="AD61" s="27" t="inlineStr">
        <is>
          <t>ESTIMATED</t>
        </is>
      </c>
      <c r="AE61" s="28" t="inlineStr">
        <is>
          <t>http://recuperacaojudicial.squarespace.com/s/LISTA-DE-CREDORES-CONSOLIDADA-ATE-04102024.pdf</t>
        </is>
      </c>
      <c r="AF61" s="27" t="inlineStr">
        <is>
          <t>p6 r10; p8 r10</t>
        </is>
      </c>
      <c r="AG61" s="27" t="inlineStr">
        <is>
          <t>p6: R$ 4.155.025,49; p8: R$ 747.031,80</t>
        </is>
      </c>
      <c r="AH61" s="27" t="inlineStr">
        <is>
          <t>AJ_LIST</t>
        </is>
      </c>
      <c r="AI61" s="27" t="inlineStr">
        <is>
          <t>2024-10-04</t>
        </is>
      </c>
      <c r="AJ61" s="27" t="inlineStr">
        <is>
          <t>OK</t>
        </is>
      </c>
      <c r="AK61" s="29" t="inlineStr">
        <is>
          <t>0800778-16.2023.8.20.5104</t>
        </is>
      </c>
      <c r="AL61" s="29" t="inlineStr">
        <is>
          <t>TJRN</t>
        </is>
      </c>
      <c r="AM61" s="29" t="inlineStr">
        <is>
          <t>ACTIVE</t>
        </is>
      </c>
      <c r="AN61" s="29" t="n">
        <v>2023</v>
      </c>
      <c r="AO61" s="29" t="inlineStr">
        <is>
          <t>live case, no plan document yet</t>
        </is>
      </c>
      <c r="AP61" s="29" t="inlineStr">
        <is>
          <t>BRASILIA</t>
        </is>
      </c>
      <c r="AQ61" s="29" t="inlineStr">
        <is>
          <t>DF</t>
        </is>
      </c>
      <c r="AR61" s="29" t="inlineStr">
        <is>
          <t>Caixas econômicas</t>
        </is>
      </c>
      <c r="AS61" s="29" t="inlineStr">
        <is>
          <t>DEMAIS</t>
        </is>
      </c>
      <c r="AT61" s="29" t="inlineStr">
        <is>
          <t>LARGE CORP</t>
        </is>
      </c>
      <c r="AU61" s="29" t="inlineStr">
        <is>
          <t>00360305</t>
        </is>
      </c>
      <c r="AV61" s="29" t="n">
        <v>2</v>
      </c>
      <c r="AW61" s="29" t="inlineStr">
        <is>
          <t>LIKELY_FINANCIAL_BY_NAME ROWS:p6r10,p8r10 VALUE_COL:Valor_Do_Crédito</t>
        </is>
      </c>
    </row>
    <row r="62">
      <c r="A62" s="15" t="inlineStr">
        <is>
          <t>BANCO SANTANDER (BRASIL) S.A.</t>
        </is>
      </c>
      <c r="B62" s="16" t="n">
        <v>5449019.47</v>
      </c>
      <c r="C62" s="17" t="inlineStr"/>
      <c r="D62" s="18" t="inlineStr">
        <is>
          <t>NEW</t>
        </is>
      </c>
      <c r="E62" s="19" t="inlineStr"/>
      <c r="F62" s="18" t="inlineStr"/>
      <c r="G62" s="19" t="inlineStr"/>
      <c r="H62" s="18" t="inlineStr"/>
      <c r="I62" s="20" t="inlineStr">
        <is>
          <t>GILSON FINKELSZTAIN</t>
        </is>
      </c>
      <c r="J62" s="20" t="inlineStr">
        <is>
          <t>Presidente</t>
        </is>
      </c>
      <c r="K62" s="20" t="inlineStr">
        <is>
          <t>(11) 4004-3535</t>
        </is>
      </c>
      <c r="L62" s="20" t="inlineStr"/>
      <c r="M62" s="20" t="inlineStr"/>
      <c r="N62" s="20" t="inlineStr"/>
      <c r="O62" s="20" t="inlineStr"/>
      <c r="P62" s="20" t="inlineStr">
        <is>
          <t>ALESSANDRO CHAGAS FARIAS</t>
        </is>
      </c>
      <c r="Q62" s="20" t="inlineStr">
        <is>
          <t>Diretor</t>
        </is>
      </c>
      <c r="R62" s="20" t="inlineStr">
        <is>
          <t>(11) 4004-3535</t>
        </is>
      </c>
      <c r="S62" s="20" t="inlineStr"/>
      <c r="T62" s="21" t="n">
        <v>5449019.47</v>
      </c>
      <c r="U62" s="31" t="inlineStr">
        <is>
          <t>C</t>
        </is>
      </c>
      <c r="V62" s="23">
        <f>IFERROR(VLOOKUP(U62,Assumptions!$A$7:$D$11,2,FALSE),0)</f>
        <v/>
      </c>
      <c r="W62" s="24">
        <f>MAX(0.5,IFERROR(VLOOKUP(U62,Assumptions!$A$7:$D$11,3,FALSE),3)+IFERROR(VLOOKUP(U62,Assumptions!$A$7:$D$11,4,FALSE),8)/2-IF(AN62="",0,YEAR(TODAY())-AN62))</f>
        <v/>
      </c>
      <c r="X62" s="21">
        <f>T62*V62/(1+Assumptions!$B$3)^W62</f>
        <v/>
      </c>
      <c r="Y62" s="25">
        <f>IF(T62=0,"",ROUND(X62/T62*100,1))</f>
        <v/>
      </c>
      <c r="Z62" s="26">
        <f>X62*Assumptions!$B$4</f>
        <v/>
      </c>
      <c r="AA62" s="25">
        <f>IF(T62=0,"",ROUND(Z62/T62*100,1))</f>
        <v/>
      </c>
      <c r="AB62" s="26">
        <f>X62-Z62</f>
        <v/>
      </c>
      <c r="AC62" s="25">
        <f>IF(T62=0,"",ROUND((X62-Z62)/T62*100,1))</f>
        <v/>
      </c>
      <c r="AD62" s="27" t="inlineStr">
        <is>
          <t>UNKNOWN</t>
        </is>
      </c>
      <c r="AE62" s="28" t="inlineStr">
        <is>
          <t>https://administradorajudicialgs.com.br/wp-content/uploads/2024/12/relacao-de-credores-da-falida.pdf</t>
        </is>
      </c>
      <c r="AF62" s="27" t="inlineStr">
        <is>
          <t>p13 r9</t>
        </is>
      </c>
      <c r="AG62" s="27" t="inlineStr">
        <is>
          <t>p13: R$ 5.449.019,47</t>
        </is>
      </c>
      <c r="AH62" s="27" t="inlineStr">
        <is>
          <t>UNKNOWN</t>
        </is>
      </c>
      <c r="AI62" s="27" t="inlineStr">
        <is>
          <t>2025-03-25</t>
        </is>
      </c>
      <c r="AJ62" s="27" t="inlineStr">
        <is>
          <t>OK_NO_TOTALS</t>
        </is>
      </c>
      <c r="AK62" s="29" t="inlineStr">
        <is>
          <t>0005010-50.2013.8.24.0026</t>
        </is>
      </c>
      <c r="AL62" s="29" t="inlineStr">
        <is>
          <t>TJ</t>
        </is>
      </c>
      <c r="AM62" s="29" t="inlineStr"/>
      <c r="AN62" s="29" t="n">
        <v>2013</v>
      </c>
      <c r="AO62" s="29" t="inlineStr">
        <is>
          <t>13y since filing, no plan document</t>
        </is>
      </c>
      <c r="AP62" s="29" t="inlineStr">
        <is>
          <t>SAO PAULO</t>
        </is>
      </c>
      <c r="AQ62" s="29" t="inlineStr">
        <is>
          <t>SP</t>
        </is>
      </c>
      <c r="AR62" s="29" t="inlineStr">
        <is>
          <t>Bancos múltiplos, com carteira comercial</t>
        </is>
      </c>
      <c r="AS62" s="29" t="inlineStr">
        <is>
          <t>DEMAIS</t>
        </is>
      </c>
      <c r="AT62" s="29" t="inlineStr">
        <is>
          <t>LARGE CORP</t>
        </is>
      </c>
      <c r="AU62" s="29" t="inlineStr">
        <is>
          <t>90400888</t>
        </is>
      </c>
      <c r="AV62" s="29" t="n">
        <v>1</v>
      </c>
      <c r="AW62" s="29" t="inlineStr">
        <is>
          <t>LIKELY_FINANCIAL_BY_NAME ROWS:p13r9 UNRECONCILED_SOURCE</t>
        </is>
      </c>
    </row>
    <row r="63">
      <c r="A63" s="15" t="inlineStr">
        <is>
          <t>BANCO DO BRASIL SA</t>
        </is>
      </c>
      <c r="B63" s="16" t="n">
        <v>4749717.54</v>
      </c>
      <c r="C63" s="17" t="inlineStr">
        <is>
          <t>civilmente LTDA</t>
        </is>
      </c>
      <c r="D63" s="18" t="inlineStr">
        <is>
          <t>NEW</t>
        </is>
      </c>
      <c r="E63" s="19" t="inlineStr"/>
      <c r="F63" s="18" t="inlineStr"/>
      <c r="G63" s="19" t="inlineStr"/>
      <c r="H63" s="18" t="inlineStr"/>
      <c r="I63" s="20" t="inlineStr">
        <is>
          <t>TARCIANA PAULA GOMES MEDEIROS</t>
        </is>
      </c>
      <c r="J63" s="20" t="inlineStr">
        <is>
          <t>Presidente</t>
        </is>
      </c>
      <c r="K63" s="20" t="inlineStr">
        <is>
          <t>(61) 3493-9002</t>
        </is>
      </c>
      <c r="L63" s="20" t="inlineStr"/>
      <c r="M63" s="20" t="inlineStr"/>
      <c r="N63" s="20" t="inlineStr"/>
      <c r="O63" s="20" t="inlineStr"/>
      <c r="P63" s="20" t="inlineStr">
        <is>
          <t>ALAN CARLOS GUEDES DE OLIVEIRA</t>
        </is>
      </c>
      <c r="Q63" s="20" t="inlineStr">
        <is>
          <t>Diretor</t>
        </is>
      </c>
      <c r="R63" s="20" t="inlineStr">
        <is>
          <t>(61) 3493-9002</t>
        </is>
      </c>
      <c r="S63" s="20" t="inlineStr"/>
      <c r="T63" s="21" t="n">
        <v>4749717.54</v>
      </c>
      <c r="U63" s="22" t="inlineStr">
        <is>
          <t>B</t>
        </is>
      </c>
      <c r="V63" s="23">
        <f>IFERROR(VLOOKUP(U63,Assumptions!$A$7:$D$11,2,FALSE),0)</f>
        <v/>
      </c>
      <c r="W63" s="24">
        <f>MAX(0.5,IFERROR(VLOOKUP(U63,Assumptions!$A$7:$D$11,3,FALSE),3)+IFERROR(VLOOKUP(U63,Assumptions!$A$7:$D$11,4,FALSE),8)/2-IF(AN63="",0,YEAR(TODAY())-AN63))</f>
        <v/>
      </c>
      <c r="X63" s="21">
        <f>T63*V63/(1+Assumptions!$B$3)^W63</f>
        <v/>
      </c>
      <c r="Y63" s="25">
        <f>IF(T63=0,"",ROUND(X63/T63*100,1))</f>
        <v/>
      </c>
      <c r="Z63" s="26">
        <f>X63*Assumptions!$B$4</f>
        <v/>
      </c>
      <c r="AA63" s="25">
        <f>IF(T63=0,"",ROUND(Z63/T63*100,1))</f>
        <v/>
      </c>
      <c r="AB63" s="26">
        <f>X63-Z63</f>
        <v/>
      </c>
      <c r="AC63" s="25">
        <f>IF(T63=0,"",ROUND((X63-Z63)/T63*100,1))</f>
        <v/>
      </c>
      <c r="AD63" s="27" t="inlineStr">
        <is>
          <t>ESTIMATED</t>
        </is>
      </c>
      <c r="AE63" s="28" t="inlineStr">
        <is>
          <t>http://recuperacaojudicial.squarespace.com/s/LISTA-DE-CREDORES-CONSOLIDADA-ATE-04102024.pdf</t>
        </is>
      </c>
      <c r="AF63" s="27" t="inlineStr">
        <is>
          <t>p6 r4; p8 r6</t>
        </is>
      </c>
      <c r="AG63" s="27" t="inlineStr">
        <is>
          <t>p6: R$ 3.894.882,35; p8: R$ 854.835,19</t>
        </is>
      </c>
      <c r="AH63" s="27" t="inlineStr">
        <is>
          <t>AJ_LIST</t>
        </is>
      </c>
      <c r="AI63" s="27" t="inlineStr">
        <is>
          <t>2024-10-04</t>
        </is>
      </c>
      <c r="AJ63" s="27" t="inlineStr">
        <is>
          <t>OK</t>
        </is>
      </c>
      <c r="AK63" s="29" t="inlineStr">
        <is>
          <t>0800778-16.2023.8.20.5104</t>
        </is>
      </c>
      <c r="AL63" s="29" t="inlineStr">
        <is>
          <t>TJRN</t>
        </is>
      </c>
      <c r="AM63" s="29" t="inlineStr">
        <is>
          <t>ACTIVE</t>
        </is>
      </c>
      <c r="AN63" s="29" t="n">
        <v>2023</v>
      </c>
      <c r="AO63" s="29" t="inlineStr">
        <is>
          <t>live case, no plan document yet</t>
        </is>
      </c>
      <c r="AP63" s="29" t="inlineStr">
        <is>
          <t>BRASILIA</t>
        </is>
      </c>
      <c r="AQ63" s="29" t="inlineStr">
        <is>
          <t>DF</t>
        </is>
      </c>
      <c r="AR63" s="29" t="inlineStr">
        <is>
          <t>Bancos múltiplos, com carteira comercial</t>
        </is>
      </c>
      <c r="AS63" s="29" t="inlineStr">
        <is>
          <t>DEMAIS</t>
        </is>
      </c>
      <c r="AT63" s="29" t="inlineStr">
        <is>
          <t>LARGE CORP</t>
        </is>
      </c>
      <c r="AU63" s="29" t="inlineStr">
        <is>
          <t>00000000</t>
        </is>
      </c>
      <c r="AV63" s="29" t="n">
        <v>2</v>
      </c>
      <c r="AW63" s="29" t="inlineStr">
        <is>
          <t>LIKELY_FINANCIAL_BY_NAME ROWS:p6r4,p8r6 VALUE_COL:Valor_Do_Crédito</t>
        </is>
      </c>
    </row>
    <row r="64">
      <c r="A64" s="15" t="inlineStr">
        <is>
          <t>CAIXA ECONOMICA FEDERAL</t>
        </is>
      </c>
      <c r="B64" s="16" t="n">
        <v>4585036.12</v>
      </c>
      <c r="C64" s="17" t="inlineStr">
        <is>
          <t>Conduscabos Brasil Indústria Comércio de</t>
        </is>
      </c>
      <c r="D64" s="18" t="inlineStr">
        <is>
          <t>NEW</t>
        </is>
      </c>
      <c r="E64" s="19" t="inlineStr"/>
      <c r="F64" s="18" t="inlineStr"/>
      <c r="G64" s="19" t="inlineStr"/>
      <c r="H64" s="18" t="inlineStr"/>
      <c r="I64" s="20" t="inlineStr">
        <is>
          <t>ADRIANO ASSIS MATIAS</t>
        </is>
      </c>
      <c r="J64" s="20" t="inlineStr">
        <is>
          <t>Administrador</t>
        </is>
      </c>
      <c r="K64" s="20" t="inlineStr">
        <is>
          <t>(00) 4004-0104</t>
        </is>
      </c>
      <c r="L64" s="20" t="inlineStr"/>
      <c r="M64" s="20" t="inlineStr"/>
      <c r="N64" s="20" t="inlineStr"/>
      <c r="O64" s="20" t="inlineStr"/>
      <c r="P64" s="20" t="inlineStr">
        <is>
          <t>HENRIETE ALEXANDRA SARTORI BERNABE</t>
        </is>
      </c>
      <c r="Q64" s="20" t="inlineStr">
        <is>
          <t>Administrador</t>
        </is>
      </c>
      <c r="R64" s="20" t="inlineStr">
        <is>
          <t>(00) 4004-0104</t>
        </is>
      </c>
      <c r="S64" s="20" t="inlineStr"/>
      <c r="T64" s="21" t="n">
        <v>4585036.12</v>
      </c>
      <c r="U64" s="22" t="inlineStr">
        <is>
          <t>B</t>
        </is>
      </c>
      <c r="V64" s="23">
        <f>IFERROR(VLOOKUP(U64,Assumptions!$A$7:$D$11,2,FALSE),0)</f>
        <v/>
      </c>
      <c r="W64" s="24">
        <f>MAX(0.5,IFERROR(VLOOKUP(U64,Assumptions!$A$7:$D$11,3,FALSE),3)+IFERROR(VLOOKUP(U64,Assumptions!$A$7:$D$11,4,FALSE),8)/2-IF(AN64="",0,YEAR(TODAY())-AN64))</f>
        <v/>
      </c>
      <c r="X64" s="21">
        <f>T64*V64/(1+Assumptions!$B$3)^W64</f>
        <v/>
      </c>
      <c r="Y64" s="25">
        <f>IF(T64=0,"",ROUND(X64/T64*100,1))</f>
        <v/>
      </c>
      <c r="Z64" s="26">
        <f>X64*Assumptions!$B$4</f>
        <v/>
      </c>
      <c r="AA64" s="25">
        <f>IF(T64=0,"",ROUND(Z64/T64*100,1))</f>
        <v/>
      </c>
      <c r="AB64" s="26">
        <f>X64-Z64</f>
        <v/>
      </c>
      <c r="AC64" s="25">
        <f>IF(T64=0,"",ROUND((X64-Z64)/T64*100,1))</f>
        <v/>
      </c>
      <c r="AD64" s="27" t="inlineStr">
        <is>
          <t>ESTIMATED</t>
        </is>
      </c>
      <c r="AE64" s="28" t="inlineStr">
        <is>
          <t>https://assistjud.com.br/wp-content/uploads/elementor/forms/65098c80a5824.pdf</t>
        </is>
      </c>
      <c r="AF64" s="27" t="inlineStr">
        <is>
          <t>p6 r3; p17 r8</t>
        </is>
      </c>
      <c r="AG64" s="27" t="inlineStr">
        <is>
          <t>p6: R$ 2.911.118,12; p17: R$ 1.673.918,00</t>
        </is>
      </c>
      <c r="AH64" s="27" t="inlineStr">
        <is>
          <t>AJ_LIST</t>
        </is>
      </c>
      <c r="AI64" s="27" t="inlineStr">
        <is>
          <t>2023-09-18</t>
        </is>
      </c>
      <c r="AJ64" s="27" t="inlineStr">
        <is>
          <t>OK_NO_TOTALS</t>
        </is>
      </c>
      <c r="AK64" s="29" t="inlineStr">
        <is>
          <t>8005129-09.2023.8.05.0039</t>
        </is>
      </c>
      <c r="AL64" s="29" t="inlineStr">
        <is>
          <t>TJBA</t>
        </is>
      </c>
      <c r="AM64" s="29" t="inlineStr">
        <is>
          <t>ACTIVE</t>
        </is>
      </c>
      <c r="AN64" s="29" t="n">
        <v>2023</v>
      </c>
      <c r="AO64" s="29" t="inlineStr">
        <is>
          <t>live case, no plan document yet</t>
        </is>
      </c>
      <c r="AP64" s="29" t="inlineStr">
        <is>
          <t>BRASILIA</t>
        </is>
      </c>
      <c r="AQ64" s="29" t="inlineStr">
        <is>
          <t>DF</t>
        </is>
      </c>
      <c r="AR64" s="29" t="inlineStr">
        <is>
          <t>Caixas econômicas</t>
        </is>
      </c>
      <c r="AS64" s="29" t="inlineStr">
        <is>
          <t>DEMAIS</t>
        </is>
      </c>
      <c r="AT64" s="29" t="inlineStr">
        <is>
          <t>LARGE CORP</t>
        </is>
      </c>
      <c r="AU64" s="29" t="inlineStr">
        <is>
          <t>00360305</t>
        </is>
      </c>
      <c r="AV64" s="29" t="n">
        <v>2</v>
      </c>
      <c r="AW64" s="29" t="inlineStr">
        <is>
          <t>LIKELY_FINANCIAL_BY_NAME ROWS:p6r3,p17r8 UNRECONCILED_SOURCE VALUE_COL:Valor_Do_Crédito_2º_Edital_De_Credores</t>
        </is>
      </c>
    </row>
    <row r="65">
      <c r="A65" s="15" t="inlineStr">
        <is>
          <t>BANCO DO BRASIL SA</t>
        </is>
      </c>
      <c r="B65" s="16" t="n">
        <v>5244189.11</v>
      </c>
      <c r="C65" s="17" t="inlineStr"/>
      <c r="D65" s="18" t="inlineStr">
        <is>
          <t>NEW</t>
        </is>
      </c>
      <c r="E65" s="19" t="inlineStr"/>
      <c r="F65" s="18" t="inlineStr"/>
      <c r="G65" s="19" t="inlineStr"/>
      <c r="H65" s="18" t="inlineStr"/>
      <c r="I65" s="20" t="inlineStr">
        <is>
          <t>TARCIANA PAULA GOMES MEDEIROS</t>
        </is>
      </c>
      <c r="J65" s="20" t="inlineStr">
        <is>
          <t>Presidente</t>
        </is>
      </c>
      <c r="K65" s="20" t="inlineStr">
        <is>
          <t>(61) 3493-9002</t>
        </is>
      </c>
      <c r="L65" s="20" t="inlineStr"/>
      <c r="M65" s="20" t="inlineStr"/>
      <c r="N65" s="20" t="inlineStr"/>
      <c r="O65" s="20" t="inlineStr"/>
      <c r="P65" s="20" t="inlineStr">
        <is>
          <t>ALAN CARLOS GUEDES DE OLIVEIRA</t>
        </is>
      </c>
      <c r="Q65" s="20" t="inlineStr">
        <is>
          <t>Diretor</t>
        </is>
      </c>
      <c r="R65" s="20" t="inlineStr">
        <is>
          <t>(61) 3493-9002</t>
        </is>
      </c>
      <c r="S65" s="20" t="inlineStr"/>
      <c r="T65" s="21" t="n">
        <v>5244189.11</v>
      </c>
      <c r="U65" s="31" t="inlineStr">
        <is>
          <t>C</t>
        </is>
      </c>
      <c r="V65" s="23">
        <f>IFERROR(VLOOKUP(U65,Assumptions!$A$7:$D$11,2,FALSE),0)</f>
        <v/>
      </c>
      <c r="W65" s="24">
        <f>MAX(0.5,IFERROR(VLOOKUP(U65,Assumptions!$A$7:$D$11,3,FALSE),3)+IFERROR(VLOOKUP(U65,Assumptions!$A$7:$D$11,4,FALSE),8)/2-IF(AN65="",0,YEAR(TODAY())-AN65))</f>
        <v/>
      </c>
      <c r="X65" s="21">
        <f>T65*V65/(1+Assumptions!$B$3)^W65</f>
        <v/>
      </c>
      <c r="Y65" s="25">
        <f>IF(T65=0,"",ROUND(X65/T65*100,1))</f>
        <v/>
      </c>
      <c r="Z65" s="26">
        <f>X65*Assumptions!$B$4</f>
        <v/>
      </c>
      <c r="AA65" s="25">
        <f>IF(T65=0,"",ROUND(Z65/T65*100,1))</f>
        <v/>
      </c>
      <c r="AB65" s="26">
        <f>X65-Z65</f>
        <v/>
      </c>
      <c r="AC65" s="25">
        <f>IF(T65=0,"",ROUND((X65-Z65)/T65*100,1))</f>
        <v/>
      </c>
      <c r="AD65" s="27" t="inlineStr">
        <is>
          <t>UNKNOWN</t>
        </is>
      </c>
      <c r="AE65" s="28" t="inlineStr">
        <is>
          <t>https://administradorajudicialgs.com.br/wp-content/uploads/2024/12/relacao-de-credores-da-falida.pdf</t>
        </is>
      </c>
      <c r="AF65" s="27" t="inlineStr">
        <is>
          <t>p13 r4</t>
        </is>
      </c>
      <c r="AG65" s="27" t="inlineStr">
        <is>
          <t>p13: R$ 5.244.189,11</t>
        </is>
      </c>
      <c r="AH65" s="27" t="inlineStr">
        <is>
          <t>UNKNOWN</t>
        </is>
      </c>
      <c r="AI65" s="27" t="inlineStr">
        <is>
          <t>2025-03-25</t>
        </is>
      </c>
      <c r="AJ65" s="27" t="inlineStr">
        <is>
          <t>OK_NO_TOTALS</t>
        </is>
      </c>
      <c r="AK65" s="29" t="inlineStr">
        <is>
          <t>0005010-50.2013.8.24.0026</t>
        </is>
      </c>
      <c r="AL65" s="29" t="inlineStr">
        <is>
          <t>TJ</t>
        </is>
      </c>
      <c r="AM65" s="29" t="inlineStr"/>
      <c r="AN65" s="29" t="n">
        <v>2013</v>
      </c>
      <c r="AO65" s="29" t="inlineStr">
        <is>
          <t>13y since filing, no plan document</t>
        </is>
      </c>
      <c r="AP65" s="29" t="inlineStr">
        <is>
          <t>BRASILIA</t>
        </is>
      </c>
      <c r="AQ65" s="29" t="inlineStr">
        <is>
          <t>DF</t>
        </is>
      </c>
      <c r="AR65" s="29" t="inlineStr">
        <is>
          <t>Bancos múltiplos, com carteira comercial</t>
        </is>
      </c>
      <c r="AS65" s="29" t="inlineStr">
        <is>
          <t>DEMAIS</t>
        </is>
      </c>
      <c r="AT65" s="29" t="inlineStr">
        <is>
          <t>LARGE CORP</t>
        </is>
      </c>
      <c r="AU65" s="29" t="inlineStr">
        <is>
          <t>00000000</t>
        </is>
      </c>
      <c r="AV65" s="29" t="n">
        <v>1</v>
      </c>
      <c r="AW65" s="29" t="inlineStr">
        <is>
          <t>LIKELY_FINANCIAL_BY_NAME ROWS:p13r4 UNRECONCILED_SOURCE</t>
        </is>
      </c>
    </row>
    <row r="66">
      <c r="A66" s="15" t="inlineStr">
        <is>
          <t>BANCO VOTORANTIM S.A.</t>
        </is>
      </c>
      <c r="B66" s="16" t="n">
        <v>8555161.5</v>
      </c>
      <c r="C66" s="17" t="inlineStr">
        <is>
          <t>E FALENCIA</t>
        </is>
      </c>
      <c r="D66" s="18" t="inlineStr">
        <is>
          <t>NEW</t>
        </is>
      </c>
      <c r="E66" s="19" t="inlineStr"/>
      <c r="F66" s="18" t="inlineStr"/>
      <c r="G66" s="19" t="inlineStr"/>
      <c r="H66" s="18" t="inlineStr"/>
      <c r="I66" s="20" t="inlineStr">
        <is>
          <t>GUSTAVO HENRIQUE SANTOS DE SOUSA</t>
        </is>
      </c>
      <c r="J66" s="20" t="inlineStr">
        <is>
          <t>Presidente</t>
        </is>
      </c>
      <c r="K66" s="20" t="inlineStr">
        <is>
          <t>(11) 5171-2672</t>
        </is>
      </c>
      <c r="L66" s="20" t="inlineStr">
        <is>
          <t>(11) 5171-2488</t>
        </is>
      </c>
      <c r="M66" s="20" t="inlineStr"/>
      <c r="N66" s="20" t="inlineStr"/>
      <c r="O66" s="20" t="inlineStr"/>
      <c r="P66" s="20" t="inlineStr">
        <is>
          <t>ALBERTO WAGNER TEIXEIRA CAMPOS</t>
        </is>
      </c>
      <c r="Q66" s="20" t="inlineStr">
        <is>
          <t>Diretor</t>
        </is>
      </c>
      <c r="R66" s="20" t="inlineStr">
        <is>
          <t>(11) 5171-2488</t>
        </is>
      </c>
      <c r="S66" s="20" t="inlineStr"/>
      <c r="T66" s="21" t="n">
        <v>8555161.5</v>
      </c>
      <c r="U66" s="22" t="inlineStr">
        <is>
          <t>B</t>
        </is>
      </c>
      <c r="V66" s="23">
        <f>IFERROR(VLOOKUP(U66,Assumptions!$A$7:$D$11,2,FALSE),0)</f>
        <v/>
      </c>
      <c r="W66" s="24">
        <f>MAX(0.5,IFERROR(VLOOKUP(U66,Assumptions!$A$7:$D$11,3,FALSE),3)+IFERROR(VLOOKUP(U66,Assumptions!$A$7:$D$11,4,FALSE),8)/2-IF(AN66="",0,YEAR(TODAY())-AN66))</f>
        <v/>
      </c>
      <c r="X66" s="21">
        <f>T66*V66/(1+Assumptions!$B$3)^W66</f>
        <v/>
      </c>
      <c r="Y66" s="25">
        <f>IF(T66=0,"",ROUND(X66/T66*100,1))</f>
        <v/>
      </c>
      <c r="Z66" s="26">
        <f>X66*Assumptions!$B$4</f>
        <v/>
      </c>
      <c r="AA66" s="25">
        <f>IF(T66=0,"",ROUND(Z66/T66*100,1))</f>
        <v/>
      </c>
      <c r="AB66" s="26">
        <f>X66-Z66</f>
        <v/>
      </c>
      <c r="AC66" s="25">
        <f>IF(T66=0,"",ROUND((X66-Z66)/T66*100,1))</f>
        <v/>
      </c>
      <c r="AD66" s="27" t="inlineStr">
        <is>
          <t>ESTIMATED</t>
        </is>
      </c>
      <c r="AE66" s="28" t="inlineStr">
        <is>
          <t>https://recuperasolucoes.com/wp-content/plugins/download-attachments/includes/download.php?id=1597</t>
        </is>
      </c>
      <c r="AF66" s="27" t="inlineStr">
        <is>
          <t>p13 r24</t>
        </is>
      </c>
      <c r="AG66" s="27" t="inlineStr">
        <is>
          <t>p13: R$ 8.555.161,50</t>
        </is>
      </c>
      <c r="AH66" s="27" t="inlineStr">
        <is>
          <t>DEBTOR_LIST</t>
        </is>
      </c>
      <c r="AI66" s="27" t="inlineStr">
        <is>
          <t>2026-05-21</t>
        </is>
      </c>
      <c r="AJ66" s="27" t="inlineStr">
        <is>
          <t>OK</t>
        </is>
      </c>
      <c r="AK66" s="29" t="inlineStr">
        <is>
          <t>0001639-09.2026.8.17.2810</t>
        </is>
      </c>
      <c r="AL66" s="29" t="inlineStr">
        <is>
          <t>TJPE</t>
        </is>
      </c>
      <c r="AM66" s="29" t="inlineStr">
        <is>
          <t>ACTIVE</t>
        </is>
      </c>
      <c r="AN66" s="29" t="n">
        <v>2026</v>
      </c>
      <c r="AO66" s="29" t="inlineStr">
        <is>
          <t>live case, no plan document yet</t>
        </is>
      </c>
      <c r="AP66" s="29" t="inlineStr">
        <is>
          <t>SAO PAULO</t>
        </is>
      </c>
      <c r="AQ66" s="29" t="inlineStr">
        <is>
          <t>SP</t>
        </is>
      </c>
      <c r="AR66" s="29" t="inlineStr">
        <is>
          <t>Bancos múltiplos, com carteira comercial</t>
        </is>
      </c>
      <c r="AS66" s="29" t="inlineStr">
        <is>
          <t>DEMAIS</t>
        </is>
      </c>
      <c r="AT66" s="29" t="inlineStr">
        <is>
          <t>LARGE CORP</t>
        </is>
      </c>
      <c r="AU66" s="29" t="inlineStr">
        <is>
          <t>59588111</t>
        </is>
      </c>
      <c r="AV66" s="29" t="n">
        <v>1</v>
      </c>
      <c r="AW66" s="29" t="inlineStr">
        <is>
          <t>ROWS:p13r24</t>
        </is>
      </c>
    </row>
    <row r="67">
      <c r="A67" s="15" t="inlineStr">
        <is>
          <t>BANCO BRADESCO S.A.</t>
        </is>
      </c>
      <c r="B67" s="16" t="n">
        <v>5470219.17</v>
      </c>
      <c r="C67" s="17" t="inlineStr">
        <is>
          <t>GRUPO ADLIM – LRF Líderes em Recuperação Judicial e Falência</t>
        </is>
      </c>
      <c r="D67" s="18" t="inlineStr">
        <is>
          <t>NEW</t>
        </is>
      </c>
      <c r="E67" s="19" t="inlineStr"/>
      <c r="F67" s="18" t="inlineStr"/>
      <c r="G67" s="19" t="inlineStr"/>
      <c r="H67" s="18" t="inlineStr"/>
      <c r="I67" s="20" t="inlineStr">
        <is>
          <t>MARCELO DE ARAUJO NORONHA</t>
        </is>
      </c>
      <c r="J67" s="20" t="inlineStr">
        <is>
          <t>Presidente</t>
        </is>
      </c>
      <c r="K67" s="20" t="inlineStr">
        <is>
          <t>(11) 3684-5122</t>
        </is>
      </c>
      <c r="L67" s="20" t="inlineStr"/>
      <c r="M67" s="20" t="inlineStr"/>
      <c r="N67" s="20" t="inlineStr"/>
      <c r="O67" s="20" t="inlineStr"/>
      <c r="P67" s="20" t="inlineStr">
        <is>
          <t>AFRANIO CARLOS CAMARGO DANTZGER</t>
        </is>
      </c>
      <c r="Q67" s="20" t="inlineStr">
        <is>
          <t>Diretor</t>
        </is>
      </c>
      <c r="R67" s="20" t="inlineStr">
        <is>
          <t>(11) 3684-5122</t>
        </is>
      </c>
      <c r="S67" s="20" t="inlineStr"/>
      <c r="T67" s="21" t="n">
        <v>5470219.17</v>
      </c>
      <c r="U67" s="22" t="inlineStr">
        <is>
          <t>B</t>
        </is>
      </c>
      <c r="V67" s="23">
        <f>IFERROR(VLOOKUP(U67,Assumptions!$A$7:$D$11,2,FALSE),0)</f>
        <v/>
      </c>
      <c r="W67" s="24">
        <f>MAX(0.5,IFERROR(VLOOKUP(U67,Assumptions!$A$7:$D$11,3,FALSE),3)+IFERROR(VLOOKUP(U67,Assumptions!$A$7:$D$11,4,FALSE),8)/2-IF(AN67="",0,YEAR(TODAY())-AN67))</f>
        <v/>
      </c>
      <c r="X67" s="21">
        <f>T67*V67/(1+Assumptions!$B$3)^W67</f>
        <v/>
      </c>
      <c r="Y67" s="25">
        <f>IF(T67=0,"",ROUND(X67/T67*100,1))</f>
        <v/>
      </c>
      <c r="Z67" s="26">
        <f>X67*Assumptions!$B$4</f>
        <v/>
      </c>
      <c r="AA67" s="25">
        <f>IF(T67=0,"",ROUND(Z67/T67*100,1))</f>
        <v/>
      </c>
      <c r="AB67" s="26">
        <f>X67-Z67</f>
        <v/>
      </c>
      <c r="AC67" s="25">
        <f>IF(T67=0,"",ROUND((X67-Z67)/T67*100,1))</f>
        <v/>
      </c>
      <c r="AD67" s="27" t="inlineStr">
        <is>
          <t>ESTIMATED</t>
        </is>
      </c>
      <c r="AE67" s="28" t="inlineStr">
        <is>
          <t>https://lrflideres.com.br/wp-content/plugins/download-attachments/includes/download.php?id=6051</t>
        </is>
      </c>
      <c r="AF67" s="27" t="inlineStr">
        <is>
          <t>p66 r68; p97 r20</t>
        </is>
      </c>
      <c r="AG67" s="27" t="inlineStr">
        <is>
          <t>p66: R$ 3928863,43; p97: R$ 1541355,74</t>
        </is>
      </c>
      <c r="AH67" s="27" t="inlineStr">
        <is>
          <t>AJ_LIST</t>
        </is>
      </c>
      <c r="AI67" s="27" t="inlineStr">
        <is>
          <t>2024-08-12</t>
        </is>
      </c>
      <c r="AJ67" s="27" t="inlineStr">
        <is>
          <t>QUARANTINED</t>
        </is>
      </c>
      <c r="AK67" s="29" t="inlineStr">
        <is>
          <t>0019761-43.2024.8.17.2001</t>
        </is>
      </c>
      <c r="AL67" s="29" t="inlineStr">
        <is>
          <t>TJPE</t>
        </is>
      </c>
      <c r="AM67" s="29" t="inlineStr">
        <is>
          <t>ACTIVE</t>
        </is>
      </c>
      <c r="AN67" s="29" t="n">
        <v>2024</v>
      </c>
      <c r="AO67" s="29" t="inlineStr">
        <is>
          <t>live case, no plan document yet</t>
        </is>
      </c>
      <c r="AP67" s="29" t="inlineStr">
        <is>
          <t>OSASCO</t>
        </is>
      </c>
      <c r="AQ67" s="29" t="inlineStr">
        <is>
          <t>SP</t>
        </is>
      </c>
      <c r="AR67" s="29" t="inlineStr">
        <is>
          <t>Bancos múltiplos, com carteira comercial</t>
        </is>
      </c>
      <c r="AS67" s="29" t="inlineStr">
        <is>
          <t>DEMAIS</t>
        </is>
      </c>
      <c r="AT67" s="29" t="inlineStr">
        <is>
          <t>LARGE CORP</t>
        </is>
      </c>
      <c r="AU67" s="29" t="inlineStr">
        <is>
          <t>60746948</t>
        </is>
      </c>
      <c r="AV67" s="29" t="n">
        <v>2</v>
      </c>
      <c r="AW67" s="29" t="inlineStr">
        <is>
          <t>LIKELY_FINANCIAL_BY_NAME PARTIAL_DOC_CLASS_III_RECONCILED ROWS:p66r68,p97r20</t>
        </is>
      </c>
    </row>
    <row r="68">
      <c r="A68" s="15" t="inlineStr">
        <is>
          <t>BANCO BRADESCO S.A.</t>
        </is>
      </c>
      <c r="B68" s="16" t="n">
        <v>6831802.56</v>
      </c>
      <c r="C68" s="17" t="inlineStr">
        <is>
          <t>GRUPO TSI BRASIL LTDA</t>
        </is>
      </c>
      <c r="D68" s="18" t="inlineStr">
        <is>
          <t>NEW</t>
        </is>
      </c>
      <c r="E68" s="19" t="inlineStr"/>
      <c r="F68" s="18" t="inlineStr"/>
      <c r="G68" s="19" t="inlineStr"/>
      <c r="H68" s="18" t="inlineStr"/>
      <c r="I68" s="20" t="inlineStr">
        <is>
          <t>MARCELO DE ARAUJO NORONHA</t>
        </is>
      </c>
      <c r="J68" s="20" t="inlineStr">
        <is>
          <t>Presidente</t>
        </is>
      </c>
      <c r="K68" s="20" t="inlineStr">
        <is>
          <t>(11) 3684-5122</t>
        </is>
      </c>
      <c r="L68" s="20" t="inlineStr"/>
      <c r="M68" s="20" t="inlineStr"/>
      <c r="N68" s="20" t="inlineStr"/>
      <c r="O68" s="20" t="inlineStr"/>
      <c r="P68" s="20" t="inlineStr">
        <is>
          <t>AFRANIO CARLOS CAMARGO DANTZGER</t>
        </is>
      </c>
      <c r="Q68" s="20" t="inlineStr">
        <is>
          <t>Diretor</t>
        </is>
      </c>
      <c r="R68" s="20" t="inlineStr">
        <is>
          <t>(11) 3684-5122</t>
        </is>
      </c>
      <c r="S68" s="20" t="inlineStr"/>
      <c r="T68" s="21" t="n">
        <v>6831802.56</v>
      </c>
      <c r="U68" s="22" t="inlineStr">
        <is>
          <t>B</t>
        </is>
      </c>
      <c r="V68" s="23">
        <f>IFERROR(VLOOKUP(U68,Assumptions!$A$7:$D$11,2,FALSE),0)</f>
        <v/>
      </c>
      <c r="W68" s="24">
        <f>MAX(0.5,IFERROR(VLOOKUP(U68,Assumptions!$A$7:$D$11,3,FALSE),3)+IFERROR(VLOOKUP(U68,Assumptions!$A$7:$D$11,4,FALSE),8)/2-IF(AN68="",0,YEAR(TODAY())-AN68))</f>
        <v/>
      </c>
      <c r="X68" s="21">
        <f>T68*V68/(1+Assumptions!$B$3)^W68</f>
        <v/>
      </c>
      <c r="Y68" s="25">
        <f>IF(T68=0,"",ROUND(X68/T68*100,1))</f>
        <v/>
      </c>
      <c r="Z68" s="26">
        <f>X68*Assumptions!$B$4</f>
        <v/>
      </c>
      <c r="AA68" s="25">
        <f>IF(T68=0,"",ROUND(Z68/T68*100,1))</f>
        <v/>
      </c>
      <c r="AB68" s="26">
        <f>X68-Z68</f>
        <v/>
      </c>
      <c r="AC68" s="25">
        <f>IF(T68=0,"",ROUND((X68-Z68)/T68*100,1))</f>
        <v/>
      </c>
      <c r="AD68" s="27" t="inlineStr">
        <is>
          <t>ESTIMATED</t>
        </is>
      </c>
      <c r="AE68" s="28" t="inlineStr">
        <is>
          <t>https://marquesadmjudicial.com.br/sgc/download.php?file=files/processo_documento/processo_documento09444722082025_1_.pdf&amp;nome=2° Edital - Relação de Credores AJ e PRJ</t>
        </is>
      </c>
      <c r="AF68" s="27" t="inlineStr">
        <is>
          <t>p2 r149</t>
        </is>
      </c>
      <c r="AG68" s="27" t="inlineStr">
        <is>
          <t>p2: R$ 6.831.802,56</t>
        </is>
      </c>
      <c r="AH68" s="27" t="inlineStr">
        <is>
          <t>AJ_LIST</t>
        </is>
      </c>
      <c r="AI68" s="27" t="inlineStr">
        <is>
          <t>2025-04-08</t>
        </is>
      </c>
      <c r="AJ68" s="27" t="inlineStr">
        <is>
          <t>OK_NO_TOTALS</t>
        </is>
      </c>
      <c r="AK68" s="29" t="inlineStr">
        <is>
          <t>0008897-71.2025.8.16.0017</t>
        </is>
      </c>
      <c r="AL68" s="29" t="inlineStr">
        <is>
          <t>TJPR</t>
        </is>
      </c>
      <c r="AM68" s="29" t="inlineStr">
        <is>
          <t>ACTIVE</t>
        </is>
      </c>
      <c r="AN68" s="29" t="n">
        <v>2025</v>
      </c>
      <c r="AO68" s="29" t="inlineStr">
        <is>
          <t>live case, no plan document yet</t>
        </is>
      </c>
      <c r="AP68" s="29" t="inlineStr">
        <is>
          <t>OSASCO</t>
        </is>
      </c>
      <c r="AQ68" s="29" t="inlineStr">
        <is>
          <t>SP</t>
        </is>
      </c>
      <c r="AR68" s="29" t="inlineStr">
        <is>
          <t>Bancos múltiplos, com carteira comercial</t>
        </is>
      </c>
      <c r="AS68" s="29" t="inlineStr">
        <is>
          <t>DEMAIS</t>
        </is>
      </c>
      <c r="AT68" s="29" t="inlineStr">
        <is>
          <t>LARGE CORP</t>
        </is>
      </c>
      <c r="AU68" s="29" t="inlineStr">
        <is>
          <t>60746948</t>
        </is>
      </c>
      <c r="AV68" s="29" t="n">
        <v>1</v>
      </c>
      <c r="AW68" s="29" t="inlineStr">
        <is>
          <t>LIKELY_FINANCIAL_BY_NAME ROWS:p2r149 UNRECONCILED_SOURCE</t>
        </is>
      </c>
    </row>
    <row r="69">
      <c r="A69" s="15" t="inlineStr">
        <is>
          <t>CAIXA ECONOMICA FEDERAL</t>
        </is>
      </c>
      <c r="B69" s="16" t="n">
        <v>4362147.27</v>
      </c>
      <c r="C69" s="17" t="inlineStr">
        <is>
          <t>REAL DISTRIBUIDORA ÚNICA RIO COMÉRCIO DE REFRIGERAÇÃO LTDA</t>
        </is>
      </c>
      <c r="D69" s="18" t="inlineStr">
        <is>
          <t>NEW</t>
        </is>
      </c>
      <c r="E69" s="19" t="inlineStr"/>
      <c r="F69" s="18" t="inlineStr"/>
      <c r="G69" s="19" t="inlineStr"/>
      <c r="H69" s="18" t="inlineStr"/>
      <c r="I69" s="20" t="inlineStr">
        <is>
          <t>ADRIANO ASSIS MATIAS</t>
        </is>
      </c>
      <c r="J69" s="20" t="inlineStr">
        <is>
          <t>Administrador</t>
        </is>
      </c>
      <c r="K69" s="20" t="inlineStr">
        <is>
          <t>(00) 4004-0104</t>
        </is>
      </c>
      <c r="L69" s="20" t="inlineStr"/>
      <c r="M69" s="20" t="inlineStr"/>
      <c r="N69" s="20" t="inlineStr"/>
      <c r="O69" s="20" t="inlineStr"/>
      <c r="P69" s="20" t="inlineStr">
        <is>
          <t>HENRIETE ALEXANDRA SARTORI BERNABE</t>
        </is>
      </c>
      <c r="Q69" s="20" t="inlineStr">
        <is>
          <t>Administrador</t>
        </is>
      </c>
      <c r="R69" s="20" t="inlineStr">
        <is>
          <t>(00) 4004-0104</t>
        </is>
      </c>
      <c r="S69" s="20" t="inlineStr"/>
      <c r="T69" s="21" t="n">
        <v>4362147.27</v>
      </c>
      <c r="U69" s="22" t="inlineStr">
        <is>
          <t>B</t>
        </is>
      </c>
      <c r="V69" s="23">
        <f>IFERROR(VLOOKUP(U69,Assumptions!$A$7:$D$11,2,FALSE),0)</f>
        <v/>
      </c>
      <c r="W69" s="24">
        <f>MAX(0.5,IFERROR(VLOOKUP(U69,Assumptions!$A$7:$D$11,3,FALSE),3)+IFERROR(VLOOKUP(U69,Assumptions!$A$7:$D$11,4,FALSE),8)/2-IF(AN69="",0,YEAR(TODAY())-AN69))</f>
        <v/>
      </c>
      <c r="X69" s="21">
        <f>T69*V69/(1+Assumptions!$B$3)^W69</f>
        <v/>
      </c>
      <c r="Y69" s="25">
        <f>IF(T69=0,"",ROUND(X69/T69*100,1))</f>
        <v/>
      </c>
      <c r="Z69" s="26">
        <f>X69*Assumptions!$B$4</f>
        <v/>
      </c>
      <c r="AA69" s="25">
        <f>IF(T69=0,"",ROUND(Z69/T69*100,1))</f>
        <v/>
      </c>
      <c r="AB69" s="26">
        <f>X69-Z69</f>
        <v/>
      </c>
      <c r="AC69" s="25">
        <f>IF(T69=0,"",ROUND((X69-Z69)/T69*100,1))</f>
        <v/>
      </c>
      <c r="AD69" s="27" t="inlineStr">
        <is>
          <t>UNKNOWN</t>
        </is>
      </c>
      <c r="AE69" s="28" t="inlineStr">
        <is>
          <t>https://inova-aj.com.br/wp-content/uploads/2026/08/1a-Relacao-de-Credores-Real.pdf</t>
        </is>
      </c>
      <c r="AF69" s="27" t="inlineStr">
        <is>
          <t>p1 r19</t>
        </is>
      </c>
      <c r="AG69" s="27" t="inlineStr">
        <is>
          <t>p1: R$ 4.362.147,27</t>
        </is>
      </c>
      <c r="AH69" s="27" t="inlineStr">
        <is>
          <t>AJ_LIST</t>
        </is>
      </c>
      <c r="AI69" s="27" t="inlineStr">
        <is>
          <t>2023-06-05</t>
        </is>
      </c>
      <c r="AJ69" s="27" t="inlineStr">
        <is>
          <t>OK</t>
        </is>
      </c>
      <c r="AK69" s="29" t="inlineStr">
        <is>
          <t>0873061-47.2023.8.19.0001</t>
        </is>
      </c>
      <c r="AL69" s="29" t="inlineStr">
        <is>
          <t>TJ</t>
        </is>
      </c>
      <c r="AM69" s="29" t="inlineStr"/>
      <c r="AN69" s="29" t="n">
        <v>2023</v>
      </c>
      <c r="AO69" s="29" t="inlineStr">
        <is>
          <t>live case, no plan document yet</t>
        </is>
      </c>
      <c r="AP69" s="29" t="inlineStr">
        <is>
          <t>BRASILIA</t>
        </is>
      </c>
      <c r="AQ69" s="29" t="inlineStr">
        <is>
          <t>DF</t>
        </is>
      </c>
      <c r="AR69" s="29" t="inlineStr">
        <is>
          <t>Caixas econômicas</t>
        </is>
      </c>
      <c r="AS69" s="29" t="inlineStr">
        <is>
          <t>DEMAIS</t>
        </is>
      </c>
      <c r="AT69" s="29" t="inlineStr">
        <is>
          <t>LARGE CORP</t>
        </is>
      </c>
      <c r="AU69" s="29" t="inlineStr">
        <is>
          <t>00360305</t>
        </is>
      </c>
      <c r="AV69" s="29" t="n">
        <v>1</v>
      </c>
      <c r="AW69" s="29" t="inlineStr">
        <is>
          <t>ALT_VALUE:R$3.171.752,40 ROWS:p1r19</t>
        </is>
      </c>
    </row>
    <row r="70">
      <c r="A70" s="15" t="inlineStr">
        <is>
          <t>BANCO DAYCOVAL S.A.</t>
        </is>
      </c>
      <c r="B70" s="16" t="n">
        <v>3438942.48</v>
      </c>
      <c r="C70" s="17" t="inlineStr">
        <is>
          <t>R W CONSTRUCOES LTDA</t>
        </is>
      </c>
      <c r="D70" s="18" t="inlineStr">
        <is>
          <t>NEW</t>
        </is>
      </c>
      <c r="E70" s="19" t="inlineStr"/>
      <c r="F70" s="18" t="inlineStr"/>
      <c r="G70" s="19" t="inlineStr"/>
      <c r="H70" s="18" t="inlineStr"/>
      <c r="I70" s="20" t="inlineStr">
        <is>
          <t>ADELY DAYAN HAMOUI</t>
        </is>
      </c>
      <c r="J70" s="20" t="inlineStr">
        <is>
          <t>Diretor</t>
        </is>
      </c>
      <c r="K70" s="20" t="inlineStr">
        <is>
          <t>(11) 3138-0500</t>
        </is>
      </c>
      <c r="L70" s="20" t="inlineStr"/>
      <c r="M70" s="20" t="inlineStr"/>
      <c r="N70" s="20" t="inlineStr"/>
      <c r="O70" s="20" t="inlineStr"/>
      <c r="P70" s="20" t="inlineStr">
        <is>
          <t>ALBERT ROUBEN</t>
        </is>
      </c>
      <c r="Q70" s="20" t="inlineStr">
        <is>
          <t>Diretor</t>
        </is>
      </c>
      <c r="R70" s="20" t="inlineStr">
        <is>
          <t>(11) 3138-0500</t>
        </is>
      </c>
      <c r="S70" s="20" t="inlineStr"/>
      <c r="T70" s="21" t="n">
        <v>3438942.48</v>
      </c>
      <c r="U70" s="22" t="inlineStr">
        <is>
          <t>B</t>
        </is>
      </c>
      <c r="V70" s="23">
        <f>IFERROR(VLOOKUP(U70,Assumptions!$A$7:$D$11,2,FALSE),0)</f>
        <v/>
      </c>
      <c r="W70" s="24">
        <f>MAX(0.5,IFERROR(VLOOKUP(U70,Assumptions!$A$7:$D$11,3,FALSE),3)+IFERROR(VLOOKUP(U70,Assumptions!$A$7:$D$11,4,FALSE),8)/2-IF(AN70="",0,YEAR(TODAY())-AN70))</f>
        <v/>
      </c>
      <c r="X70" s="21">
        <f>T70*V70/(1+Assumptions!$B$3)^W70</f>
        <v/>
      </c>
      <c r="Y70" s="25">
        <f>IF(T70=0,"",ROUND(X70/T70*100,1))</f>
        <v/>
      </c>
      <c r="Z70" s="26">
        <f>X70*Assumptions!$B$4</f>
        <v/>
      </c>
      <c r="AA70" s="25">
        <f>IF(T70=0,"",ROUND(Z70/T70*100,1))</f>
        <v/>
      </c>
      <c r="AB70" s="26">
        <f>X70-Z70</f>
        <v/>
      </c>
      <c r="AC70" s="25">
        <f>IF(T70=0,"",ROUND((X70-Z70)/T70*100,1))</f>
        <v/>
      </c>
      <c r="AD70" s="27" t="inlineStr">
        <is>
          <t>ESTIMATED</t>
        </is>
      </c>
      <c r="AE70" s="28" t="inlineStr">
        <is>
          <t>https://lrflideres.com.br/wp-content/plugins/download-attachments/includes/download.php?id=4023</t>
        </is>
      </c>
      <c r="AF70" s="27" t="inlineStr">
        <is>
          <t>p4 r55; p7 r76</t>
        </is>
      </c>
      <c r="AG70" s="27" t="inlineStr">
        <is>
          <t>p4: R$ 684.717,11; p7: R$ 2.754.225,37</t>
        </is>
      </c>
      <c r="AH70" s="27" t="inlineStr">
        <is>
          <t>DEBTOR_LIST</t>
        </is>
      </c>
      <c r="AI70" s="27" t="inlineStr"/>
      <c r="AJ70" s="27" t="inlineStr">
        <is>
          <t>QUARANTINED</t>
        </is>
      </c>
      <c r="AK70" s="29" t="inlineStr">
        <is>
          <t>0002484-82.2022.8.17.2001</t>
        </is>
      </c>
      <c r="AL70" s="29" t="inlineStr">
        <is>
          <t>TJPE</t>
        </is>
      </c>
      <c r="AM70" s="29" t="inlineStr">
        <is>
          <t>ACTIVE</t>
        </is>
      </c>
      <c r="AN70" s="29" t="n">
        <v>2022</v>
      </c>
      <c r="AO70" s="29" t="inlineStr">
        <is>
          <t>live case, no plan document yet</t>
        </is>
      </c>
      <c r="AP70" s="29" t="inlineStr">
        <is>
          <t>SAO PAULO</t>
        </is>
      </c>
      <c r="AQ70" s="29" t="inlineStr">
        <is>
          <t>SP</t>
        </is>
      </c>
      <c r="AR70" s="29" t="inlineStr">
        <is>
          <t>Bancos múltiplos, com carteira comercial</t>
        </is>
      </c>
      <c r="AS70" s="29" t="inlineStr">
        <is>
          <t>DEMAIS</t>
        </is>
      </c>
      <c r="AT70" s="29" t="inlineStr">
        <is>
          <t>LARGE CORP</t>
        </is>
      </c>
      <c r="AU70" s="29" t="inlineStr">
        <is>
          <t>62232889</t>
        </is>
      </c>
      <c r="AV70" s="29" t="n">
        <v>2</v>
      </c>
      <c r="AW70" s="29" t="inlineStr">
        <is>
          <t>LIKELY_FINANCIAL_BY_NAME PARTIAL_DOC_CLASS_III_RECONCILED ROWS:p4r55,p7r76</t>
        </is>
      </c>
    </row>
    <row r="71">
      <c r="A71" s="15" t="inlineStr">
        <is>
          <t>BANCO SANTANDER (BRASIL) S.A.</t>
        </is>
      </c>
      <c r="B71" s="16" t="n">
        <v>6202478.95</v>
      </c>
      <c r="C71" s="17" t="inlineStr">
        <is>
          <t>COMERCIO RACOES BEM BOM LTDA</t>
        </is>
      </c>
      <c r="D71" s="18" t="inlineStr">
        <is>
          <t>NEW</t>
        </is>
      </c>
      <c r="E71" s="19" t="inlineStr"/>
      <c r="F71" s="18" t="inlineStr"/>
      <c r="G71" s="19" t="inlineStr"/>
      <c r="H71" s="18" t="inlineStr"/>
      <c r="I71" s="20" t="inlineStr">
        <is>
          <t>GILSON FINKELSZTAIN</t>
        </is>
      </c>
      <c r="J71" s="20" t="inlineStr">
        <is>
          <t>Presidente</t>
        </is>
      </c>
      <c r="K71" s="20" t="inlineStr">
        <is>
          <t>(11) 4004-3535</t>
        </is>
      </c>
      <c r="L71" s="20" t="inlineStr"/>
      <c r="M71" s="20" t="inlineStr"/>
      <c r="N71" s="20" t="inlineStr"/>
      <c r="O71" s="20" t="inlineStr"/>
      <c r="P71" s="20" t="inlineStr">
        <is>
          <t>ALESSANDRO CHAGAS FARIAS</t>
        </is>
      </c>
      <c r="Q71" s="20" t="inlineStr">
        <is>
          <t>Diretor</t>
        </is>
      </c>
      <c r="R71" s="20" t="inlineStr">
        <is>
          <t>(11) 4004-3535</t>
        </is>
      </c>
      <c r="S71" s="20" t="inlineStr"/>
      <c r="T71" s="21" t="n">
        <v>6202478.95</v>
      </c>
      <c r="U71" s="32" t="inlineStr">
        <is>
          <t>A</t>
        </is>
      </c>
      <c r="V71" s="23">
        <f>IFERROR(VLOOKUP(U71,Assumptions!$A$7:$D$11,2,FALSE),0)</f>
        <v/>
      </c>
      <c r="W71" s="24">
        <f>MAX(0.5,IFERROR(VLOOKUP(U71,Assumptions!$A$7:$D$11,3,FALSE),3)+IFERROR(VLOOKUP(U71,Assumptions!$A$7:$D$11,4,FALSE),8)/2-IF(AN71="",0,YEAR(TODAY())-AN71))</f>
        <v/>
      </c>
      <c r="X71" s="21">
        <f>T71*V71/(1+Assumptions!$B$3)^W71</f>
        <v/>
      </c>
      <c r="Y71" s="25">
        <f>IF(T71=0,"",ROUND(X71/T71*100,1))</f>
        <v/>
      </c>
      <c r="Z71" s="26">
        <f>X71*Assumptions!$B$4</f>
        <v/>
      </c>
      <c r="AA71" s="25">
        <f>IF(T71=0,"",ROUND(Z71/T71*100,1))</f>
        <v/>
      </c>
      <c r="AB71" s="26">
        <f>X71-Z71</f>
        <v/>
      </c>
      <c r="AC71" s="25">
        <f>IF(T71=0,"",ROUND((X71-Z71)/T71*100,1))</f>
        <v/>
      </c>
      <c r="AD71" s="27" t="inlineStr">
        <is>
          <t>CONFIRMED</t>
        </is>
      </c>
      <c r="AE71" s="28" t="inlineStr">
        <is>
          <t>https://stenius.com.br/wp-content/uploads/2026/06/EDITAL-GRUPO-3E.pdf</t>
        </is>
      </c>
      <c r="AF71" s="27" t="inlineStr">
        <is>
          <t>p10 r39</t>
        </is>
      </c>
      <c r="AG71" s="27" t="inlineStr">
        <is>
          <t>p10: R$ 6.202.478,95</t>
        </is>
      </c>
      <c r="AH71" s="27" t="inlineStr">
        <is>
          <t>DEBTOR_LIST</t>
        </is>
      </c>
      <c r="AI71" s="27" t="inlineStr">
        <is>
          <t>2026-06-22</t>
        </is>
      </c>
      <c r="AJ71" s="27" t="inlineStr">
        <is>
          <t>OK_NO_TOTALS</t>
        </is>
      </c>
      <c r="AK71" s="29" t="inlineStr">
        <is>
          <t>5341375-33.2026.8.09.0049</t>
        </is>
      </c>
      <c r="AL71" s="29" t="inlineStr">
        <is>
          <t>TJGO</t>
        </is>
      </c>
      <c r="AM71" s="29" t="inlineStr">
        <is>
          <t>ACTIVE</t>
        </is>
      </c>
      <c r="AN71" s="29" t="n">
        <v>2026</v>
      </c>
      <c r="AO71" s="29" t="inlineStr">
        <is>
          <t>plan/homologation document found</t>
        </is>
      </c>
      <c r="AP71" s="29" t="inlineStr">
        <is>
          <t>SAO PAULO</t>
        </is>
      </c>
      <c r="AQ71" s="29" t="inlineStr">
        <is>
          <t>SP</t>
        </is>
      </c>
      <c r="AR71" s="29" t="inlineStr">
        <is>
          <t>Bancos múltiplos, com carteira comercial</t>
        </is>
      </c>
      <c r="AS71" s="29" t="inlineStr">
        <is>
          <t>DEMAIS</t>
        </is>
      </c>
      <c r="AT71" s="29" t="inlineStr">
        <is>
          <t>LARGE CORP</t>
        </is>
      </c>
      <c r="AU71" s="29" t="inlineStr">
        <is>
          <t>90400888</t>
        </is>
      </c>
      <c r="AV71" s="29" t="n">
        <v>1</v>
      </c>
      <c r="AW71" s="29" t="inlineStr">
        <is>
          <t>LIKELY_FINANCIAL_BY_NAME ROWS:p10r39 UNRECONCILED_SOURCE</t>
        </is>
      </c>
    </row>
    <row r="72">
      <c r="A72" s="15" t="inlineStr">
        <is>
          <t>ITAU UNIBANCO S.A.</t>
        </is>
      </c>
      <c r="B72" s="16" t="n">
        <v>4228442.28</v>
      </c>
      <c r="C72" s="17" t="inlineStr">
        <is>
          <t>REAL DISTRIBUIDORA ÚNICA RIO COMÉRCIO DE REFRIGERAÇÃO LTDA</t>
        </is>
      </c>
      <c r="D72" s="18" t="inlineStr">
        <is>
          <t>NEW</t>
        </is>
      </c>
      <c r="E72" s="19" t="inlineStr"/>
      <c r="F72" s="18" t="inlineStr"/>
      <c r="G72" s="19" t="inlineStr"/>
      <c r="H72" s="18" t="inlineStr"/>
      <c r="I72" s="20" t="inlineStr">
        <is>
          <t>FELIPE SAMPAIO NABUCO</t>
        </is>
      </c>
      <c r="J72" s="20" t="inlineStr">
        <is>
          <t>Administrador</t>
        </is>
      </c>
      <c r="K72" s="20" t="inlineStr">
        <is>
          <t>(11) 3003-4828</t>
        </is>
      </c>
      <c r="L72" s="20" t="inlineStr"/>
      <c r="M72" s="20" t="inlineStr"/>
      <c r="N72" s="20" t="inlineStr"/>
      <c r="O72" s="20" t="inlineStr"/>
      <c r="P72" s="20" t="inlineStr">
        <is>
          <t>MILTON MALUHY FILHO</t>
        </is>
      </c>
      <c r="Q72" s="20" t="inlineStr">
        <is>
          <t>Presidente</t>
        </is>
      </c>
      <c r="R72" s="20" t="inlineStr">
        <is>
          <t>(11) 3003-4828</t>
        </is>
      </c>
      <c r="S72" s="20" t="inlineStr"/>
      <c r="T72" s="21" t="n">
        <v>4228442.28</v>
      </c>
      <c r="U72" s="22" t="inlineStr">
        <is>
          <t>B</t>
        </is>
      </c>
      <c r="V72" s="23">
        <f>IFERROR(VLOOKUP(U72,Assumptions!$A$7:$D$11,2,FALSE),0)</f>
        <v/>
      </c>
      <c r="W72" s="24">
        <f>MAX(0.5,IFERROR(VLOOKUP(U72,Assumptions!$A$7:$D$11,3,FALSE),3)+IFERROR(VLOOKUP(U72,Assumptions!$A$7:$D$11,4,FALSE),8)/2-IF(AN72="",0,YEAR(TODAY())-AN72))</f>
        <v/>
      </c>
      <c r="X72" s="21">
        <f>T72*V72/(1+Assumptions!$B$3)^W72</f>
        <v/>
      </c>
      <c r="Y72" s="25">
        <f>IF(T72=0,"",ROUND(X72/T72*100,1))</f>
        <v/>
      </c>
      <c r="Z72" s="26">
        <f>X72*Assumptions!$B$4</f>
        <v/>
      </c>
      <c r="AA72" s="25">
        <f>IF(T72=0,"",ROUND(Z72/T72*100,1))</f>
        <v/>
      </c>
      <c r="AB72" s="26">
        <f>X72-Z72</f>
        <v/>
      </c>
      <c r="AC72" s="25">
        <f>IF(T72=0,"",ROUND((X72-Z72)/T72*100,1))</f>
        <v/>
      </c>
      <c r="AD72" s="27" t="inlineStr">
        <is>
          <t>UNKNOWN</t>
        </is>
      </c>
      <c r="AE72" s="28" t="inlineStr">
        <is>
          <t>https://inova-aj.com.br/wp-content/uploads/2026/08/1a-Relacao-de-Credores-Real.pdf</t>
        </is>
      </c>
      <c r="AF72" s="27" t="inlineStr">
        <is>
          <t>p1 r15</t>
        </is>
      </c>
      <c r="AG72" s="27" t="inlineStr">
        <is>
          <t>p1: R$ 4.228.442,28</t>
        </is>
      </c>
      <c r="AH72" s="27" t="inlineStr">
        <is>
          <t>AJ_LIST</t>
        </is>
      </c>
      <c r="AI72" s="27" t="inlineStr">
        <is>
          <t>2023-06-05</t>
        </is>
      </c>
      <c r="AJ72" s="27" t="inlineStr">
        <is>
          <t>OK</t>
        </is>
      </c>
      <c r="AK72" s="29" t="inlineStr">
        <is>
          <t>0873061-47.2023.8.19.0001</t>
        </is>
      </c>
      <c r="AL72" s="29" t="inlineStr">
        <is>
          <t>TJ</t>
        </is>
      </c>
      <c r="AM72" s="29" t="inlineStr"/>
      <c r="AN72" s="29" t="n">
        <v>2023</v>
      </c>
      <c r="AO72" s="29" t="inlineStr">
        <is>
          <t>live case, no plan document yet</t>
        </is>
      </c>
      <c r="AP72" s="29" t="inlineStr">
        <is>
          <t>SAO PAULO</t>
        </is>
      </c>
      <c r="AQ72" s="29" t="inlineStr">
        <is>
          <t>SP</t>
        </is>
      </c>
      <c r="AR72" s="29" t="inlineStr">
        <is>
          <t>Bancos comerciais</t>
        </is>
      </c>
      <c r="AS72" s="29" t="inlineStr">
        <is>
          <t>DEMAIS</t>
        </is>
      </c>
      <c r="AT72" s="29" t="inlineStr">
        <is>
          <t>LARGE CORP</t>
        </is>
      </c>
      <c r="AU72" s="29" t="inlineStr">
        <is>
          <t>60701190</t>
        </is>
      </c>
      <c r="AV72" s="29" t="n">
        <v>1</v>
      </c>
      <c r="AW72" s="29" t="inlineStr">
        <is>
          <t>ALT_VALUE:R$3.074.534,42 ROWS:p1r15</t>
        </is>
      </c>
    </row>
    <row r="73">
      <c r="A73" s="15" t="inlineStr">
        <is>
          <t>Banco Guanabara S.A.</t>
        </is>
      </c>
      <c r="B73" s="16" t="n">
        <v>4227912.66</v>
      </c>
      <c r="C73" s="17" t="inlineStr">
        <is>
          <t>VEV COMERCIO DE MEDICAMENTOS LTDA EM RECUPERACAO JUDICIAL</t>
        </is>
      </c>
      <c r="D73" s="18" t="inlineStr">
        <is>
          <t>NEW</t>
        </is>
      </c>
      <c r="E73" s="19" t="inlineStr"/>
      <c r="F73" s="18" t="inlineStr"/>
      <c r="G73" s="19" t="inlineStr"/>
      <c r="H73" s="18" t="inlineStr"/>
      <c r="I73" s="20" t="inlineStr"/>
      <c r="J73" s="20" t="inlineStr"/>
      <c r="K73" s="20" t="inlineStr"/>
      <c r="L73" s="20" t="inlineStr"/>
      <c r="M73" s="20" t="inlineStr"/>
      <c r="N73" s="20" t="inlineStr"/>
      <c r="O73" s="20" t="inlineStr"/>
      <c r="P73" s="20" t="inlineStr"/>
      <c r="Q73" s="20" t="inlineStr"/>
      <c r="R73" s="20" t="inlineStr"/>
      <c r="S73" s="20" t="inlineStr"/>
      <c r="T73" s="21" t="n">
        <v>4227912.66</v>
      </c>
      <c r="U73" s="22" t="inlineStr">
        <is>
          <t>B</t>
        </is>
      </c>
      <c r="V73" s="23">
        <f>IFERROR(VLOOKUP(U73,Assumptions!$A$7:$D$11,2,FALSE),0)</f>
        <v/>
      </c>
      <c r="W73" s="24">
        <f>MAX(0.5,IFERROR(VLOOKUP(U73,Assumptions!$A$7:$D$11,3,FALSE),3)+IFERROR(VLOOKUP(U73,Assumptions!$A$7:$D$11,4,FALSE),8)/2-IF(AN73="",0,YEAR(TODAY())-AN73))</f>
        <v/>
      </c>
      <c r="X73" s="21">
        <f>T73*V73/(1+Assumptions!$B$3)^W73</f>
        <v/>
      </c>
      <c r="Y73" s="25">
        <f>IF(T73=0,"",ROUND(X73/T73*100,1))</f>
        <v/>
      </c>
      <c r="Z73" s="26">
        <f>X73*Assumptions!$B$4</f>
        <v/>
      </c>
      <c r="AA73" s="25">
        <f>IF(T73=0,"",ROUND(Z73/T73*100,1))</f>
        <v/>
      </c>
      <c r="AB73" s="26">
        <f>X73-Z73</f>
        <v/>
      </c>
      <c r="AC73" s="25">
        <f>IF(T73=0,"",ROUND((X73-Z73)/T73*100,1))</f>
        <v/>
      </c>
      <c r="AD73" s="27" t="inlineStr">
        <is>
          <t>ESTIMATED</t>
        </is>
      </c>
      <c r="AE73" s="28" t="inlineStr">
        <is>
          <t>https://marquesadmjudicial.com.br/sgc/download.php?file=files/processo_documento/processo_documento15293208032024_1_.pdf&amp;nome=Relação Nominal de Credores da AJ-Sintética</t>
        </is>
      </c>
      <c r="AF73" s="27" t="inlineStr">
        <is>
          <t>p21 r2</t>
        </is>
      </c>
      <c r="AG73" s="27" t="inlineStr">
        <is>
          <t>p21: R$ 4.227.912,66</t>
        </is>
      </c>
      <c r="AH73" s="27" t="inlineStr">
        <is>
          <t>AJ_LIST</t>
        </is>
      </c>
      <c r="AI73" s="27" t="inlineStr">
        <is>
          <t>2023-03-02</t>
        </is>
      </c>
      <c r="AJ73" s="27" t="inlineStr">
        <is>
          <t>QUARANTINED</t>
        </is>
      </c>
      <c r="AK73" s="29" t="inlineStr">
        <is>
          <t>0005010-98.2023.8.16.0001</t>
        </is>
      </c>
      <c r="AL73" s="29" t="inlineStr">
        <is>
          <t>TJPR</t>
        </is>
      </c>
      <c r="AM73" s="29" t="inlineStr">
        <is>
          <t>ACTIVE</t>
        </is>
      </c>
      <c r="AN73" s="29" t="n">
        <v>2023</v>
      </c>
      <c r="AO73" s="29" t="inlineStr">
        <is>
          <t>live case, no plan document yet</t>
        </is>
      </c>
      <c r="AP73" s="29" t="inlineStr"/>
      <c r="AQ73" s="29" t="inlineStr"/>
      <c r="AR73" s="29" t="inlineStr"/>
      <c r="AS73" s="29" t="inlineStr"/>
      <c r="AT73" s="29" t="inlineStr">
        <is>
          <t>MID-MARKET</t>
        </is>
      </c>
      <c r="AU73" s="29" t="inlineStr">
        <is>
          <t>31880826</t>
        </is>
      </c>
      <c r="AV73" s="29" t="n">
        <v>1</v>
      </c>
      <c r="AW73" s="29" t="inlineStr">
        <is>
          <t>LIKELY_FINANCIAL_BY_NAME PARTIAL_DOC_CLASS_III_RECONCILED ROWS:p21r2</t>
        </is>
      </c>
    </row>
    <row r="74">
      <c r="A74" s="15" t="inlineStr">
        <is>
          <t>BANCO SOFISA S.A.</t>
        </is>
      </c>
      <c r="B74" s="16" t="n">
        <v>4204523.67</v>
      </c>
      <c r="C74" s="17" t="inlineStr">
        <is>
          <t>REAL DISTRIBUIDORA ÚNICA RIO COMÉRCIO DE REFRIGERAÇÃO LTDA</t>
        </is>
      </c>
      <c r="D74" s="18" t="inlineStr">
        <is>
          <t>NEW</t>
        </is>
      </c>
      <c r="E74" s="19" t="inlineStr"/>
      <c r="F74" s="18" t="inlineStr"/>
      <c r="G74" s="19" t="inlineStr"/>
      <c r="H74" s="18" t="inlineStr"/>
      <c r="I74" s="20" t="inlineStr">
        <is>
          <t>ALEXANDRE BURMAIAN</t>
        </is>
      </c>
      <c r="J74" s="20" t="inlineStr">
        <is>
          <t>Presidente</t>
        </is>
      </c>
      <c r="K74" s="20" t="inlineStr">
        <is>
          <t>(11) 3176-5500</t>
        </is>
      </c>
      <c r="L74" s="20" t="inlineStr"/>
      <c r="M74" s="20" t="inlineStr"/>
      <c r="N74" s="20" t="inlineStr"/>
      <c r="O74" s="20" t="inlineStr"/>
      <c r="P74" s="20" t="inlineStr">
        <is>
          <t>CESAR AUGUSTO DE OLIVEIRA GONCALVES</t>
        </is>
      </c>
      <c r="Q74" s="20" t="inlineStr">
        <is>
          <t>Diretor</t>
        </is>
      </c>
      <c r="R74" s="20" t="inlineStr">
        <is>
          <t>(11) 3176-5500</t>
        </is>
      </c>
      <c r="S74" s="20" t="inlineStr"/>
      <c r="T74" s="21" t="n">
        <v>4204523.67</v>
      </c>
      <c r="U74" s="22" t="inlineStr">
        <is>
          <t>B</t>
        </is>
      </c>
      <c r="V74" s="23">
        <f>IFERROR(VLOOKUP(U74,Assumptions!$A$7:$D$11,2,FALSE),0)</f>
        <v/>
      </c>
      <c r="W74" s="24">
        <f>MAX(0.5,IFERROR(VLOOKUP(U74,Assumptions!$A$7:$D$11,3,FALSE),3)+IFERROR(VLOOKUP(U74,Assumptions!$A$7:$D$11,4,FALSE),8)/2-IF(AN74="",0,YEAR(TODAY())-AN74))</f>
        <v/>
      </c>
      <c r="X74" s="21">
        <f>T74*V74/(1+Assumptions!$B$3)^W74</f>
        <v/>
      </c>
      <c r="Y74" s="25">
        <f>IF(T74=0,"",ROUND(X74/T74*100,1))</f>
        <v/>
      </c>
      <c r="Z74" s="26">
        <f>X74*Assumptions!$B$4</f>
        <v/>
      </c>
      <c r="AA74" s="25">
        <f>IF(T74=0,"",ROUND(Z74/T74*100,1))</f>
        <v/>
      </c>
      <c r="AB74" s="26">
        <f>X74-Z74</f>
        <v/>
      </c>
      <c r="AC74" s="25">
        <f>IF(T74=0,"",ROUND((X74-Z74)/T74*100,1))</f>
        <v/>
      </c>
      <c r="AD74" s="27" t="inlineStr">
        <is>
          <t>UNKNOWN</t>
        </is>
      </c>
      <c r="AE74" s="28" t="inlineStr">
        <is>
          <t>https://inova-aj.com.br/wp-content/uploads/2026/08/1a-Relacao-de-Credores-Real.pdf</t>
        </is>
      </c>
      <c r="AF74" s="27" t="inlineStr">
        <is>
          <t>p1 r16</t>
        </is>
      </c>
      <c r="AG74" s="27" t="inlineStr">
        <is>
          <t>p1: R$ 4.204.523,67</t>
        </is>
      </c>
      <c r="AH74" s="27" t="inlineStr">
        <is>
          <t>AJ_LIST</t>
        </is>
      </c>
      <c r="AI74" s="27" t="inlineStr">
        <is>
          <t>2023-06-05</t>
        </is>
      </c>
      <c r="AJ74" s="27" t="inlineStr">
        <is>
          <t>OK</t>
        </is>
      </c>
      <c r="AK74" s="29" t="inlineStr">
        <is>
          <t>0873061-47.2023.8.19.0001</t>
        </is>
      </c>
      <c r="AL74" s="29" t="inlineStr">
        <is>
          <t>TJ</t>
        </is>
      </c>
      <c r="AM74" s="29" t="inlineStr"/>
      <c r="AN74" s="29" t="n">
        <v>2023</v>
      </c>
      <c r="AO74" s="29" t="inlineStr">
        <is>
          <t>live case, no plan document yet</t>
        </is>
      </c>
      <c r="AP74" s="29" t="inlineStr">
        <is>
          <t>SAO PAULO</t>
        </is>
      </c>
      <c r="AQ74" s="29" t="inlineStr">
        <is>
          <t>SP</t>
        </is>
      </c>
      <c r="AR74" s="29" t="inlineStr">
        <is>
          <t>Bancos múltiplos, com carteira comercial</t>
        </is>
      </c>
      <c r="AS74" s="29" t="inlineStr">
        <is>
          <t>DEMAIS</t>
        </is>
      </c>
      <c r="AT74" s="29" t="inlineStr">
        <is>
          <t>LARGE CORP</t>
        </is>
      </c>
      <c r="AU74" s="29" t="inlineStr">
        <is>
          <t>60889128</t>
        </is>
      </c>
      <c r="AV74" s="29" t="n">
        <v>1</v>
      </c>
      <c r="AW74" s="29" t="inlineStr">
        <is>
          <t>ALT_VALUE:R$3.057.143,01 ROWS:p1r16</t>
        </is>
      </c>
    </row>
    <row r="75">
      <c r="A75" s="15" t="inlineStr">
        <is>
          <t>SICOOB CREDIGOIAS COOPERATIVA DE CREDITO LTDA</t>
        </is>
      </c>
      <c r="B75" s="16" t="n">
        <v>8134852.72</v>
      </c>
      <c r="C75" s="17" t="inlineStr"/>
      <c r="D75" s="18" t="inlineStr">
        <is>
          <t>NEW</t>
        </is>
      </c>
      <c r="E75" s="19" t="inlineStr"/>
      <c r="F75" s="18" t="inlineStr"/>
      <c r="G75" s="19" t="inlineStr"/>
      <c r="H75" s="18" t="inlineStr"/>
      <c r="I75" s="20" t="inlineStr"/>
      <c r="J75" s="20" t="inlineStr"/>
      <c r="K75" s="20" t="inlineStr"/>
      <c r="L75" s="20" t="inlineStr"/>
      <c r="M75" s="20" t="inlineStr"/>
      <c r="N75" s="20" t="inlineStr"/>
      <c r="O75" s="20" t="inlineStr"/>
      <c r="P75" s="20" t="inlineStr"/>
      <c r="Q75" s="20" t="inlineStr"/>
      <c r="R75" s="20" t="inlineStr"/>
      <c r="S75" s="20" t="inlineStr"/>
      <c r="T75" s="21" t="n">
        <v>8134852.72</v>
      </c>
      <c r="U75" s="22" t="inlineStr">
        <is>
          <t>B</t>
        </is>
      </c>
      <c r="V75" s="23">
        <f>IFERROR(VLOOKUP(U75,Assumptions!$A$7:$D$11,2,FALSE),0)</f>
        <v/>
      </c>
      <c r="W75" s="24">
        <f>MAX(0.5,IFERROR(VLOOKUP(U75,Assumptions!$A$7:$D$11,3,FALSE),3)+IFERROR(VLOOKUP(U75,Assumptions!$A$7:$D$11,4,FALSE),8)/2-IF(AN75="",0,YEAR(TODAY())-AN75))</f>
        <v/>
      </c>
      <c r="X75" s="21">
        <f>T75*V75/(1+Assumptions!$B$3)^W75</f>
        <v/>
      </c>
      <c r="Y75" s="25">
        <f>IF(T75=0,"",ROUND(X75/T75*100,1))</f>
        <v/>
      </c>
      <c r="Z75" s="26">
        <f>X75*Assumptions!$B$4</f>
        <v/>
      </c>
      <c r="AA75" s="25">
        <f>IF(T75=0,"",ROUND(Z75/T75*100,1))</f>
        <v/>
      </c>
      <c r="AB75" s="26">
        <f>X75-Z75</f>
        <v/>
      </c>
      <c r="AC75" s="25">
        <f>IF(T75=0,"",ROUND((X75-Z75)/T75*100,1))</f>
        <v/>
      </c>
      <c r="AD75" s="27" t="inlineStr">
        <is>
          <t>ESTIMATED</t>
        </is>
      </c>
      <c r="AE75" s="28" t="inlineStr">
        <is>
          <t>https://stenius.com.br/wp-content/uploads/2026/07/EDITAL-1-RELACAO-DE-CREDORES-GRUPO-GE.pdf</t>
        </is>
      </c>
      <c r="AF75" s="27" t="inlineStr">
        <is>
          <t>p5 r25; p5 r26; p5 r27; p5 r28; p5 r29; p5 r30; p5 r31; p5 r32; p5 r33</t>
        </is>
      </c>
      <c r="AG75" s="27" t="inlineStr">
        <is>
          <t>p5: R$ 629.631,55; p5: R$ 919.663,17; p5: R$ 1.291.200,52; p5: R$ 3.671.894,34; p5: R$ 88.479,92; p5: R$ 131.967,11; p5: R$ 79.782,59; p5: R$ 54.000,00; p5: R$ 1.268.233,52</t>
        </is>
      </c>
      <c r="AH75" s="27" t="inlineStr">
        <is>
          <t>DEBTOR_LIST</t>
        </is>
      </c>
      <c r="AI75" s="27" t="inlineStr">
        <is>
          <t>2026-07-01</t>
        </is>
      </c>
      <c r="AJ75" s="27" t="inlineStr">
        <is>
          <t>OK_NO_TOTALS</t>
        </is>
      </c>
      <c r="AK75" s="29" t="inlineStr">
        <is>
          <t>5164979-18.2026.8.09.0110</t>
        </is>
      </c>
      <c r="AL75" s="29" t="inlineStr">
        <is>
          <t>TJGO</t>
        </is>
      </c>
      <c r="AM75" s="29" t="inlineStr">
        <is>
          <t>ACTIVE</t>
        </is>
      </c>
      <c r="AN75" s="29" t="n">
        <v>2026</v>
      </c>
      <c r="AO75" s="29" t="inlineStr">
        <is>
          <t>live case, no plan document yet</t>
        </is>
      </c>
      <c r="AP75" s="29" t="inlineStr"/>
      <c r="AQ75" s="29" t="inlineStr"/>
      <c r="AR75" s="29" t="inlineStr"/>
      <c r="AS75" s="29" t="inlineStr"/>
      <c r="AT75" s="29" t="inlineStr">
        <is>
          <t>MID-MARKET</t>
        </is>
      </c>
      <c r="AU75" s="29" t="inlineStr">
        <is>
          <t>37255049</t>
        </is>
      </c>
      <c r="AV75" s="29" t="n">
        <v>9</v>
      </c>
      <c r="AW75" s="29" t="inlineStr">
        <is>
          <t>LIKELY_FINANCIAL_BY_NAME ROWS:p5r25,p5r26,p5r27,p5r28,p5r29,p5r30,p5r31,p5r32,p5r33 UNRECONCILED_SOURCE</t>
        </is>
      </c>
    </row>
    <row r="76">
      <c r="A76" s="15" t="inlineStr">
        <is>
          <t>BANCO FIBRA SA</t>
        </is>
      </c>
      <c r="B76" s="16" t="n">
        <v>4760530.36</v>
      </c>
      <c r="C76" s="17" t="inlineStr"/>
      <c r="D76" s="18" t="inlineStr">
        <is>
          <t>NEW</t>
        </is>
      </c>
      <c r="E76" s="19" t="inlineStr"/>
      <c r="F76" s="18" t="inlineStr"/>
      <c r="G76" s="19" t="inlineStr"/>
      <c r="H76" s="18" t="inlineStr"/>
      <c r="I76" s="20" t="inlineStr">
        <is>
          <t>ARNO SCHWARZ</t>
        </is>
      </c>
      <c r="J76" s="20" t="inlineStr">
        <is>
          <t>Presidente</t>
        </is>
      </c>
      <c r="K76" s="20" t="inlineStr">
        <is>
          <t>(11) 3847-6943</t>
        </is>
      </c>
      <c r="L76" s="20" t="inlineStr"/>
      <c r="M76" s="20" t="inlineStr"/>
      <c r="N76" s="20" t="inlineStr"/>
      <c r="O76" s="20" t="inlineStr"/>
      <c r="P76" s="20" t="inlineStr">
        <is>
          <t>ANDRE CADIME DE GODOI</t>
        </is>
      </c>
      <c r="Q76" s="20" t="inlineStr">
        <is>
          <t>Diretor</t>
        </is>
      </c>
      <c r="R76" s="20" t="inlineStr">
        <is>
          <t>(11) 3847-6943</t>
        </is>
      </c>
      <c r="S76" s="20" t="inlineStr"/>
      <c r="T76" s="21" t="n">
        <v>4760530.36</v>
      </c>
      <c r="U76" s="31" t="inlineStr">
        <is>
          <t>C</t>
        </is>
      </c>
      <c r="V76" s="23">
        <f>IFERROR(VLOOKUP(U76,Assumptions!$A$7:$D$11,2,FALSE),0)</f>
        <v/>
      </c>
      <c r="W76" s="24">
        <f>MAX(0.5,IFERROR(VLOOKUP(U76,Assumptions!$A$7:$D$11,3,FALSE),3)+IFERROR(VLOOKUP(U76,Assumptions!$A$7:$D$11,4,FALSE),8)/2-IF(AN76="",0,YEAR(TODAY())-AN76))</f>
        <v/>
      </c>
      <c r="X76" s="21">
        <f>T76*V76/(1+Assumptions!$B$3)^W76</f>
        <v/>
      </c>
      <c r="Y76" s="25">
        <f>IF(T76=0,"",ROUND(X76/T76*100,1))</f>
        <v/>
      </c>
      <c r="Z76" s="26">
        <f>X76*Assumptions!$B$4</f>
        <v/>
      </c>
      <c r="AA76" s="25">
        <f>IF(T76=0,"",ROUND(Z76/T76*100,1))</f>
        <v/>
      </c>
      <c r="AB76" s="26">
        <f>X76-Z76</f>
        <v/>
      </c>
      <c r="AC76" s="25">
        <f>IF(T76=0,"",ROUND((X76-Z76)/T76*100,1))</f>
        <v/>
      </c>
      <c r="AD76" s="27" t="inlineStr">
        <is>
          <t>UNKNOWN</t>
        </is>
      </c>
      <c r="AE76" s="28" t="inlineStr">
        <is>
          <t>https://administradorajudicialgs.com.br/wp-content/uploads/2024/12/relacao-de-credores-da-falida.pdf</t>
        </is>
      </c>
      <c r="AF76" s="27" t="inlineStr">
        <is>
          <t>p13 r6</t>
        </is>
      </c>
      <c r="AG76" s="27" t="inlineStr">
        <is>
          <t>p13: R$ 4.760.530,36</t>
        </is>
      </c>
      <c r="AH76" s="27" t="inlineStr">
        <is>
          <t>UNKNOWN</t>
        </is>
      </c>
      <c r="AI76" s="27" t="inlineStr">
        <is>
          <t>2025-03-25</t>
        </is>
      </c>
      <c r="AJ76" s="27" t="inlineStr">
        <is>
          <t>OK_NO_TOTALS</t>
        </is>
      </c>
      <c r="AK76" s="29" t="inlineStr">
        <is>
          <t>0005010-50.2013.8.24.0026</t>
        </is>
      </c>
      <c r="AL76" s="29" t="inlineStr">
        <is>
          <t>TJ</t>
        </is>
      </c>
      <c r="AM76" s="29" t="inlineStr"/>
      <c r="AN76" s="29" t="n">
        <v>2013</v>
      </c>
      <c r="AO76" s="29" t="inlineStr">
        <is>
          <t>13y since filing, no plan document</t>
        </is>
      </c>
      <c r="AP76" s="29" t="inlineStr">
        <is>
          <t>SAO PAULO</t>
        </is>
      </c>
      <c r="AQ76" s="29" t="inlineStr">
        <is>
          <t>SP</t>
        </is>
      </c>
      <c r="AR76" s="29" t="inlineStr">
        <is>
          <t>Bancos múltiplos, com carteira comercial</t>
        </is>
      </c>
      <c r="AS76" s="29" t="inlineStr">
        <is>
          <t>DEMAIS</t>
        </is>
      </c>
      <c r="AT76" s="29" t="inlineStr">
        <is>
          <t>LARGE CORP</t>
        </is>
      </c>
      <c r="AU76" s="29" t="inlineStr">
        <is>
          <t>58616418</t>
        </is>
      </c>
      <c r="AV76" s="29" t="n">
        <v>1</v>
      </c>
      <c r="AW76" s="29" t="inlineStr">
        <is>
          <t>LIKELY_FINANCIAL_BY_NAME ROWS:p13r6 UNRECONCILED_SOURCE</t>
        </is>
      </c>
    </row>
    <row r="77">
      <c r="A77" s="15" t="inlineStr">
        <is>
          <t>SWISS RE CORPORATE SOLUTIONS BRASIL SEGUROS S.A.</t>
        </is>
      </c>
      <c r="B77" s="16" t="n">
        <v>12002084.64</v>
      </c>
      <c r="C77" s="17" t="inlineStr">
        <is>
          <t>EGESA ENGENHARIA S/A (Consórcio ETDI)</t>
        </is>
      </c>
      <c r="D77" s="18" t="inlineStr">
        <is>
          <t>NEW</t>
        </is>
      </c>
      <c r="E77" s="19" t="inlineStr"/>
      <c r="F77" s="18" t="inlineStr"/>
      <c r="G77" s="19" t="inlineStr"/>
      <c r="H77" s="18" t="inlineStr"/>
      <c r="I77" s="20" t="inlineStr">
        <is>
          <t>GUILHERME PERONDI NETO</t>
        </is>
      </c>
      <c r="J77" s="20" t="inlineStr">
        <is>
          <t>Presidente</t>
        </is>
      </c>
      <c r="K77" s="20" t="inlineStr">
        <is>
          <t>(11) 3073-8000</t>
        </is>
      </c>
      <c r="L77" s="20" t="inlineStr">
        <is>
          <t>(11) 3073-8113</t>
        </is>
      </c>
      <c r="M77" s="20" t="inlineStr"/>
      <c r="N77" s="20" t="inlineStr"/>
      <c r="O77" s="20" t="inlineStr"/>
      <c r="P77" s="20" t="inlineStr">
        <is>
          <t>BEATRIZ DE MOURA CAMPOS MELLO ALMADA</t>
        </is>
      </c>
      <c r="Q77" s="20" t="inlineStr">
        <is>
          <t>Diretor</t>
        </is>
      </c>
      <c r="R77" s="20" t="inlineStr">
        <is>
          <t>(11) 3073-8113</t>
        </is>
      </c>
      <c r="S77" s="20" t="inlineStr"/>
      <c r="T77" s="21" t="n">
        <v>12002084.64</v>
      </c>
      <c r="U77" s="30" t="inlineStr">
        <is>
          <t>?</t>
        </is>
      </c>
      <c r="V77" s="23">
        <f>IFERROR(VLOOKUP(U77,Assumptions!$A$7:$D$11,2,FALSE),0)</f>
        <v/>
      </c>
      <c r="W77" s="24">
        <f>MAX(0.5,IFERROR(VLOOKUP(U77,Assumptions!$A$7:$D$11,3,FALSE),3)+IFERROR(VLOOKUP(U77,Assumptions!$A$7:$D$11,4,FALSE),8)/2-IF(AN77="",0,YEAR(TODAY())-AN77))</f>
        <v/>
      </c>
      <c r="X77" s="21">
        <f>T77*V77/(1+Assumptions!$B$3)^W77</f>
        <v/>
      </c>
      <c r="Y77" s="25">
        <f>IF(T77=0,"",ROUND(X77/T77*100,1))</f>
        <v/>
      </c>
      <c r="Z77" s="26">
        <f>X77*Assumptions!$B$4</f>
        <v/>
      </c>
      <c r="AA77" s="25">
        <f>IF(T77=0,"",ROUND(Z77/T77*100,1))</f>
        <v/>
      </c>
      <c r="AB77" s="26">
        <f>X77-Z77</f>
        <v/>
      </c>
      <c r="AC77" s="25">
        <f>IF(T77=0,"",ROUND((X77-Z77)/T77*100,1))</f>
        <v/>
      </c>
      <c r="AD77" s="27" t="inlineStr">
        <is>
          <t>UNKNOWN</t>
        </is>
      </c>
      <c r="AE77" s="28" t="inlineStr">
        <is>
          <t>https://scalzilliaj.com.br/sgc/download.php?file=files/processo_documento/processo_documento09514021082025_1_.pdf&amp;nome=04 - Relação de credores das Recuperandas</t>
        </is>
      </c>
      <c r="AF77" s="27" t="inlineStr">
        <is>
          <t>p73 r16</t>
        </is>
      </c>
      <c r="AG77" s="27" t="inlineStr">
        <is>
          <t>p73: R$ 12.002.084,64</t>
        </is>
      </c>
      <c r="AH77" s="27" t="inlineStr">
        <is>
          <t>DEBTOR_LIST</t>
        </is>
      </c>
      <c r="AI77" s="27" t="inlineStr"/>
      <c r="AJ77" s="27" t="inlineStr">
        <is>
          <t>OK</t>
        </is>
      </c>
      <c r="AK77" s="29" t="inlineStr">
        <is>
          <t>(not printed)</t>
        </is>
      </c>
      <c r="AL77" s="29" t="inlineStr"/>
      <c r="AM77" s="29" t="inlineStr"/>
      <c r="AN77" s="29" t="inlineStr"/>
      <c r="AO77" s="29" t="inlineStr">
        <is>
          <t>RJ case number not identified on the document</t>
        </is>
      </c>
      <c r="AP77" s="29" t="inlineStr">
        <is>
          <t>SAO PAULO</t>
        </is>
      </c>
      <c r="AQ77" s="29" t="inlineStr">
        <is>
          <t>SP</t>
        </is>
      </c>
      <c r="AR77" s="29" t="inlineStr">
        <is>
          <t>Sociedade seguradora de seguros não vida</t>
        </is>
      </c>
      <c r="AS77" s="29" t="inlineStr">
        <is>
          <t>DEMAIS</t>
        </is>
      </c>
      <c r="AT77" s="29" t="inlineStr">
        <is>
          <t>LARGE CORP</t>
        </is>
      </c>
      <c r="AU77" s="29" t="inlineStr">
        <is>
          <t>72145931</t>
        </is>
      </c>
      <c r="AV77" s="29" t="n">
        <v>1</v>
      </c>
      <c r="AW77" s="29" t="inlineStr">
        <is>
          <t>LIKELY_FINANCIAL_BY_NAME ROWS:p73r16 VALUE_COL:Valor_Atualizado CASE_NUMBER_CORRECTED</t>
        </is>
      </c>
    </row>
    <row r="78">
      <c r="A78" s="15" t="inlineStr">
        <is>
          <t>BANCO DO BRASIL SA</t>
        </is>
      </c>
      <c r="B78" s="16" t="n">
        <v>11716157.97</v>
      </c>
      <c r="C78" s="17" t="inlineStr"/>
      <c r="D78" s="18" t="inlineStr">
        <is>
          <t>NEW</t>
        </is>
      </c>
      <c r="E78" s="19" t="inlineStr"/>
      <c r="F78" s="18" t="inlineStr"/>
      <c r="G78" s="19" t="inlineStr"/>
      <c r="H78" s="18" t="inlineStr"/>
      <c r="I78" s="20" t="inlineStr">
        <is>
          <t>TARCIANA PAULA GOMES MEDEIROS</t>
        </is>
      </c>
      <c r="J78" s="20" t="inlineStr">
        <is>
          <t>Presidente</t>
        </is>
      </c>
      <c r="K78" s="20" t="inlineStr">
        <is>
          <t>(61) 3493-9002</t>
        </is>
      </c>
      <c r="L78" s="20" t="inlineStr"/>
      <c r="M78" s="20" t="inlineStr"/>
      <c r="N78" s="20" t="inlineStr"/>
      <c r="O78" s="20" t="inlineStr"/>
      <c r="P78" s="20" t="inlineStr">
        <is>
          <t>ALAN CARLOS GUEDES DE OLIVEIRA</t>
        </is>
      </c>
      <c r="Q78" s="20" t="inlineStr">
        <is>
          <t>Diretor</t>
        </is>
      </c>
      <c r="R78" s="20" t="inlineStr">
        <is>
          <t>(61) 3493-9002</t>
        </is>
      </c>
      <c r="S78" s="20" t="inlineStr"/>
      <c r="T78" s="21" t="n">
        <v>11716157.97</v>
      </c>
      <c r="U78" s="30" t="inlineStr">
        <is>
          <t>?</t>
        </is>
      </c>
      <c r="V78" s="23">
        <f>IFERROR(VLOOKUP(U78,Assumptions!$A$7:$D$11,2,FALSE),0)</f>
        <v/>
      </c>
      <c r="W78" s="24">
        <f>MAX(0.5,IFERROR(VLOOKUP(U78,Assumptions!$A$7:$D$11,3,FALSE),3)+IFERROR(VLOOKUP(U78,Assumptions!$A$7:$D$11,4,FALSE),8)/2-IF(AN78="",0,YEAR(TODAY())-AN78))</f>
        <v/>
      </c>
      <c r="X78" s="21">
        <f>T78*V78/(1+Assumptions!$B$3)^W78</f>
        <v/>
      </c>
      <c r="Y78" s="25">
        <f>IF(T78=0,"",ROUND(X78/T78*100,1))</f>
        <v/>
      </c>
      <c r="Z78" s="26">
        <f>X78*Assumptions!$B$4</f>
        <v/>
      </c>
      <c r="AA78" s="25">
        <f>IF(T78=0,"",ROUND(Z78/T78*100,1))</f>
        <v/>
      </c>
      <c r="AB78" s="26">
        <f>X78-Z78</f>
        <v/>
      </c>
      <c r="AC78" s="25">
        <f>IF(T78=0,"",ROUND((X78-Z78)/T78*100,1))</f>
        <v/>
      </c>
      <c r="AD78" s="27" t="inlineStr">
        <is>
          <t>UNKNOWN</t>
        </is>
      </c>
      <c r="AE78" s="28" t="inlineStr">
        <is>
          <t>https://ajruiz.com.br/sites/default/files/public/arquivos-processos/2023-11/4_relacao_de_credores_analitica_art._51_iii_da_lre.pdf</t>
        </is>
      </c>
      <c r="AF78" s="27" t="inlineStr">
        <is>
          <t>p2 r13</t>
        </is>
      </c>
      <c r="AG78" s="27" t="inlineStr">
        <is>
          <t>p2: R$ 11.716.157,97</t>
        </is>
      </c>
      <c r="AH78" s="27" t="inlineStr">
        <is>
          <t>UNKNOWN</t>
        </is>
      </c>
      <c r="AI78" s="27" t="inlineStr"/>
      <c r="AJ78" s="27" t="inlineStr">
        <is>
          <t>OK</t>
        </is>
      </c>
      <c r="AK78" s="29" t="inlineStr">
        <is>
          <t>(not printed)</t>
        </is>
      </c>
      <c r="AL78" s="29" t="inlineStr"/>
      <c r="AM78" s="29" t="inlineStr"/>
      <c r="AN78" s="29" t="inlineStr"/>
      <c r="AO78" s="29" t="inlineStr">
        <is>
          <t>RJ case number not identified on the document</t>
        </is>
      </c>
      <c r="AP78" s="29" t="inlineStr">
        <is>
          <t>BRASILIA</t>
        </is>
      </c>
      <c r="AQ78" s="29" t="inlineStr">
        <is>
          <t>DF</t>
        </is>
      </c>
      <c r="AR78" s="29" t="inlineStr">
        <is>
          <t>Bancos múltiplos, com carteira comercial</t>
        </is>
      </c>
      <c r="AS78" s="29" t="inlineStr">
        <is>
          <t>DEMAIS</t>
        </is>
      </c>
      <c r="AT78" s="29" t="inlineStr">
        <is>
          <t>LARGE CORP</t>
        </is>
      </c>
      <c r="AU78" s="29" t="inlineStr">
        <is>
          <t>00000000</t>
        </is>
      </c>
      <c r="AV78" s="29" t="n">
        <v>1</v>
      </c>
      <c r="AW78" s="29" t="inlineStr">
        <is>
          <t>ALT_VALUE:BANCOS ROWS:p2r13 VALUE_COL:Valor_Do_Crédito CASE_NUMBER_CORRECTED</t>
        </is>
      </c>
    </row>
    <row r="79">
      <c r="A79" s="15" t="inlineStr">
        <is>
          <t>SICREDI EVOLUCAO - COOP CREDITO POUPANCA E INVESTIME NTO</t>
        </is>
      </c>
      <c r="B79" s="16" t="n">
        <v>7778971.39</v>
      </c>
      <c r="C79" s="17" t="inlineStr">
        <is>
          <t>DIAGSON DIAGNOSTICO EM ULTRA SONOGRAFIA MED FETAL LTDA - EM RECUPERACAO JUDICIAL</t>
        </is>
      </c>
      <c r="D79" s="18" t="inlineStr">
        <is>
          <t>NEW</t>
        </is>
      </c>
      <c r="E79" s="19" t="inlineStr"/>
      <c r="F79" s="18" t="inlineStr"/>
      <c r="G79" s="19" t="inlineStr"/>
      <c r="H79" s="18" t="inlineStr"/>
      <c r="I79" s="20" t="inlineStr"/>
      <c r="J79" s="20" t="inlineStr"/>
      <c r="K79" s="20" t="inlineStr"/>
      <c r="L79" s="20" t="inlineStr"/>
      <c r="M79" s="20" t="inlineStr"/>
      <c r="N79" s="20" t="inlineStr"/>
      <c r="O79" s="20" t="inlineStr"/>
      <c r="P79" s="20" t="inlineStr"/>
      <c r="Q79" s="20" t="inlineStr"/>
      <c r="R79" s="20" t="inlineStr"/>
      <c r="S79" s="20" t="inlineStr"/>
      <c r="T79" s="21" t="n">
        <v>7778971.39</v>
      </c>
      <c r="U79" s="22" t="inlineStr">
        <is>
          <t>B</t>
        </is>
      </c>
      <c r="V79" s="23">
        <f>IFERROR(VLOOKUP(U79,Assumptions!$A$7:$D$11,2,FALSE),0)</f>
        <v/>
      </c>
      <c r="W79" s="24">
        <f>MAX(0.5,IFERROR(VLOOKUP(U79,Assumptions!$A$7:$D$11,3,FALSE),3)+IFERROR(VLOOKUP(U79,Assumptions!$A$7:$D$11,4,FALSE),8)/2-IF(AN79="",0,YEAR(TODAY())-AN79))</f>
        <v/>
      </c>
      <c r="X79" s="21">
        <f>T79*V79/(1+Assumptions!$B$3)^W79</f>
        <v/>
      </c>
      <c r="Y79" s="25">
        <f>IF(T79=0,"",ROUND(X79/T79*100,1))</f>
        <v/>
      </c>
      <c r="Z79" s="26">
        <f>X79*Assumptions!$B$4</f>
        <v/>
      </c>
      <c r="AA79" s="25">
        <f>IF(T79=0,"",ROUND(Z79/T79*100,1))</f>
        <v/>
      </c>
      <c r="AB79" s="26">
        <f>X79-Z79</f>
        <v/>
      </c>
      <c r="AC79" s="25">
        <f>IF(T79=0,"",ROUND((X79-Z79)/T79*100,1))</f>
        <v/>
      </c>
      <c r="AD79" s="27" t="inlineStr">
        <is>
          <t>ESTIMATED</t>
        </is>
      </c>
      <c r="AE79" s="28" t="inlineStr">
        <is>
          <t>https://lrflideres.com.br/wp-content/plugins/download-attachments/includes/download.php?id=7418</t>
        </is>
      </c>
      <c r="AF79" s="27" t="inlineStr">
        <is>
          <t>p2 r81</t>
        </is>
      </c>
      <c r="AG79" s="27" t="inlineStr">
        <is>
          <t>p2: R$ 7.778.971,39</t>
        </is>
      </c>
      <c r="AH79" s="27" t="inlineStr">
        <is>
          <t>DEBTOR_LIST</t>
        </is>
      </c>
      <c r="AI79" s="27" t="inlineStr">
        <is>
          <t>2026-07-28</t>
        </is>
      </c>
      <c r="AJ79" s="27" t="inlineStr">
        <is>
          <t>QUARANTINED</t>
        </is>
      </c>
      <c r="AK79" s="29" t="inlineStr">
        <is>
          <t>0822279-56.2026.8.15.2001</t>
        </is>
      </c>
      <c r="AL79" s="29" t="inlineStr">
        <is>
          <t>TJPB</t>
        </is>
      </c>
      <c r="AM79" s="29" t="inlineStr">
        <is>
          <t>ACTIVE</t>
        </is>
      </c>
      <c r="AN79" s="29" t="n">
        <v>2026</v>
      </c>
      <c r="AO79" s="29" t="inlineStr">
        <is>
          <t>live case, no plan document yet</t>
        </is>
      </c>
      <c r="AP79" s="29" t="inlineStr"/>
      <c r="AQ79" s="29" t="inlineStr"/>
      <c r="AR79" s="29" t="inlineStr"/>
      <c r="AS79" s="29" t="inlineStr"/>
      <c r="AT79" s="29" t="inlineStr">
        <is>
          <t>MID-MARKET</t>
        </is>
      </c>
      <c r="AU79" s="29" t="inlineStr">
        <is>
          <t>35571249</t>
        </is>
      </c>
      <c r="AV79" s="29" t="n">
        <v>1</v>
      </c>
      <c r="AW79" s="29" t="inlineStr">
        <is>
          <t>LIKELY_FINANCIAL_BY_NAME PARTIAL_DOC_CLASS_III_RECONCILED ROWS:p2r81</t>
        </is>
      </c>
    </row>
    <row r="80">
      <c r="A80" s="15" t="inlineStr">
        <is>
          <t>FUNDO DE RECUPERACAO DE ATIVOS FIDC - RESPONSABILIDADE LIMITADA</t>
        </is>
      </c>
      <c r="B80" s="16" t="n">
        <v>4514078.28</v>
      </c>
      <c r="C80" s="17" t="inlineStr"/>
      <c r="D80" s="18" t="inlineStr">
        <is>
          <t>NEW</t>
        </is>
      </c>
      <c r="E80" s="19" t="inlineStr"/>
      <c r="F80" s="18" t="inlineStr"/>
      <c r="G80" s="19" t="inlineStr"/>
      <c r="H80" s="18" t="inlineStr"/>
      <c r="I80" s="20" t="inlineStr"/>
      <c r="J80" s="20" t="inlineStr"/>
      <c r="K80" s="20" t="inlineStr">
        <is>
          <t>(11) 3509-0600</t>
        </is>
      </c>
      <c r="L80" s="20" t="inlineStr"/>
      <c r="M80" s="20" t="inlineStr"/>
      <c r="N80" s="20" t="inlineStr"/>
      <c r="O80" s="20" t="inlineStr"/>
      <c r="P80" s="20" t="inlineStr"/>
      <c r="Q80" s="20" t="inlineStr"/>
      <c r="R80" s="20" t="inlineStr"/>
      <c r="S80" s="20" t="inlineStr"/>
      <c r="T80" s="21" t="n">
        <v>4514078.28</v>
      </c>
      <c r="U80" s="31" t="inlineStr">
        <is>
          <t>C</t>
        </is>
      </c>
      <c r="V80" s="23">
        <f>IFERROR(VLOOKUP(U80,Assumptions!$A$7:$D$11,2,FALSE),0)</f>
        <v/>
      </c>
      <c r="W80" s="24">
        <f>MAX(0.5,IFERROR(VLOOKUP(U80,Assumptions!$A$7:$D$11,3,FALSE),3)+IFERROR(VLOOKUP(U80,Assumptions!$A$7:$D$11,4,FALSE),8)/2-IF(AN80="",0,YEAR(TODAY())-AN80))</f>
        <v/>
      </c>
      <c r="X80" s="21">
        <f>T80*V80/(1+Assumptions!$B$3)^W80</f>
        <v/>
      </c>
      <c r="Y80" s="25">
        <f>IF(T80=0,"",ROUND(X80/T80*100,1))</f>
        <v/>
      </c>
      <c r="Z80" s="26">
        <f>X80*Assumptions!$B$4</f>
        <v/>
      </c>
      <c r="AA80" s="25">
        <f>IF(T80=0,"",ROUND(Z80/T80*100,1))</f>
        <v/>
      </c>
      <c r="AB80" s="26">
        <f>X80-Z80</f>
        <v/>
      </c>
      <c r="AC80" s="25">
        <f>IF(T80=0,"",ROUND((X80-Z80)/T80*100,1))</f>
        <v/>
      </c>
      <c r="AD80" s="27" t="inlineStr">
        <is>
          <t>UNKNOWN</t>
        </is>
      </c>
      <c r="AE80" s="28" t="inlineStr">
        <is>
          <t>https://administradorajudicialgs.com.br/wp-content/uploads/2024/12/relacao-de-credores-da-falida.pdf</t>
        </is>
      </c>
      <c r="AF80" s="27" t="inlineStr">
        <is>
          <t>p14 r57</t>
        </is>
      </c>
      <c r="AG80" s="27" t="inlineStr">
        <is>
          <t>p14: R$ 4.514.078,28</t>
        </is>
      </c>
      <c r="AH80" s="27" t="inlineStr">
        <is>
          <t>UNKNOWN</t>
        </is>
      </c>
      <c r="AI80" s="27" t="inlineStr">
        <is>
          <t>2025-03-25</t>
        </is>
      </c>
      <c r="AJ80" s="27" t="inlineStr">
        <is>
          <t>OK_NO_TOTALS</t>
        </is>
      </c>
      <c r="AK80" s="29" t="inlineStr">
        <is>
          <t>0005010-50.2013.8.24.0026</t>
        </is>
      </c>
      <c r="AL80" s="29" t="inlineStr">
        <is>
          <t>TJ</t>
        </is>
      </c>
      <c r="AM80" s="29" t="inlineStr"/>
      <c r="AN80" s="29" t="n">
        <v>2013</v>
      </c>
      <c r="AO80" s="29" t="inlineStr">
        <is>
          <t>13y since filing, no plan document</t>
        </is>
      </c>
      <c r="AP80" s="29" t="inlineStr">
        <is>
          <t>SAO PAULO</t>
        </is>
      </c>
      <c r="AQ80" s="29" t="inlineStr">
        <is>
          <t>SP</t>
        </is>
      </c>
      <c r="AR80" s="29" t="inlineStr">
        <is>
          <t>Fundos de investimento, exceto previdenciários e imobiliários</t>
        </is>
      </c>
      <c r="AS80" s="29" t="inlineStr">
        <is>
          <t>DEMAIS</t>
        </is>
      </c>
      <c r="AT80" s="29" t="inlineStr">
        <is>
          <t>MID-MARKET</t>
        </is>
      </c>
      <c r="AU80" s="29" t="inlineStr">
        <is>
          <t>22415372</t>
        </is>
      </c>
      <c r="AV80" s="29" t="n">
        <v>1</v>
      </c>
      <c r="AW80" s="29" t="inlineStr">
        <is>
          <t>ROWS:p14r57 UNRECONCILED_SOURCE</t>
        </is>
      </c>
    </row>
    <row r="81">
      <c r="A81" s="15" t="inlineStr">
        <is>
          <t>BANCO REGIONAL DE DESENVOLVIMENTO DO EXTREMO SUL - BRDE (</t>
        </is>
      </c>
      <c r="B81" s="16" t="n">
        <v>3110845.12</v>
      </c>
      <c r="C81" s="17" t="inlineStr">
        <is>
          <t>ASSOCIACAO DE CARIDADE SANTA CASA DE RIO GRANDE</t>
        </is>
      </c>
      <c r="D81" s="18" t="inlineStr">
        <is>
          <t>NEW</t>
        </is>
      </c>
      <c r="E81" s="19" t="inlineStr"/>
      <c r="F81" s="18" t="inlineStr"/>
      <c r="G81" s="19" t="inlineStr"/>
      <c r="H81" s="18" t="inlineStr"/>
      <c r="I81" s="20" t="inlineStr"/>
      <c r="J81" s="20" t="inlineStr"/>
      <c r="K81" s="20" t="inlineStr"/>
      <c r="L81" s="20" t="inlineStr"/>
      <c r="M81" s="20" t="inlineStr"/>
      <c r="N81" s="20" t="inlineStr"/>
      <c r="O81" s="20" t="inlineStr"/>
      <c r="P81" s="20" t="inlineStr"/>
      <c r="Q81" s="20" t="inlineStr"/>
      <c r="R81" s="20" t="inlineStr"/>
      <c r="S81" s="20" t="inlineStr"/>
      <c r="T81" s="21" t="n">
        <v>3110845.12</v>
      </c>
      <c r="U81" s="22" t="inlineStr">
        <is>
          <t>B</t>
        </is>
      </c>
      <c r="V81" s="23">
        <f>IFERROR(VLOOKUP(U81,Assumptions!$A$7:$D$11,2,FALSE),0)</f>
        <v/>
      </c>
      <c r="W81" s="24">
        <f>MAX(0.5,IFERROR(VLOOKUP(U81,Assumptions!$A$7:$D$11,3,FALSE),3)+IFERROR(VLOOKUP(U81,Assumptions!$A$7:$D$11,4,FALSE),8)/2-IF(AN81="",0,YEAR(TODAY())-AN81))</f>
        <v/>
      </c>
      <c r="X81" s="21">
        <f>T81*V81/(1+Assumptions!$B$3)^W81</f>
        <v/>
      </c>
      <c r="Y81" s="25">
        <f>IF(T81=0,"",ROUND(X81/T81*100,1))</f>
        <v/>
      </c>
      <c r="Z81" s="26">
        <f>X81*Assumptions!$B$4</f>
        <v/>
      </c>
      <c r="AA81" s="25">
        <f>IF(T81=0,"",ROUND(Z81/T81*100,1))</f>
        <v/>
      </c>
      <c r="AB81" s="26">
        <f>X81-Z81</f>
        <v/>
      </c>
      <c r="AC81" s="25">
        <f>IF(T81=0,"",ROUND((X81-Z81)/T81*100,1))</f>
        <v/>
      </c>
      <c r="AD81" s="27" t="inlineStr">
        <is>
          <t>ESTIMATED</t>
        </is>
      </c>
      <c r="AE81" s="28" t="inlineStr">
        <is>
          <t>https://scalzilliaj.com.br/sgc/download.php?file=files/processo_documento/processo_documento09120721032023_1_.pdf&amp;nome=15 - Edital do art. 7º, §2º e 53 da Lei 11.101/2005 (segunda lista de credores e recebimento do plano))</t>
        </is>
      </c>
      <c r="AF81" s="27" t="inlineStr">
        <is>
          <t>p25 r63</t>
        </is>
      </c>
      <c r="AG81" s="27" t="inlineStr">
        <is>
          <t>p25: R$ 3.110.845,12</t>
        </is>
      </c>
      <c r="AH81" s="27" t="inlineStr">
        <is>
          <t>AJ_LIST</t>
        </is>
      </c>
      <c r="AI81" s="27" t="inlineStr">
        <is>
          <t>2023-03-21</t>
        </is>
      </c>
      <c r="AJ81" s="27" t="inlineStr">
        <is>
          <t>OK_NO_TOTALS</t>
        </is>
      </c>
      <c r="AK81" s="29" t="inlineStr">
        <is>
          <t>5012306-16.2022.8.21.0023</t>
        </is>
      </c>
      <c r="AL81" s="29" t="inlineStr">
        <is>
          <t>TJRS</t>
        </is>
      </c>
      <c r="AM81" s="29" t="inlineStr">
        <is>
          <t>ACTIVE</t>
        </is>
      </c>
      <c r="AN81" s="29" t="n">
        <v>2022</v>
      </c>
      <c r="AO81" s="29" t="inlineStr">
        <is>
          <t>live case, no plan document yet</t>
        </is>
      </c>
      <c r="AP81" s="29" t="inlineStr"/>
      <c r="AQ81" s="29" t="inlineStr"/>
      <c r="AR81" s="29" t="inlineStr"/>
      <c r="AS81" s="29" t="inlineStr"/>
      <c r="AT81" s="29" t="inlineStr">
        <is>
          <t>MID-MARKET</t>
        </is>
      </c>
      <c r="AU81" s="29" t="inlineStr">
        <is>
          <t>92816560</t>
        </is>
      </c>
      <c r="AV81" s="29" t="n">
        <v>1</v>
      </c>
      <c r="AW81" s="29" t="inlineStr">
        <is>
          <t>LIKELY_FINANCIAL_BY_NAME ROWS:p25r63 UNRECONCILED_SOURCE</t>
        </is>
      </c>
    </row>
    <row r="82">
      <c r="A82" s="15" t="inlineStr">
        <is>
          <t>BANCO DO BRASIL SA</t>
        </is>
      </c>
      <c r="B82" s="16" t="n">
        <v>4719186.39</v>
      </c>
      <c r="C82" s="17" t="inlineStr">
        <is>
          <t>D'AGOSTINI &amp; DIDOMENICO LTDA EM RECUPERACAO JUDICIAL</t>
        </is>
      </c>
      <c r="D82" s="18" t="inlineStr">
        <is>
          <t>NEW</t>
        </is>
      </c>
      <c r="E82" s="19" t="inlineStr"/>
      <c r="F82" s="18" t="inlineStr"/>
      <c r="G82" s="19" t="inlineStr"/>
      <c r="H82" s="18" t="inlineStr"/>
      <c r="I82" s="20" t="inlineStr">
        <is>
          <t>TARCIANA PAULA GOMES MEDEIROS</t>
        </is>
      </c>
      <c r="J82" s="20" t="inlineStr">
        <is>
          <t>Presidente</t>
        </is>
      </c>
      <c r="K82" s="20" t="inlineStr">
        <is>
          <t>(61) 3493-9002</t>
        </is>
      </c>
      <c r="L82" s="20" t="inlineStr"/>
      <c r="M82" s="20" t="inlineStr"/>
      <c r="N82" s="20" t="inlineStr"/>
      <c r="O82" s="20" t="inlineStr"/>
      <c r="P82" s="20" t="inlineStr">
        <is>
          <t>ALAN CARLOS GUEDES DE OLIVEIRA</t>
        </is>
      </c>
      <c r="Q82" s="20" t="inlineStr">
        <is>
          <t>Diretor</t>
        </is>
      </c>
      <c r="R82" s="20" t="inlineStr">
        <is>
          <t>(61) 3493-9002</t>
        </is>
      </c>
      <c r="S82" s="20" t="inlineStr"/>
      <c r="T82" s="21" t="n">
        <v>4719186.39</v>
      </c>
      <c r="U82" s="22" t="inlineStr">
        <is>
          <t>B</t>
        </is>
      </c>
      <c r="V82" s="23">
        <f>IFERROR(VLOOKUP(U82,Assumptions!$A$7:$D$11,2,FALSE),0)</f>
        <v/>
      </c>
      <c r="W82" s="24">
        <f>MAX(0.5,IFERROR(VLOOKUP(U82,Assumptions!$A$7:$D$11,3,FALSE),3)+IFERROR(VLOOKUP(U82,Assumptions!$A$7:$D$11,4,FALSE),8)/2-IF(AN82="",0,YEAR(TODAY())-AN82))</f>
        <v/>
      </c>
      <c r="X82" s="21">
        <f>T82*V82/(1+Assumptions!$B$3)^W82</f>
        <v/>
      </c>
      <c r="Y82" s="25">
        <f>IF(T82=0,"",ROUND(X82/T82*100,1))</f>
        <v/>
      </c>
      <c r="Z82" s="26">
        <f>X82*Assumptions!$B$4</f>
        <v/>
      </c>
      <c r="AA82" s="25">
        <f>IF(T82=0,"",ROUND(Z82/T82*100,1))</f>
        <v/>
      </c>
      <c r="AB82" s="26">
        <f>X82-Z82</f>
        <v/>
      </c>
      <c r="AC82" s="25">
        <f>IF(T82=0,"",ROUND((X82-Z82)/T82*100,1))</f>
        <v/>
      </c>
      <c r="AD82" s="27" t="inlineStr">
        <is>
          <t>ESTIMATED</t>
        </is>
      </c>
      <c r="AE82" s="28" t="inlineStr">
        <is>
          <t>https://marquesadmjudicial.com.br/sgc/download.php?file=files/processo_documento/processo_documento20014127022025_1_.pdf&amp;nome=Relação Nominal de Credores</t>
        </is>
      </c>
      <c r="AF82" s="27" t="inlineStr">
        <is>
          <t>p4 r8</t>
        </is>
      </c>
      <c r="AG82" s="27" t="inlineStr">
        <is>
          <t>p4: R$ 4.719.186,39</t>
        </is>
      </c>
      <c r="AH82" s="27" t="inlineStr">
        <is>
          <t>AJ_LIST</t>
        </is>
      </c>
      <c r="AI82" s="27" t="inlineStr">
        <is>
          <t>2024-11-08</t>
        </is>
      </c>
      <c r="AJ82" s="27" t="inlineStr">
        <is>
          <t>QUARANTINED</t>
        </is>
      </c>
      <c r="AK82" s="29" t="inlineStr">
        <is>
          <t>0001943-40.2024.8.16.0115</t>
        </is>
      </c>
      <c r="AL82" s="29" t="inlineStr">
        <is>
          <t>TJPR</t>
        </is>
      </c>
      <c r="AM82" s="29" t="inlineStr">
        <is>
          <t>ACTIVE</t>
        </is>
      </c>
      <c r="AN82" s="29" t="n">
        <v>2024</v>
      </c>
      <c r="AO82" s="29" t="inlineStr">
        <is>
          <t>live case, no plan document yet</t>
        </is>
      </c>
      <c r="AP82" s="29" t="inlineStr">
        <is>
          <t>BRASILIA</t>
        </is>
      </c>
      <c r="AQ82" s="29" t="inlineStr">
        <is>
          <t>DF</t>
        </is>
      </c>
      <c r="AR82" s="29" t="inlineStr">
        <is>
          <t>Bancos múltiplos, com carteira comercial</t>
        </is>
      </c>
      <c r="AS82" s="29" t="inlineStr">
        <is>
          <t>DEMAIS</t>
        </is>
      </c>
      <c r="AT82" s="29" t="inlineStr">
        <is>
          <t>LARGE CORP</t>
        </is>
      </c>
      <c r="AU82" s="29" t="inlineStr">
        <is>
          <t>00000000</t>
        </is>
      </c>
      <c r="AV82" s="29" t="n">
        <v>1</v>
      </c>
      <c r="AW82" s="29" t="inlineStr">
        <is>
          <t>LIKELY_FINANCIAL_BY_NAME PARTIAL_DOC_CLASS_III_RECONCILED ROWS:p4r8</t>
        </is>
      </c>
    </row>
    <row r="83">
      <c r="A83" s="15" t="inlineStr">
        <is>
          <t>BANCO DO NORDESTE DO BRASIL SA</t>
        </is>
      </c>
      <c r="B83" s="16" t="n">
        <v>4771560.11</v>
      </c>
      <c r="C83" s="17" t="inlineStr"/>
      <c r="D83" s="18" t="inlineStr">
        <is>
          <t>NEW</t>
        </is>
      </c>
      <c r="E83" s="19" t="inlineStr"/>
      <c r="F83" s="18" t="inlineStr"/>
      <c r="G83" s="19" t="inlineStr"/>
      <c r="H83" s="18" t="inlineStr"/>
      <c r="I83" s="20" t="inlineStr">
        <is>
          <t>PAULO HENRIQUE SARAIVA CAMARA</t>
        </is>
      </c>
      <c r="J83" s="20" t="inlineStr">
        <is>
          <t>Presidente</t>
        </is>
      </c>
      <c r="K83" s="20" t="inlineStr">
        <is>
          <t>(85) 3299-3000</t>
        </is>
      </c>
      <c r="L83" s="20" t="inlineStr"/>
      <c r="M83" s="20" t="inlineStr"/>
      <c r="N83" s="20" t="inlineStr"/>
      <c r="O83" s="20" t="inlineStr"/>
      <c r="P83" s="20" t="inlineStr">
        <is>
          <t>ANA TERESA BARBOSA DE CARVALHO</t>
        </is>
      </c>
      <c r="Q83" s="20" t="inlineStr">
        <is>
          <t>Diretor</t>
        </is>
      </c>
      <c r="R83" s="20" t="inlineStr">
        <is>
          <t>(85) 3299-3000</t>
        </is>
      </c>
      <c r="S83" s="20" t="inlineStr"/>
      <c r="T83" s="21" t="n">
        <v>4771560.11</v>
      </c>
      <c r="U83" s="31" t="inlineStr">
        <is>
          <t>C</t>
        </is>
      </c>
      <c r="V83" s="23">
        <f>IFERROR(VLOOKUP(U83,Assumptions!$A$7:$D$11,2,FALSE),0)</f>
        <v/>
      </c>
      <c r="W83" s="24">
        <f>MAX(0.5,IFERROR(VLOOKUP(U83,Assumptions!$A$7:$D$11,3,FALSE),3)+IFERROR(VLOOKUP(U83,Assumptions!$A$7:$D$11,4,FALSE),8)/2-IF(AN83="",0,YEAR(TODAY())-AN83))</f>
        <v/>
      </c>
      <c r="X83" s="21">
        <f>T83*V83/(1+Assumptions!$B$3)^W83</f>
        <v/>
      </c>
      <c r="Y83" s="25">
        <f>IF(T83=0,"",ROUND(X83/T83*100,1))</f>
        <v/>
      </c>
      <c r="Z83" s="26">
        <f>X83*Assumptions!$B$4</f>
        <v/>
      </c>
      <c r="AA83" s="25">
        <f>IF(T83=0,"",ROUND(Z83/T83*100,1))</f>
        <v/>
      </c>
      <c r="AB83" s="26">
        <f>X83-Z83</f>
        <v/>
      </c>
      <c r="AC83" s="25">
        <f>IF(T83=0,"",ROUND((X83-Z83)/T83*100,1))</f>
        <v/>
      </c>
      <c r="AD83" s="27" t="inlineStr">
        <is>
          <t>UNKNOWN</t>
        </is>
      </c>
      <c r="AE83" s="28" t="inlineStr">
        <is>
          <t>https://realbrasil.com.br/wp-content/uploads/2018/06/2_LISTA-DE-CREDORES-DA-RECUPERANDA_ROQUE.pdf</t>
        </is>
      </c>
      <c r="AF83" s="27" t="inlineStr">
        <is>
          <t>p2 r1</t>
        </is>
      </c>
      <c r="AG83" s="27" t="inlineStr">
        <is>
          <t>p2: R$ 4.771.560,11</t>
        </is>
      </c>
      <c r="AH83" s="27" t="inlineStr">
        <is>
          <t>UNKNOWN</t>
        </is>
      </c>
      <c r="AI83" s="27" t="inlineStr"/>
      <c r="AJ83" s="27" t="inlineStr">
        <is>
          <t>OK</t>
        </is>
      </c>
      <c r="AK83" s="29" t="inlineStr">
        <is>
          <t>0802426-35.2019.8.10.0000</t>
        </is>
      </c>
      <c r="AL83" s="29" t="inlineStr">
        <is>
          <t>TJ</t>
        </is>
      </c>
      <c r="AM83" s="29" t="inlineStr"/>
      <c r="AN83" s="29" t="n">
        <v>2019</v>
      </c>
      <c r="AO83" s="29" t="inlineStr">
        <is>
          <t>7y since filing, no plan document</t>
        </is>
      </c>
      <c r="AP83" s="29" t="inlineStr">
        <is>
          <t>FORTALEZA</t>
        </is>
      </c>
      <c r="AQ83" s="29" t="inlineStr">
        <is>
          <t>CE</t>
        </is>
      </c>
      <c r="AR83" s="29" t="inlineStr">
        <is>
          <t>Bancos múltiplos, com carteira comercial</t>
        </is>
      </c>
      <c r="AS83" s="29" t="inlineStr">
        <is>
          <t>DEMAIS</t>
        </is>
      </c>
      <c r="AT83" s="29" t="inlineStr">
        <is>
          <t>LARGE CORP</t>
        </is>
      </c>
      <c r="AU83" s="29" t="inlineStr">
        <is>
          <t>07237373</t>
        </is>
      </c>
      <c r="AV83" s="29" t="n">
        <v>1</v>
      </c>
      <c r="AW83" s="29" t="inlineStr">
        <is>
          <t>ROWS:p2r1 VALUE_COL:Saldo_Total</t>
        </is>
      </c>
    </row>
    <row r="84">
      <c r="A84" s="15" t="inlineStr">
        <is>
          <t>BANCO SAFRA S A</t>
        </is>
      </c>
      <c r="B84" s="16" t="n">
        <v>3718575.71</v>
      </c>
      <c r="C84" s="17" t="inlineStr">
        <is>
          <t>ADVOCACIA WANDERLEI DE PAULA BARRETO</t>
        </is>
      </c>
      <c r="D84" s="18" t="inlineStr">
        <is>
          <t>NEW</t>
        </is>
      </c>
      <c r="E84" s="19" t="inlineStr"/>
      <c r="F84" s="18" t="inlineStr"/>
      <c r="G84" s="19" t="inlineStr"/>
      <c r="H84" s="18" t="inlineStr"/>
      <c r="I84" s="20" t="inlineStr">
        <is>
          <t>RAFAEL BORDALO QUINTAS</t>
        </is>
      </c>
      <c r="J84" s="20" t="inlineStr">
        <is>
          <t>Administrador</t>
        </is>
      </c>
      <c r="K84" s="20" t="inlineStr">
        <is>
          <t>(11) 3175-7575</t>
        </is>
      </c>
      <c r="L84" s="20" t="inlineStr"/>
      <c r="M84" s="20" t="inlineStr"/>
      <c r="N84" s="20" t="inlineStr"/>
      <c r="O84" s="20" t="inlineStr"/>
      <c r="P84" s="20" t="inlineStr">
        <is>
          <t>ADRIANO MACIEL PEDROTI</t>
        </is>
      </c>
      <c r="Q84" s="20" t="inlineStr">
        <is>
          <t>Diretor</t>
        </is>
      </c>
      <c r="R84" s="20" t="inlineStr">
        <is>
          <t>(11) 3175-7575</t>
        </is>
      </c>
      <c r="S84" s="20" t="inlineStr"/>
      <c r="T84" s="21" t="n">
        <v>3718575.71</v>
      </c>
      <c r="U84" s="22" t="inlineStr">
        <is>
          <t>B</t>
        </is>
      </c>
      <c r="V84" s="23">
        <f>IFERROR(VLOOKUP(U84,Assumptions!$A$7:$D$11,2,FALSE),0)</f>
        <v/>
      </c>
      <c r="W84" s="24">
        <f>MAX(0.5,IFERROR(VLOOKUP(U84,Assumptions!$A$7:$D$11,3,FALSE),3)+IFERROR(VLOOKUP(U84,Assumptions!$A$7:$D$11,4,FALSE),8)/2-IF(AN84="",0,YEAR(TODAY())-AN84))</f>
        <v/>
      </c>
      <c r="X84" s="21">
        <f>T84*V84/(1+Assumptions!$B$3)^W84</f>
        <v/>
      </c>
      <c r="Y84" s="25">
        <f>IF(T84=0,"",ROUND(X84/T84*100,1))</f>
        <v/>
      </c>
      <c r="Z84" s="26">
        <f>X84*Assumptions!$B$4</f>
        <v/>
      </c>
      <c r="AA84" s="25">
        <f>IF(T84=0,"",ROUND(Z84/T84*100,1))</f>
        <v/>
      </c>
      <c r="AB84" s="26">
        <f>X84-Z84</f>
        <v/>
      </c>
      <c r="AC84" s="25">
        <f>IF(T84=0,"",ROUND((X84-Z84)/T84*100,1))</f>
        <v/>
      </c>
      <c r="AD84" s="27" t="inlineStr">
        <is>
          <t>ESTIMATED</t>
        </is>
      </c>
      <c r="AE84" s="28" t="inlineStr">
        <is>
          <t>https://marquesadmjudicial.com.br/sgc/download.php?file=files/processo_documento/processo_documento17040729052024_1_.pdf&amp;nome=Relação Nominal de Credores AJ-Sintética</t>
        </is>
      </c>
      <c r="AF84" s="27" t="inlineStr">
        <is>
          <t>p10 r5</t>
        </is>
      </c>
      <c r="AG84" s="27" t="inlineStr">
        <is>
          <t>p10: R$ 3.718.575,71</t>
        </is>
      </c>
      <c r="AH84" s="27" t="inlineStr">
        <is>
          <t>AJ_LIST</t>
        </is>
      </c>
      <c r="AI84" s="27" t="inlineStr">
        <is>
          <t>2024-05-27</t>
        </is>
      </c>
      <c r="AJ84" s="27" t="inlineStr">
        <is>
          <t>QUARANTINED</t>
        </is>
      </c>
      <c r="AK84" s="29" t="inlineStr">
        <is>
          <t>0003971-03.2023.8.16.0119</t>
        </is>
      </c>
      <c r="AL84" s="29" t="inlineStr">
        <is>
          <t>TJPR</t>
        </is>
      </c>
      <c r="AM84" s="29" t="inlineStr">
        <is>
          <t>ACTIVE</t>
        </is>
      </c>
      <c r="AN84" s="29" t="n">
        <v>2023</v>
      </c>
      <c r="AO84" s="29" t="inlineStr">
        <is>
          <t>live case, no plan document yet</t>
        </is>
      </c>
      <c r="AP84" s="29" t="inlineStr">
        <is>
          <t>SAO PAULO</t>
        </is>
      </c>
      <c r="AQ84" s="29" t="inlineStr">
        <is>
          <t>SP</t>
        </is>
      </c>
      <c r="AR84" s="29" t="inlineStr">
        <is>
          <t>Bancos múltiplos, com carteira comercial</t>
        </is>
      </c>
      <c r="AS84" s="29" t="inlineStr">
        <is>
          <t>DEMAIS</t>
        </is>
      </c>
      <c r="AT84" s="29" t="inlineStr">
        <is>
          <t>LARGE CORP</t>
        </is>
      </c>
      <c r="AU84" s="29" t="inlineStr">
        <is>
          <t>58160789</t>
        </is>
      </c>
      <c r="AV84" s="29" t="n">
        <v>1</v>
      </c>
      <c r="AW84" s="29" t="inlineStr">
        <is>
          <t>LIKELY_FINANCIAL_BY_NAME PARTIAL_DOC_CLASS_III_RECONCILED ROWS:p10r5</t>
        </is>
      </c>
    </row>
    <row r="85">
      <c r="A85" s="15" t="inlineStr">
        <is>
          <t>FARM TECH IBBA I FIDC</t>
        </is>
      </c>
      <c r="B85" s="16" t="n">
        <v>5767665.6</v>
      </c>
      <c r="C85" s="17" t="inlineStr">
        <is>
          <t>NORTESUL COMERCIAL AGRICOLA LTDA EM RECUPERACAO JUDICIAL</t>
        </is>
      </c>
      <c r="D85" s="18" t="inlineStr">
        <is>
          <t>NEW</t>
        </is>
      </c>
      <c r="E85" s="19" t="inlineStr"/>
      <c r="F85" s="18" t="inlineStr"/>
      <c r="G85" s="19" t="inlineStr"/>
      <c r="H85" s="18" t="inlineStr"/>
      <c r="I85" s="20" t="inlineStr"/>
      <c r="J85" s="20" t="inlineStr"/>
      <c r="K85" s="20" t="inlineStr"/>
      <c r="L85" s="20" t="inlineStr"/>
      <c r="M85" s="20" t="inlineStr"/>
      <c r="N85" s="20" t="inlineStr"/>
      <c r="O85" s="20" t="inlineStr"/>
      <c r="P85" s="20" t="inlineStr"/>
      <c r="Q85" s="20" t="inlineStr"/>
      <c r="R85" s="20" t="inlineStr"/>
      <c r="S85" s="20" t="inlineStr"/>
      <c r="T85" s="21" t="n">
        <v>5767665.6</v>
      </c>
      <c r="U85" s="22" t="inlineStr">
        <is>
          <t>B</t>
        </is>
      </c>
      <c r="V85" s="23">
        <f>IFERROR(VLOOKUP(U85,Assumptions!$A$7:$D$11,2,FALSE),0)</f>
        <v/>
      </c>
      <c r="W85" s="24">
        <f>MAX(0.5,IFERROR(VLOOKUP(U85,Assumptions!$A$7:$D$11,3,FALSE),3)+IFERROR(VLOOKUP(U85,Assumptions!$A$7:$D$11,4,FALSE),8)/2-IF(AN85="",0,YEAR(TODAY())-AN85))</f>
        <v/>
      </c>
      <c r="X85" s="21">
        <f>T85*V85/(1+Assumptions!$B$3)^W85</f>
        <v/>
      </c>
      <c r="Y85" s="25">
        <f>IF(T85=0,"",ROUND(X85/T85*100,1))</f>
        <v/>
      </c>
      <c r="Z85" s="26">
        <f>X85*Assumptions!$B$4</f>
        <v/>
      </c>
      <c r="AA85" s="25">
        <f>IF(T85=0,"",ROUND(Z85/T85*100,1))</f>
        <v/>
      </c>
      <c r="AB85" s="26">
        <f>X85-Z85</f>
        <v/>
      </c>
      <c r="AC85" s="25">
        <f>IF(T85=0,"",ROUND((X85-Z85)/T85*100,1))</f>
        <v/>
      </c>
      <c r="AD85" s="27" t="inlineStr">
        <is>
          <t>ESTIMATED</t>
        </is>
      </c>
      <c r="AE85" s="28" t="inlineStr">
        <is>
          <t>https://lrflideres.com.br/wp-content/plugins/download-attachments/includes/download.php?id=6879</t>
        </is>
      </c>
      <c r="AF85" s="27" t="inlineStr">
        <is>
          <t>p1 r13</t>
        </is>
      </c>
      <c r="AG85" s="27" t="inlineStr">
        <is>
          <t>p1: R$ 5.767.665,60</t>
        </is>
      </c>
      <c r="AH85" s="27" t="inlineStr">
        <is>
          <t>AJ_LIST</t>
        </is>
      </c>
      <c r="AI85" s="27" t="inlineStr">
        <is>
          <t>2026-01-15</t>
        </is>
      </c>
      <c r="AJ85" s="27" t="inlineStr">
        <is>
          <t>OK</t>
        </is>
      </c>
      <c r="AK85" s="29" t="inlineStr">
        <is>
          <t>0804401-51.2025.8.14.0039</t>
        </is>
      </c>
      <c r="AL85" s="29" t="inlineStr">
        <is>
          <t>TJPA</t>
        </is>
      </c>
      <c r="AM85" s="29" t="inlineStr">
        <is>
          <t>ACTIVE</t>
        </is>
      </c>
      <c r="AN85" s="29" t="n">
        <v>2025</v>
      </c>
      <c r="AO85" s="29" t="inlineStr">
        <is>
          <t>live case, no plan document yet</t>
        </is>
      </c>
      <c r="AP85" s="29" t="inlineStr"/>
      <c r="AQ85" s="29" t="inlineStr"/>
      <c r="AR85" s="29" t="inlineStr"/>
      <c r="AS85" s="29" t="inlineStr"/>
      <c r="AT85" s="29" t="inlineStr">
        <is>
          <t>MID-MARKET</t>
        </is>
      </c>
      <c r="AU85" s="29" t="inlineStr">
        <is>
          <t>47151680</t>
        </is>
      </c>
      <c r="AV85" s="29" t="n">
        <v>1</v>
      </c>
      <c r="AW85" s="29" t="inlineStr">
        <is>
          <t>LIKELY_FINANCIAL_BY_NAME MULTI_ROOT ROWS:p1r13</t>
        </is>
      </c>
    </row>
    <row r="86">
      <c r="A86" s="15" t="inlineStr">
        <is>
          <t>BANCO SANTANDER (BRASIL) S.A.</t>
        </is>
      </c>
      <c r="B86" s="16" t="n">
        <v>5767145.07</v>
      </c>
      <c r="C86" s="17" t="inlineStr">
        <is>
          <t>Cerealista Sa</t>
        </is>
      </c>
      <c r="D86" s="18" t="inlineStr">
        <is>
          <t>NEW</t>
        </is>
      </c>
      <c r="E86" s="19" t="inlineStr"/>
      <c r="F86" s="18" t="inlineStr"/>
      <c r="G86" s="19" t="inlineStr"/>
      <c r="H86" s="18" t="inlineStr"/>
      <c r="I86" s="20" t="inlineStr">
        <is>
          <t>GILSON FINKELSZTAIN</t>
        </is>
      </c>
      <c r="J86" s="20" t="inlineStr">
        <is>
          <t>Presidente</t>
        </is>
      </c>
      <c r="K86" s="20" t="inlineStr">
        <is>
          <t>(11) 4004-3535</t>
        </is>
      </c>
      <c r="L86" s="20" t="inlineStr"/>
      <c r="M86" s="20" t="inlineStr"/>
      <c r="N86" s="20" t="inlineStr"/>
      <c r="O86" s="20" t="inlineStr"/>
      <c r="P86" s="20" t="inlineStr">
        <is>
          <t>ALESSANDRO CHAGAS FARIAS</t>
        </is>
      </c>
      <c r="Q86" s="20" t="inlineStr">
        <is>
          <t>Diretor</t>
        </is>
      </c>
      <c r="R86" s="20" t="inlineStr">
        <is>
          <t>(11) 4004-3535</t>
        </is>
      </c>
      <c r="S86" s="20" t="inlineStr"/>
      <c r="T86" s="21" t="n">
        <v>5767145.07</v>
      </c>
      <c r="U86" s="22" t="inlineStr">
        <is>
          <t>B</t>
        </is>
      </c>
      <c r="V86" s="23">
        <f>IFERROR(VLOOKUP(U86,Assumptions!$A$7:$D$11,2,FALSE),0)</f>
        <v/>
      </c>
      <c r="W86" s="24">
        <f>MAX(0.5,IFERROR(VLOOKUP(U86,Assumptions!$A$7:$D$11,3,FALSE),3)+IFERROR(VLOOKUP(U86,Assumptions!$A$7:$D$11,4,FALSE),8)/2-IF(AN86="",0,YEAR(TODAY())-AN86))</f>
        <v/>
      </c>
      <c r="X86" s="21">
        <f>T86*V86/(1+Assumptions!$B$3)^W86</f>
        <v/>
      </c>
      <c r="Y86" s="25">
        <f>IF(T86=0,"",ROUND(X86/T86*100,1))</f>
        <v/>
      </c>
      <c r="Z86" s="26">
        <f>X86*Assumptions!$B$4</f>
        <v/>
      </c>
      <c r="AA86" s="25">
        <f>IF(T86=0,"",ROUND(Z86/T86*100,1))</f>
        <v/>
      </c>
      <c r="AB86" s="26">
        <f>X86-Z86</f>
        <v/>
      </c>
      <c r="AC86" s="25">
        <f>IF(T86=0,"",ROUND((X86-Z86)/T86*100,1))</f>
        <v/>
      </c>
      <c r="AD86" s="27" t="inlineStr">
        <is>
          <t>ESTIMATED</t>
        </is>
      </c>
      <c r="AE86" s="28" t="inlineStr">
        <is>
          <t>https://ajruiz.com.br/sites/default/files/public/arquivos-processos/2026-01/safrasul_relacao_de_credores_recuperanda.pdf</t>
        </is>
      </c>
      <c r="AF86" s="27" t="inlineStr">
        <is>
          <t>p8 r25; p8 r26; p8 r27; p8 r28; p8 r29; p8 r30</t>
        </is>
      </c>
      <c r="AG86" s="27" t="inlineStr">
        <is>
          <t>p8: R$ 2.243.930,13; p8: R$ 2.083.333,35; p8: R$ 489.881,59; p8: R$ 200.000,00; p8: R$ 500.000,00; p8: R$ 250.000,00</t>
        </is>
      </c>
      <c r="AH86" s="27" t="inlineStr">
        <is>
          <t>AJ_LIST</t>
        </is>
      </c>
      <c r="AI86" s="27" t="inlineStr">
        <is>
          <t>2026-01-14</t>
        </is>
      </c>
      <c r="AJ86" s="27" t="inlineStr">
        <is>
          <t>OK_NO_TOTALS</t>
        </is>
      </c>
      <c r="AK86" s="29" t="inlineStr">
        <is>
          <t>4000167-23.2025.8.26.0373</t>
        </is>
      </c>
      <c r="AL86" s="29" t="inlineStr">
        <is>
          <t>TJSP</t>
        </is>
      </c>
      <c r="AM86" s="29" t="inlineStr">
        <is>
          <t>ACTIVE</t>
        </is>
      </c>
      <c r="AN86" s="29" t="n">
        <v>2025</v>
      </c>
      <c r="AO86" s="29" t="inlineStr">
        <is>
          <t>live case, no plan document yet</t>
        </is>
      </c>
      <c r="AP86" s="29" t="inlineStr">
        <is>
          <t>SAO PAULO</t>
        </is>
      </c>
      <c r="AQ86" s="29" t="inlineStr">
        <is>
          <t>SP</t>
        </is>
      </c>
      <c r="AR86" s="29" t="inlineStr">
        <is>
          <t>Bancos múltiplos, com carteira comercial</t>
        </is>
      </c>
      <c r="AS86" s="29" t="inlineStr">
        <is>
          <t>DEMAIS</t>
        </is>
      </c>
      <c r="AT86" s="29" t="inlineStr">
        <is>
          <t>LARGE CORP</t>
        </is>
      </c>
      <c r="AU86" s="29" t="inlineStr">
        <is>
          <t>90400888</t>
        </is>
      </c>
      <c r="AV86" s="29" t="n">
        <v>6</v>
      </c>
      <c r="AW86" s="29" t="inlineStr">
        <is>
          <t>LIKELY_FINANCIAL_BY_NAME ROWS:p8r25,p8r26,p8r27,p8r28,p8r29,p8r30 UNRECONCILED_SOURCE</t>
        </is>
      </c>
    </row>
    <row r="87">
      <c r="A87" s="15" t="inlineStr">
        <is>
          <t>ITAU UNIBANCO S.A.</t>
        </is>
      </c>
      <c r="B87" s="16" t="n">
        <v>4610725.19</v>
      </c>
      <c r="C87" s="17" t="inlineStr">
        <is>
          <t>GRUPO ADLIM – LRF Líderes em Recuperação Judicial e Falência</t>
        </is>
      </c>
      <c r="D87" s="18" t="inlineStr">
        <is>
          <t>NEW</t>
        </is>
      </c>
      <c r="E87" s="19" t="inlineStr"/>
      <c r="F87" s="18" t="inlineStr"/>
      <c r="G87" s="19" t="inlineStr"/>
      <c r="H87" s="18" t="inlineStr"/>
      <c r="I87" s="20" t="inlineStr">
        <is>
          <t>FELIPE SAMPAIO NABUCO</t>
        </is>
      </c>
      <c r="J87" s="20" t="inlineStr">
        <is>
          <t>Administrador</t>
        </is>
      </c>
      <c r="K87" s="20" t="inlineStr">
        <is>
          <t>(11) 3003-4828</t>
        </is>
      </c>
      <c r="L87" s="20" t="inlineStr"/>
      <c r="M87" s="20" t="inlineStr"/>
      <c r="N87" s="20" t="inlineStr"/>
      <c r="O87" s="20" t="inlineStr"/>
      <c r="P87" s="20" t="inlineStr">
        <is>
          <t>MILTON MALUHY FILHO</t>
        </is>
      </c>
      <c r="Q87" s="20" t="inlineStr">
        <is>
          <t>Presidente</t>
        </is>
      </c>
      <c r="R87" s="20" t="inlineStr">
        <is>
          <t>(11) 3003-4828</t>
        </is>
      </c>
      <c r="S87" s="20" t="inlineStr"/>
      <c r="T87" s="21" t="n">
        <v>4610725.19</v>
      </c>
      <c r="U87" s="22" t="inlineStr">
        <is>
          <t>B</t>
        </is>
      </c>
      <c r="V87" s="23">
        <f>IFERROR(VLOOKUP(U87,Assumptions!$A$7:$D$11,2,FALSE),0)</f>
        <v/>
      </c>
      <c r="W87" s="24">
        <f>MAX(0.5,IFERROR(VLOOKUP(U87,Assumptions!$A$7:$D$11,3,FALSE),3)+IFERROR(VLOOKUP(U87,Assumptions!$A$7:$D$11,4,FALSE),8)/2-IF(AN87="",0,YEAR(TODAY())-AN87))</f>
        <v/>
      </c>
      <c r="X87" s="21">
        <f>T87*V87/(1+Assumptions!$B$3)^W87</f>
        <v/>
      </c>
      <c r="Y87" s="25">
        <f>IF(T87=0,"",ROUND(X87/T87*100,1))</f>
        <v/>
      </c>
      <c r="Z87" s="26">
        <f>X87*Assumptions!$B$4</f>
        <v/>
      </c>
      <c r="AA87" s="25">
        <f>IF(T87=0,"",ROUND(Z87/T87*100,1))</f>
        <v/>
      </c>
      <c r="AB87" s="26">
        <f>X87-Z87</f>
        <v/>
      </c>
      <c r="AC87" s="25">
        <f>IF(T87=0,"",ROUND((X87-Z87)/T87*100,1))</f>
        <v/>
      </c>
      <c r="AD87" s="27" t="inlineStr">
        <is>
          <t>ESTIMATED</t>
        </is>
      </c>
      <c r="AE87" s="28" t="inlineStr">
        <is>
          <t>https://lrflideres.com.br/wp-content/plugins/download-attachments/includes/download.php?id=6051</t>
        </is>
      </c>
      <c r="AF87" s="27" t="inlineStr">
        <is>
          <t>p67 r21</t>
        </is>
      </c>
      <c r="AG87" s="27" t="inlineStr">
        <is>
          <t>p67: R$ 4610725,19</t>
        </is>
      </c>
      <c r="AH87" s="27" t="inlineStr">
        <is>
          <t>AJ_LIST</t>
        </is>
      </c>
      <c r="AI87" s="27" t="inlineStr">
        <is>
          <t>2024-08-12</t>
        </is>
      </c>
      <c r="AJ87" s="27" t="inlineStr">
        <is>
          <t>QUARANTINED</t>
        </is>
      </c>
      <c r="AK87" s="29" t="inlineStr">
        <is>
          <t>0019761-43.2024.8.17.2001</t>
        </is>
      </c>
      <c r="AL87" s="29" t="inlineStr">
        <is>
          <t>TJPE</t>
        </is>
      </c>
      <c r="AM87" s="29" t="inlineStr">
        <is>
          <t>ACTIVE</t>
        </is>
      </c>
      <c r="AN87" s="29" t="n">
        <v>2024</v>
      </c>
      <c r="AO87" s="29" t="inlineStr">
        <is>
          <t>live case, no plan document yet</t>
        </is>
      </c>
      <c r="AP87" s="29" t="inlineStr">
        <is>
          <t>SAO PAULO</t>
        </is>
      </c>
      <c r="AQ87" s="29" t="inlineStr">
        <is>
          <t>SP</t>
        </is>
      </c>
      <c r="AR87" s="29" t="inlineStr">
        <is>
          <t>Bancos comerciais</t>
        </is>
      </c>
      <c r="AS87" s="29" t="inlineStr">
        <is>
          <t>DEMAIS</t>
        </is>
      </c>
      <c r="AT87" s="29" t="inlineStr">
        <is>
          <t>LARGE CORP</t>
        </is>
      </c>
      <c r="AU87" s="29" t="inlineStr">
        <is>
          <t>60701190</t>
        </is>
      </c>
      <c r="AV87" s="29" t="n">
        <v>1</v>
      </c>
      <c r="AW87" s="29" t="inlineStr">
        <is>
          <t>LIKELY_FINANCIAL_BY_NAME PARTIAL_DOC_CLASS_III_RECONCILED ROWS:p67r21</t>
        </is>
      </c>
    </row>
    <row r="88">
      <c r="A88" s="15" t="inlineStr">
        <is>
          <t>Gavea Securitizadora S.A.</t>
        </is>
      </c>
      <c r="B88" s="16" t="n">
        <v>3660943.81</v>
      </c>
      <c r="C88" s="17" t="inlineStr">
        <is>
          <t>VEV COMERCIO DE MEDICAMENTOS LTDA EM RECUPERACAO JUDICIAL</t>
        </is>
      </c>
      <c r="D88" s="18" t="inlineStr">
        <is>
          <t>NEW</t>
        </is>
      </c>
      <c r="E88" s="19" t="inlineStr"/>
      <c r="F88" s="18" t="inlineStr"/>
      <c r="G88" s="19" t="inlineStr"/>
      <c r="H88" s="18" t="inlineStr"/>
      <c r="I88" s="20" t="inlineStr"/>
      <c r="J88" s="20" t="inlineStr"/>
      <c r="K88" s="20" t="inlineStr"/>
      <c r="L88" s="20" t="inlineStr"/>
      <c r="M88" s="20" t="inlineStr"/>
      <c r="N88" s="20" t="inlineStr"/>
      <c r="O88" s="20" t="inlineStr"/>
      <c r="P88" s="20" t="inlineStr"/>
      <c r="Q88" s="20" t="inlineStr"/>
      <c r="R88" s="20" t="inlineStr"/>
      <c r="S88" s="20" t="inlineStr"/>
      <c r="T88" s="21" t="n">
        <v>3660943.81</v>
      </c>
      <c r="U88" s="22" t="inlineStr">
        <is>
          <t>B</t>
        </is>
      </c>
      <c r="V88" s="23">
        <f>IFERROR(VLOOKUP(U88,Assumptions!$A$7:$D$11,2,FALSE),0)</f>
        <v/>
      </c>
      <c r="W88" s="24">
        <f>MAX(0.5,IFERROR(VLOOKUP(U88,Assumptions!$A$7:$D$11,3,FALSE),3)+IFERROR(VLOOKUP(U88,Assumptions!$A$7:$D$11,4,FALSE),8)/2-IF(AN88="",0,YEAR(TODAY())-AN88))</f>
        <v/>
      </c>
      <c r="X88" s="21">
        <f>T88*V88/(1+Assumptions!$B$3)^W88</f>
        <v/>
      </c>
      <c r="Y88" s="25">
        <f>IF(T88=0,"",ROUND(X88/T88*100,1))</f>
        <v/>
      </c>
      <c r="Z88" s="26">
        <f>X88*Assumptions!$B$4</f>
        <v/>
      </c>
      <c r="AA88" s="25">
        <f>IF(T88=0,"",ROUND(Z88/T88*100,1))</f>
        <v/>
      </c>
      <c r="AB88" s="26">
        <f>X88-Z88</f>
        <v/>
      </c>
      <c r="AC88" s="25">
        <f>IF(T88=0,"",ROUND((X88-Z88)/T88*100,1))</f>
        <v/>
      </c>
      <c r="AD88" s="27" t="inlineStr">
        <is>
          <t>ESTIMATED</t>
        </is>
      </c>
      <c r="AE88" s="28" t="inlineStr">
        <is>
          <t>https://marquesadmjudicial.com.br/sgc/download.php?file=files/processo_documento/processo_documento15293208032024_1_.pdf&amp;nome=Relação Nominal de Credores da AJ-Sintética</t>
        </is>
      </c>
      <c r="AF88" s="27" t="inlineStr">
        <is>
          <t>p25 r13</t>
        </is>
      </c>
      <c r="AG88" s="27" t="inlineStr">
        <is>
          <t>p25: R$ 3.660.943,81</t>
        </is>
      </c>
      <c r="AH88" s="27" t="inlineStr">
        <is>
          <t>AJ_LIST</t>
        </is>
      </c>
      <c r="AI88" s="27" t="inlineStr">
        <is>
          <t>2023-03-02</t>
        </is>
      </c>
      <c r="AJ88" s="27" t="inlineStr">
        <is>
          <t>QUARANTINED</t>
        </is>
      </c>
      <c r="AK88" s="29" t="inlineStr">
        <is>
          <t>0005010-98.2023.8.16.0001</t>
        </is>
      </c>
      <c r="AL88" s="29" t="inlineStr">
        <is>
          <t>TJPR</t>
        </is>
      </c>
      <c r="AM88" s="29" t="inlineStr">
        <is>
          <t>ACTIVE</t>
        </is>
      </c>
      <c r="AN88" s="29" t="n">
        <v>2023</v>
      </c>
      <c r="AO88" s="29" t="inlineStr">
        <is>
          <t>live case, no plan document yet</t>
        </is>
      </c>
      <c r="AP88" s="29" t="inlineStr"/>
      <c r="AQ88" s="29" t="inlineStr"/>
      <c r="AR88" s="29" t="inlineStr"/>
      <c r="AS88" s="29" t="inlineStr"/>
      <c r="AT88" s="29" t="inlineStr">
        <is>
          <t>MID-MARKET</t>
        </is>
      </c>
      <c r="AU88" s="29" t="inlineStr">
        <is>
          <t>11193684</t>
        </is>
      </c>
      <c r="AV88" s="29" t="n">
        <v>1</v>
      </c>
      <c r="AW88" s="29" t="inlineStr">
        <is>
          <t>LIKELY_FINANCIAL_BY_NAME PARTIAL_DOC_CLASS_III_RECONCILED ROWS:p25r13</t>
        </is>
      </c>
    </row>
    <row r="89">
      <c r="A89" s="15" t="inlineStr">
        <is>
          <t>ITAU UNIBANCO S.A.</t>
        </is>
      </c>
      <c r="B89" s="16" t="n">
        <v>3660419.48</v>
      </c>
      <c r="C89" s="17" t="inlineStr">
        <is>
          <t>CRISTAL MASTER INDUSTRIA E COMERCIO LTDA</t>
        </is>
      </c>
      <c r="D89" s="18" t="inlineStr">
        <is>
          <t>NEW</t>
        </is>
      </c>
      <c r="E89" s="19" t="inlineStr"/>
      <c r="F89" s="18" t="inlineStr"/>
      <c r="G89" s="19" t="inlineStr"/>
      <c r="H89" s="18" t="inlineStr"/>
      <c r="I89" s="20" t="inlineStr">
        <is>
          <t>FELIPE SAMPAIO NABUCO</t>
        </is>
      </c>
      <c r="J89" s="20" t="inlineStr">
        <is>
          <t>Administrador</t>
        </is>
      </c>
      <c r="K89" s="20" t="inlineStr">
        <is>
          <t>(11) 3003-4828</t>
        </is>
      </c>
      <c r="L89" s="20" t="inlineStr"/>
      <c r="M89" s="20" t="inlineStr"/>
      <c r="N89" s="20" t="inlineStr"/>
      <c r="O89" s="20" t="inlineStr"/>
      <c r="P89" s="20" t="inlineStr">
        <is>
          <t>MILTON MALUHY FILHO</t>
        </is>
      </c>
      <c r="Q89" s="20" t="inlineStr">
        <is>
          <t>Presidente</t>
        </is>
      </c>
      <c r="R89" s="20" t="inlineStr">
        <is>
          <t>(11) 3003-4828</t>
        </is>
      </c>
      <c r="S89" s="20" t="inlineStr"/>
      <c r="T89" s="21" t="n">
        <v>3660419.48</v>
      </c>
      <c r="U89" s="22" t="inlineStr">
        <is>
          <t>B</t>
        </is>
      </c>
      <c r="V89" s="23">
        <f>IFERROR(VLOOKUP(U89,Assumptions!$A$7:$D$11,2,FALSE),0)</f>
        <v/>
      </c>
      <c r="W89" s="24">
        <f>MAX(0.5,IFERROR(VLOOKUP(U89,Assumptions!$A$7:$D$11,3,FALSE),3)+IFERROR(VLOOKUP(U89,Assumptions!$A$7:$D$11,4,FALSE),8)/2-IF(AN89="",0,YEAR(TODAY())-AN89))</f>
        <v/>
      </c>
      <c r="X89" s="21">
        <f>T89*V89/(1+Assumptions!$B$3)^W89</f>
        <v/>
      </c>
      <c r="Y89" s="25">
        <f>IF(T89=0,"",ROUND(X89/T89*100,1))</f>
        <v/>
      </c>
      <c r="Z89" s="26">
        <f>X89*Assumptions!$B$4</f>
        <v/>
      </c>
      <c r="AA89" s="25">
        <f>IF(T89=0,"",ROUND(Z89/T89*100,1))</f>
        <v/>
      </c>
      <c r="AB89" s="26">
        <f>X89-Z89</f>
        <v/>
      </c>
      <c r="AC89" s="25">
        <f>IF(T89=0,"",ROUND((X89-Z89)/T89*100,1))</f>
        <v/>
      </c>
      <c r="AD89" s="27" t="inlineStr">
        <is>
          <t>ESTIMATED</t>
        </is>
      </c>
      <c r="AE89" s="28" t="inlineStr">
        <is>
          <t>https://ajruiz.com.br/sites/default/files/public/arquivos-processos/2026-08/qgc_azeplast_julho_2026.pdf</t>
        </is>
      </c>
      <c r="AF89" s="27" t="inlineStr">
        <is>
          <t>p1 r32</t>
        </is>
      </c>
      <c r="AG89" s="27" t="inlineStr">
        <is>
          <t>p1: R$ 3.660.419,48</t>
        </is>
      </c>
      <c r="AH89" s="27" t="inlineStr">
        <is>
          <t>QGC</t>
        </is>
      </c>
      <c r="AI89" s="27" t="inlineStr"/>
      <c r="AJ89" s="27" t="inlineStr">
        <is>
          <t>QUARANTINED</t>
        </is>
      </c>
      <c r="AK89" s="29" t="inlineStr">
        <is>
          <t>5008793-34.2023.8.24.0019</t>
        </is>
      </c>
      <c r="AL89" s="29" t="inlineStr">
        <is>
          <t>TJSC</t>
        </is>
      </c>
      <c r="AM89" s="29" t="inlineStr">
        <is>
          <t>ACTIVE</t>
        </is>
      </c>
      <c r="AN89" s="29" t="n">
        <v>2023</v>
      </c>
      <c r="AO89" s="29" t="inlineStr">
        <is>
          <t>live case, no plan document yet</t>
        </is>
      </c>
      <c r="AP89" s="29" t="inlineStr">
        <is>
          <t>SAO PAULO</t>
        </is>
      </c>
      <c r="AQ89" s="29" t="inlineStr">
        <is>
          <t>SP</t>
        </is>
      </c>
      <c r="AR89" s="29" t="inlineStr">
        <is>
          <t>Bancos comerciais</t>
        </is>
      </c>
      <c r="AS89" s="29" t="inlineStr">
        <is>
          <t>DEMAIS</t>
        </is>
      </c>
      <c r="AT89" s="29" t="inlineStr">
        <is>
          <t>LARGE CORP</t>
        </is>
      </c>
      <c r="AU89" s="29" t="inlineStr">
        <is>
          <t>60701190</t>
        </is>
      </c>
      <c r="AV89" s="29" t="n">
        <v>1</v>
      </c>
      <c r="AW89" s="29" t="inlineStr">
        <is>
          <t>LIKELY_FINANCIAL_BY_NAME PARTIAL_DOC_CLASS_III_RECONCILED ROWS:p1r32</t>
        </is>
      </c>
    </row>
    <row r="90">
      <c r="A90" s="15" t="inlineStr">
        <is>
          <t>CAIXA ECONOMICA FEDERAL</t>
        </is>
      </c>
      <c r="B90" s="16" t="n">
        <v>4561019.96</v>
      </c>
      <c r="C90" s="17" t="inlineStr">
        <is>
          <t>DIVINA INDUSTRIA DE COURO LTDA - EM RECUPERACAO JUDICIAL</t>
        </is>
      </c>
      <c r="D90" s="18" t="inlineStr">
        <is>
          <t>NEW</t>
        </is>
      </c>
      <c r="E90" s="19" t="inlineStr"/>
      <c r="F90" s="18" t="inlineStr"/>
      <c r="G90" s="19" t="inlineStr"/>
      <c r="H90" s="18" t="inlineStr"/>
      <c r="I90" s="20" t="inlineStr">
        <is>
          <t>ADRIANO ASSIS MATIAS</t>
        </is>
      </c>
      <c r="J90" s="20" t="inlineStr">
        <is>
          <t>Administrador</t>
        </is>
      </c>
      <c r="K90" s="20" t="inlineStr">
        <is>
          <t>(00) 4004-0104</t>
        </is>
      </c>
      <c r="L90" s="20" t="inlineStr"/>
      <c r="M90" s="20" t="inlineStr"/>
      <c r="N90" s="20" t="inlineStr"/>
      <c r="O90" s="20" t="inlineStr"/>
      <c r="P90" s="20" t="inlineStr">
        <is>
          <t>HENRIETE ALEXANDRA SARTORI BERNABE</t>
        </is>
      </c>
      <c r="Q90" s="20" t="inlineStr">
        <is>
          <t>Administrador</t>
        </is>
      </c>
      <c r="R90" s="20" t="inlineStr">
        <is>
          <t>(00) 4004-0104</t>
        </is>
      </c>
      <c r="S90" s="20" t="inlineStr"/>
      <c r="T90" s="21" t="n">
        <v>4561019.96</v>
      </c>
      <c r="U90" s="22" t="inlineStr">
        <is>
          <t>B</t>
        </is>
      </c>
      <c r="V90" s="23">
        <f>IFERROR(VLOOKUP(U90,Assumptions!$A$7:$D$11,2,FALSE),0)</f>
        <v/>
      </c>
      <c r="W90" s="24">
        <f>MAX(0.5,IFERROR(VLOOKUP(U90,Assumptions!$A$7:$D$11,3,FALSE),3)+IFERROR(VLOOKUP(U90,Assumptions!$A$7:$D$11,4,FALSE),8)/2-IF(AN90="",0,YEAR(TODAY())-AN90))</f>
        <v/>
      </c>
      <c r="X90" s="21">
        <f>T90*V90/(1+Assumptions!$B$3)^W90</f>
        <v/>
      </c>
      <c r="Y90" s="25">
        <f>IF(T90=0,"",ROUND(X90/T90*100,1))</f>
        <v/>
      </c>
      <c r="Z90" s="26">
        <f>X90*Assumptions!$B$4</f>
        <v/>
      </c>
      <c r="AA90" s="25">
        <f>IF(T90=0,"",ROUND(Z90/T90*100,1))</f>
        <v/>
      </c>
      <c r="AB90" s="26">
        <f>X90-Z90</f>
        <v/>
      </c>
      <c r="AC90" s="25">
        <f>IF(T90=0,"",ROUND((X90-Z90)/T90*100,1))</f>
        <v/>
      </c>
      <c r="AD90" s="27" t="inlineStr">
        <is>
          <t>ESTIMATED</t>
        </is>
      </c>
      <c r="AE90" s="28" t="inlineStr">
        <is>
          <t>https://lrflideres.com.br/wp-content/plugins/download-attachments/includes/download.php?id=6252</t>
        </is>
      </c>
      <c r="AF90" s="27" t="inlineStr">
        <is>
          <t>p2 r15; p2 r24</t>
        </is>
      </c>
      <c r="AG90" s="27" t="inlineStr">
        <is>
          <t>p2: R$ 3.112.473,02; p2: R$ 1.448.546,94</t>
        </is>
      </c>
      <c r="AH90" s="27" t="inlineStr">
        <is>
          <t>AJ_LIST</t>
        </is>
      </c>
      <c r="AI90" s="27" t="inlineStr">
        <is>
          <t>2024-11-27</t>
        </is>
      </c>
      <c r="AJ90" s="27" t="inlineStr">
        <is>
          <t>QUARANTINED</t>
        </is>
      </c>
      <c r="AK90" s="29" t="inlineStr">
        <is>
          <t>0000721-61.2024.8.17.2620</t>
        </is>
      </c>
      <c r="AL90" s="29" t="inlineStr">
        <is>
          <t>TJPE</t>
        </is>
      </c>
      <c r="AM90" s="29" t="inlineStr">
        <is>
          <t>ACTIVE</t>
        </is>
      </c>
      <c r="AN90" s="29" t="n">
        <v>2024</v>
      </c>
      <c r="AO90" s="29" t="inlineStr">
        <is>
          <t>live case, no plan document yet</t>
        </is>
      </c>
      <c r="AP90" s="29" t="inlineStr">
        <is>
          <t>BRASILIA</t>
        </is>
      </c>
      <c r="AQ90" s="29" t="inlineStr">
        <is>
          <t>DF</t>
        </is>
      </c>
      <c r="AR90" s="29" t="inlineStr">
        <is>
          <t>Caixas econômicas</t>
        </is>
      </c>
      <c r="AS90" s="29" t="inlineStr">
        <is>
          <t>DEMAIS</t>
        </is>
      </c>
      <c r="AT90" s="29" t="inlineStr">
        <is>
          <t>LARGE CORP</t>
        </is>
      </c>
      <c r="AU90" s="29" t="inlineStr">
        <is>
          <t>00360305</t>
        </is>
      </c>
      <c r="AV90" s="29" t="n">
        <v>2</v>
      </c>
      <c r="AW90" s="29" t="inlineStr">
        <is>
          <t>LIKELY_FINANCIAL_BY_NAME PARTIAL_DOC_CLASS_III_RECONCILED ROWS:p2r15,p2r24</t>
        </is>
      </c>
    </row>
    <row r="91">
      <c r="A91" s="15" t="inlineStr">
        <is>
          <t>BANCO BRADESCO S.A.</t>
        </is>
      </c>
      <c r="B91" s="16" t="n">
        <v>5316666.67</v>
      </c>
      <c r="C91" s="17" t="inlineStr">
        <is>
          <t>COMERCIO RACOES BEM BOM LTDA</t>
        </is>
      </c>
      <c r="D91" s="18" t="inlineStr">
        <is>
          <t>NEW</t>
        </is>
      </c>
      <c r="E91" s="19" t="inlineStr"/>
      <c r="F91" s="18" t="inlineStr"/>
      <c r="G91" s="19" t="inlineStr"/>
      <c r="H91" s="18" t="inlineStr"/>
      <c r="I91" s="20" t="inlineStr">
        <is>
          <t>MARCELO DE ARAUJO NORONHA</t>
        </is>
      </c>
      <c r="J91" s="20" t="inlineStr">
        <is>
          <t>Presidente</t>
        </is>
      </c>
      <c r="K91" s="20" t="inlineStr">
        <is>
          <t>(11) 3684-5122</t>
        </is>
      </c>
      <c r="L91" s="20" t="inlineStr"/>
      <c r="M91" s="20" t="inlineStr"/>
      <c r="N91" s="20" t="inlineStr"/>
      <c r="O91" s="20" t="inlineStr"/>
      <c r="P91" s="20" t="inlineStr">
        <is>
          <t>AFRANIO CARLOS CAMARGO DANTZGER</t>
        </is>
      </c>
      <c r="Q91" s="20" t="inlineStr">
        <is>
          <t>Diretor</t>
        </is>
      </c>
      <c r="R91" s="20" t="inlineStr">
        <is>
          <t>(11) 3684-5122</t>
        </is>
      </c>
      <c r="S91" s="20" t="inlineStr"/>
      <c r="T91" s="21" t="n">
        <v>5316666.67</v>
      </c>
      <c r="U91" s="32" t="inlineStr">
        <is>
          <t>A</t>
        </is>
      </c>
      <c r="V91" s="23">
        <f>IFERROR(VLOOKUP(U91,Assumptions!$A$7:$D$11,2,FALSE),0)</f>
        <v/>
      </c>
      <c r="W91" s="24">
        <f>MAX(0.5,IFERROR(VLOOKUP(U91,Assumptions!$A$7:$D$11,3,FALSE),3)+IFERROR(VLOOKUP(U91,Assumptions!$A$7:$D$11,4,FALSE),8)/2-IF(AN91="",0,YEAR(TODAY())-AN91))</f>
        <v/>
      </c>
      <c r="X91" s="21">
        <f>T91*V91/(1+Assumptions!$B$3)^W91</f>
        <v/>
      </c>
      <c r="Y91" s="25">
        <f>IF(T91=0,"",ROUND(X91/T91*100,1))</f>
        <v/>
      </c>
      <c r="Z91" s="26">
        <f>X91*Assumptions!$B$4</f>
        <v/>
      </c>
      <c r="AA91" s="25">
        <f>IF(T91=0,"",ROUND(Z91/T91*100,1))</f>
        <v/>
      </c>
      <c r="AB91" s="26">
        <f>X91-Z91</f>
        <v/>
      </c>
      <c r="AC91" s="25">
        <f>IF(T91=0,"",ROUND((X91-Z91)/T91*100,1))</f>
        <v/>
      </c>
      <c r="AD91" s="27" t="inlineStr">
        <is>
          <t>CONFIRMED</t>
        </is>
      </c>
      <c r="AE91" s="28" t="inlineStr">
        <is>
          <t>https://stenius.com.br/wp-content/uploads/2026/06/EDITAL-GRUPO-3E.pdf</t>
        </is>
      </c>
      <c r="AF91" s="27" t="inlineStr">
        <is>
          <t>p10 r32</t>
        </is>
      </c>
      <c r="AG91" s="27" t="inlineStr">
        <is>
          <t>p10: R$ 5.316.666,67</t>
        </is>
      </c>
      <c r="AH91" s="27" t="inlineStr">
        <is>
          <t>DEBTOR_LIST</t>
        </is>
      </c>
      <c r="AI91" s="27" t="inlineStr">
        <is>
          <t>2026-06-22</t>
        </is>
      </c>
      <c r="AJ91" s="27" t="inlineStr">
        <is>
          <t>OK_NO_TOTALS</t>
        </is>
      </c>
      <c r="AK91" s="29" t="inlineStr">
        <is>
          <t>5341375-33.2026.8.09.0049</t>
        </is>
      </c>
      <c r="AL91" s="29" t="inlineStr">
        <is>
          <t>TJGO</t>
        </is>
      </c>
      <c r="AM91" s="29" t="inlineStr">
        <is>
          <t>ACTIVE</t>
        </is>
      </c>
      <c r="AN91" s="29" t="n">
        <v>2026</v>
      </c>
      <c r="AO91" s="29" t="inlineStr">
        <is>
          <t>plan/homologation document found</t>
        </is>
      </c>
      <c r="AP91" s="29" t="inlineStr">
        <is>
          <t>OSASCO</t>
        </is>
      </c>
      <c r="AQ91" s="29" t="inlineStr">
        <is>
          <t>SP</t>
        </is>
      </c>
      <c r="AR91" s="29" t="inlineStr">
        <is>
          <t>Bancos múltiplos, com carteira comercial</t>
        </is>
      </c>
      <c r="AS91" s="29" t="inlineStr">
        <is>
          <t>DEMAIS</t>
        </is>
      </c>
      <c r="AT91" s="29" t="inlineStr">
        <is>
          <t>LARGE CORP</t>
        </is>
      </c>
      <c r="AU91" s="29" t="inlineStr">
        <is>
          <t>60746948</t>
        </is>
      </c>
      <c r="AV91" s="29" t="n">
        <v>1</v>
      </c>
      <c r="AW91" s="29" t="inlineStr">
        <is>
          <t>LIKELY_FINANCIAL_BY_NAME ROWS:p10r32 UNRECONCILED_SOURCE</t>
        </is>
      </c>
    </row>
    <row r="92">
      <c r="A92" s="15" t="inlineStr">
        <is>
          <t>METAL CREDIT SECURITIZADORA S.A.</t>
        </is>
      </c>
      <c r="B92" s="16" t="n">
        <v>3539955.57</v>
      </c>
      <c r="C92" s="17" t="inlineStr">
        <is>
          <t>Conduscabos Brasil Indústria Comércio de</t>
        </is>
      </c>
      <c r="D92" s="18" t="inlineStr">
        <is>
          <t>NEW</t>
        </is>
      </c>
      <c r="E92" s="19" t="inlineStr"/>
      <c r="F92" s="18" t="inlineStr"/>
      <c r="G92" s="19" t="inlineStr"/>
      <c r="H92" s="18" t="inlineStr"/>
      <c r="I92" s="20" t="inlineStr">
        <is>
          <t>GILMAR ROBERTO DETTILIO JUNIOR</t>
        </is>
      </c>
      <c r="J92" s="20" t="inlineStr">
        <is>
          <t>Presidente</t>
        </is>
      </c>
      <c r="K92" s="20" t="inlineStr">
        <is>
          <t>(41) 3244-4560</t>
        </is>
      </c>
      <c r="L92" s="20" t="inlineStr"/>
      <c r="M92" s="20" t="inlineStr"/>
      <c r="N92" s="20" t="inlineStr"/>
      <c r="O92" s="20" t="inlineStr"/>
      <c r="P92" s="20" t="inlineStr"/>
      <c r="Q92" s="20" t="inlineStr"/>
      <c r="R92" s="20" t="inlineStr"/>
      <c r="S92" s="20" t="inlineStr"/>
      <c r="T92" s="21" t="n">
        <v>3539955.57</v>
      </c>
      <c r="U92" s="22" t="inlineStr">
        <is>
          <t>B</t>
        </is>
      </c>
      <c r="V92" s="23">
        <f>IFERROR(VLOOKUP(U92,Assumptions!$A$7:$D$11,2,FALSE),0)</f>
        <v/>
      </c>
      <c r="W92" s="24">
        <f>MAX(0.5,IFERROR(VLOOKUP(U92,Assumptions!$A$7:$D$11,3,FALSE),3)+IFERROR(VLOOKUP(U92,Assumptions!$A$7:$D$11,4,FALSE),8)/2-IF(AN92="",0,YEAR(TODAY())-AN92))</f>
        <v/>
      </c>
      <c r="X92" s="21">
        <f>T92*V92/(1+Assumptions!$B$3)^W92</f>
        <v/>
      </c>
      <c r="Y92" s="25">
        <f>IF(T92=0,"",ROUND(X92/T92*100,1))</f>
        <v/>
      </c>
      <c r="Z92" s="26">
        <f>X92*Assumptions!$B$4</f>
        <v/>
      </c>
      <c r="AA92" s="25">
        <f>IF(T92=0,"",ROUND(Z92/T92*100,1))</f>
        <v/>
      </c>
      <c r="AB92" s="26">
        <f>X92-Z92</f>
        <v/>
      </c>
      <c r="AC92" s="25">
        <f>IF(T92=0,"",ROUND((X92-Z92)/T92*100,1))</f>
        <v/>
      </c>
      <c r="AD92" s="27" t="inlineStr">
        <is>
          <t>ESTIMATED</t>
        </is>
      </c>
      <c r="AE92" s="28" t="inlineStr">
        <is>
          <t>https://assistjud.com.br/wp-content/uploads/elementor/forms/65098c80a5824.pdf</t>
        </is>
      </c>
      <c r="AF92" s="27" t="inlineStr">
        <is>
          <t>p9 r2</t>
        </is>
      </c>
      <c r="AG92" s="27" t="inlineStr">
        <is>
          <t>p9: R$ 3.539.955,57</t>
        </is>
      </c>
      <c r="AH92" s="27" t="inlineStr">
        <is>
          <t>AJ_LIST</t>
        </is>
      </c>
      <c r="AI92" s="27" t="inlineStr">
        <is>
          <t>2023-09-18</t>
        </is>
      </c>
      <c r="AJ92" s="27" t="inlineStr">
        <is>
          <t>OK_NO_TOTALS</t>
        </is>
      </c>
      <c r="AK92" s="29" t="inlineStr">
        <is>
          <t>8005129-09.2023.8.05.0039</t>
        </is>
      </c>
      <c r="AL92" s="29" t="inlineStr">
        <is>
          <t>TJBA</t>
        </is>
      </c>
      <c r="AM92" s="29" t="inlineStr">
        <is>
          <t>ACTIVE</t>
        </is>
      </c>
      <c r="AN92" s="29" t="n">
        <v>2023</v>
      </c>
      <c r="AO92" s="29" t="inlineStr">
        <is>
          <t>live case, no plan document yet</t>
        </is>
      </c>
      <c r="AP92" s="29" t="inlineStr">
        <is>
          <t>SAO PAULO</t>
        </is>
      </c>
      <c r="AQ92" s="29" t="inlineStr">
        <is>
          <t>SP</t>
        </is>
      </c>
      <c r="AR92" s="29" t="inlineStr">
        <is>
          <t>Securitização de créditos</t>
        </is>
      </c>
      <c r="AS92" s="29" t="inlineStr">
        <is>
          <t>DEMAIS</t>
        </is>
      </c>
      <c r="AT92" s="29" t="inlineStr">
        <is>
          <t>MID-MARKET</t>
        </is>
      </c>
      <c r="AU92" s="29" t="inlineStr">
        <is>
          <t>33721490</t>
        </is>
      </c>
      <c r="AV92" s="29" t="n">
        <v>1</v>
      </c>
      <c r="AW92" s="29" t="inlineStr">
        <is>
          <t>ROWS:p9r2 UNRECONCILED_SOURCE</t>
        </is>
      </c>
    </row>
    <row r="93">
      <c r="A93" s="15" t="inlineStr">
        <is>
          <t>BANCO SANTANDER (BRASIL) S.A.</t>
        </is>
      </c>
      <c r="B93" s="16" t="n">
        <v>2800719.2</v>
      </c>
      <c r="C93" s="17" t="inlineStr">
        <is>
          <t>R W CONSTRUCOES LTDA</t>
        </is>
      </c>
      <c r="D93" s="18" t="inlineStr">
        <is>
          <t>NEW</t>
        </is>
      </c>
      <c r="E93" s="19" t="inlineStr"/>
      <c r="F93" s="18" t="inlineStr"/>
      <c r="G93" s="19" t="inlineStr"/>
      <c r="H93" s="18" t="inlineStr"/>
      <c r="I93" s="20" t="inlineStr">
        <is>
          <t>GILSON FINKELSZTAIN</t>
        </is>
      </c>
      <c r="J93" s="20" t="inlineStr">
        <is>
          <t>Presidente</t>
        </is>
      </c>
      <c r="K93" s="20" t="inlineStr">
        <is>
          <t>(11) 4004-3535</t>
        </is>
      </c>
      <c r="L93" s="20" t="inlineStr"/>
      <c r="M93" s="20" t="inlineStr"/>
      <c r="N93" s="20" t="inlineStr"/>
      <c r="O93" s="20" t="inlineStr"/>
      <c r="P93" s="20" t="inlineStr">
        <is>
          <t>ALESSANDRO CHAGAS FARIAS</t>
        </is>
      </c>
      <c r="Q93" s="20" t="inlineStr">
        <is>
          <t>Diretor</t>
        </is>
      </c>
      <c r="R93" s="20" t="inlineStr">
        <is>
          <t>(11) 4004-3535</t>
        </is>
      </c>
      <c r="S93" s="20" t="inlineStr"/>
      <c r="T93" s="21" t="n">
        <v>2800719.2</v>
      </c>
      <c r="U93" s="22" t="inlineStr">
        <is>
          <t>B</t>
        </is>
      </c>
      <c r="V93" s="23">
        <f>IFERROR(VLOOKUP(U93,Assumptions!$A$7:$D$11,2,FALSE),0)</f>
        <v/>
      </c>
      <c r="W93" s="24">
        <f>MAX(0.5,IFERROR(VLOOKUP(U93,Assumptions!$A$7:$D$11,3,FALSE),3)+IFERROR(VLOOKUP(U93,Assumptions!$A$7:$D$11,4,FALSE),8)/2-IF(AN93="",0,YEAR(TODAY())-AN93))</f>
        <v/>
      </c>
      <c r="X93" s="21">
        <f>T93*V93/(1+Assumptions!$B$3)^W93</f>
        <v/>
      </c>
      <c r="Y93" s="25">
        <f>IF(T93=0,"",ROUND(X93/T93*100,1))</f>
        <v/>
      </c>
      <c r="Z93" s="26">
        <f>X93*Assumptions!$B$4</f>
        <v/>
      </c>
      <c r="AA93" s="25">
        <f>IF(T93=0,"",ROUND(Z93/T93*100,1))</f>
        <v/>
      </c>
      <c r="AB93" s="26">
        <f>X93-Z93</f>
        <v/>
      </c>
      <c r="AC93" s="25">
        <f>IF(T93=0,"",ROUND((X93-Z93)/T93*100,1))</f>
        <v/>
      </c>
      <c r="AD93" s="27" t="inlineStr">
        <is>
          <t>ESTIMATED</t>
        </is>
      </c>
      <c r="AE93" s="28" t="inlineStr">
        <is>
          <t>https://lrflideres.com.br/wp-content/plugins/download-attachments/includes/download.php?id=4023</t>
        </is>
      </c>
      <c r="AF93" s="27" t="inlineStr">
        <is>
          <t>p4 r57; p7 r80</t>
        </is>
      </c>
      <c r="AG93" s="27" t="inlineStr">
        <is>
          <t>p4: R$ 2.445.781,02; p7: R$ 354.938,18</t>
        </is>
      </c>
      <c r="AH93" s="27" t="inlineStr">
        <is>
          <t>DEBTOR_LIST</t>
        </is>
      </c>
      <c r="AI93" s="27" t="inlineStr"/>
      <c r="AJ93" s="27" t="inlineStr">
        <is>
          <t>QUARANTINED</t>
        </is>
      </c>
      <c r="AK93" s="29" t="inlineStr">
        <is>
          <t>0002484-82.2022.8.17.2001</t>
        </is>
      </c>
      <c r="AL93" s="29" t="inlineStr">
        <is>
          <t>TJPE</t>
        </is>
      </c>
      <c r="AM93" s="29" t="inlineStr">
        <is>
          <t>ACTIVE</t>
        </is>
      </c>
      <c r="AN93" s="29" t="n">
        <v>2022</v>
      </c>
      <c r="AO93" s="29" t="inlineStr">
        <is>
          <t>live case, no plan document yet</t>
        </is>
      </c>
      <c r="AP93" s="29" t="inlineStr">
        <is>
          <t>SAO PAULO</t>
        </is>
      </c>
      <c r="AQ93" s="29" t="inlineStr">
        <is>
          <t>SP</t>
        </is>
      </c>
      <c r="AR93" s="29" t="inlineStr">
        <is>
          <t>Bancos múltiplos, com carteira comercial</t>
        </is>
      </c>
      <c r="AS93" s="29" t="inlineStr">
        <is>
          <t>DEMAIS</t>
        </is>
      </c>
      <c r="AT93" s="29" t="inlineStr">
        <is>
          <t>LARGE CORP</t>
        </is>
      </c>
      <c r="AU93" s="29" t="inlineStr">
        <is>
          <t>90400888</t>
        </is>
      </c>
      <c r="AV93" s="29" t="n">
        <v>2</v>
      </c>
      <c r="AW93" s="29" t="inlineStr">
        <is>
          <t>LIKELY_FINANCIAL_BY_NAME PARTIAL_DOC_CLASS_III_RECONCILED ROWS:p4r57,p7r80</t>
        </is>
      </c>
    </row>
    <row r="94">
      <c r="A94" s="15" t="inlineStr">
        <is>
          <t>BANCO DO NORDESTE DO BRASIL SA</t>
        </is>
      </c>
      <c r="B94" s="16" t="n">
        <v>5413142.01</v>
      </c>
      <c r="C94" s="17" t="inlineStr">
        <is>
          <t>ARRUDA &amp; MELO COMERCIO E DISTRIBUICAO DE ALIMENTOS E BEBIDAS LTDA</t>
        </is>
      </c>
      <c r="D94" s="18" t="inlineStr">
        <is>
          <t>NEW</t>
        </is>
      </c>
      <c r="E94" s="19" t="inlineStr"/>
      <c r="F94" s="18" t="inlineStr"/>
      <c r="G94" s="19" t="inlineStr"/>
      <c r="H94" s="18" t="inlineStr"/>
      <c r="I94" s="20" t="inlineStr">
        <is>
          <t>PAULO HENRIQUE SARAIVA CAMARA</t>
        </is>
      </c>
      <c r="J94" s="20" t="inlineStr">
        <is>
          <t>Presidente</t>
        </is>
      </c>
      <c r="K94" s="20" t="inlineStr">
        <is>
          <t>(85) 3299-3000</t>
        </is>
      </c>
      <c r="L94" s="20" t="inlineStr"/>
      <c r="M94" s="20" t="inlineStr"/>
      <c r="N94" s="20" t="inlineStr"/>
      <c r="O94" s="20" t="inlineStr"/>
      <c r="P94" s="20" t="inlineStr">
        <is>
          <t>ANA TERESA BARBOSA DE CARVALHO</t>
        </is>
      </c>
      <c r="Q94" s="20" t="inlineStr">
        <is>
          <t>Diretor</t>
        </is>
      </c>
      <c r="R94" s="20" t="inlineStr">
        <is>
          <t>(85) 3299-3000</t>
        </is>
      </c>
      <c r="S94" s="20" t="inlineStr"/>
      <c r="T94" s="21" t="n">
        <v>5413142.01</v>
      </c>
      <c r="U94" s="22" t="inlineStr">
        <is>
          <t>B</t>
        </is>
      </c>
      <c r="V94" s="23">
        <f>IFERROR(VLOOKUP(U94,Assumptions!$A$7:$D$11,2,FALSE),0)</f>
        <v/>
      </c>
      <c r="W94" s="24">
        <f>MAX(0.5,IFERROR(VLOOKUP(U94,Assumptions!$A$7:$D$11,3,FALSE),3)+IFERROR(VLOOKUP(U94,Assumptions!$A$7:$D$11,4,FALSE),8)/2-IF(AN94="",0,YEAR(TODAY())-AN94))</f>
        <v/>
      </c>
      <c r="X94" s="21">
        <f>T94*V94/(1+Assumptions!$B$3)^W94</f>
        <v/>
      </c>
      <c r="Y94" s="25">
        <f>IF(T94=0,"",ROUND(X94/T94*100,1))</f>
        <v/>
      </c>
      <c r="Z94" s="26">
        <f>X94*Assumptions!$B$4</f>
        <v/>
      </c>
      <c r="AA94" s="25">
        <f>IF(T94=0,"",ROUND(Z94/T94*100,1))</f>
        <v/>
      </c>
      <c r="AB94" s="26">
        <f>X94-Z94</f>
        <v/>
      </c>
      <c r="AC94" s="25">
        <f>IF(T94=0,"",ROUND((X94-Z94)/T94*100,1))</f>
        <v/>
      </c>
      <c r="AD94" s="27" t="inlineStr">
        <is>
          <t>ESTIMATED</t>
        </is>
      </c>
      <c r="AE94" s="28" t="inlineStr">
        <is>
          <t>https://diligence.adm.br/wp-content/uploads/2025/06/Edital-1a-Lista-de-Credores.pdf</t>
        </is>
      </c>
      <c r="AF94" s="27" t="inlineStr">
        <is>
          <t>p5 r66</t>
        </is>
      </c>
      <c r="AG94" s="27" t="inlineStr">
        <is>
          <t>p5: R$ 5.413.142,01</t>
        </is>
      </c>
      <c r="AH94" s="27" t="inlineStr">
        <is>
          <t>DEBTOR_LIST</t>
        </is>
      </c>
      <c r="AI94" s="27" t="inlineStr">
        <is>
          <t>2025-06-10</t>
        </is>
      </c>
      <c r="AJ94" s="27" t="inlineStr">
        <is>
          <t>OK</t>
        </is>
      </c>
      <c r="AK94" s="29" t="inlineStr">
        <is>
          <t>0008526-45.2025.8.17.2001</t>
        </is>
      </c>
      <c r="AL94" s="29" t="inlineStr">
        <is>
          <t>TJPE</t>
        </is>
      </c>
      <c r="AM94" s="29" t="inlineStr">
        <is>
          <t>ACTIVE</t>
        </is>
      </c>
      <c r="AN94" s="29" t="n">
        <v>2025</v>
      </c>
      <c r="AO94" s="29" t="inlineStr">
        <is>
          <t>live case, no plan document yet</t>
        </is>
      </c>
      <c r="AP94" s="29" t="inlineStr">
        <is>
          <t>FORTALEZA</t>
        </is>
      </c>
      <c r="AQ94" s="29" t="inlineStr">
        <is>
          <t>CE</t>
        </is>
      </c>
      <c r="AR94" s="29" t="inlineStr">
        <is>
          <t>Bancos múltiplos, com carteira comercial</t>
        </is>
      </c>
      <c r="AS94" s="29" t="inlineStr">
        <is>
          <t>DEMAIS</t>
        </is>
      </c>
      <c r="AT94" s="29" t="inlineStr">
        <is>
          <t>LARGE CORP</t>
        </is>
      </c>
      <c r="AU94" s="29" t="inlineStr">
        <is>
          <t>07237373</t>
        </is>
      </c>
      <c r="AV94" s="29" t="n">
        <v>1</v>
      </c>
      <c r="AW94" s="29" t="inlineStr">
        <is>
          <t>LIKELY_FINANCIAL_BY_NAME ROWS:p5r66</t>
        </is>
      </c>
    </row>
    <row r="95">
      <c r="A95" s="15" t="inlineStr">
        <is>
          <t>FUNDO DE INVESTIMENTO EM DIREITOS CREDITORIOS JPM III</t>
        </is>
      </c>
      <c r="B95" s="16" t="n">
        <v>6750000</v>
      </c>
      <c r="C95" s="17" t="inlineStr">
        <is>
          <t>E FALENCIA</t>
        </is>
      </c>
      <c r="D95" s="18" t="inlineStr">
        <is>
          <t>NEW</t>
        </is>
      </c>
      <c r="E95" s="19" t="inlineStr"/>
      <c r="F95" s="18" t="inlineStr"/>
      <c r="G95" s="19" t="inlineStr"/>
      <c r="H95" s="18" t="inlineStr"/>
      <c r="I95" s="20" t="inlineStr"/>
      <c r="J95" s="20" t="inlineStr"/>
      <c r="K95" s="20" t="inlineStr"/>
      <c r="L95" s="20" t="inlineStr"/>
      <c r="M95" s="20" t="inlineStr"/>
      <c r="N95" s="20" t="inlineStr"/>
      <c r="O95" s="20" t="inlineStr"/>
      <c r="P95" s="20" t="inlineStr"/>
      <c r="Q95" s="20" t="inlineStr"/>
      <c r="R95" s="20" t="inlineStr"/>
      <c r="S95" s="20" t="inlineStr"/>
      <c r="T95" s="21" t="n">
        <v>6750000</v>
      </c>
      <c r="U95" s="22" t="inlineStr">
        <is>
          <t>B</t>
        </is>
      </c>
      <c r="V95" s="23">
        <f>IFERROR(VLOOKUP(U95,Assumptions!$A$7:$D$11,2,FALSE),0)</f>
        <v/>
      </c>
      <c r="W95" s="24">
        <f>MAX(0.5,IFERROR(VLOOKUP(U95,Assumptions!$A$7:$D$11,3,FALSE),3)+IFERROR(VLOOKUP(U95,Assumptions!$A$7:$D$11,4,FALSE),8)/2-IF(AN95="",0,YEAR(TODAY())-AN95))</f>
        <v/>
      </c>
      <c r="X95" s="21">
        <f>T95*V95/(1+Assumptions!$B$3)^W95</f>
        <v/>
      </c>
      <c r="Y95" s="25">
        <f>IF(T95=0,"",ROUND(X95/T95*100,1))</f>
        <v/>
      </c>
      <c r="Z95" s="26">
        <f>X95*Assumptions!$B$4</f>
        <v/>
      </c>
      <c r="AA95" s="25">
        <f>IF(T95=0,"",ROUND(Z95/T95*100,1))</f>
        <v/>
      </c>
      <c r="AB95" s="26">
        <f>X95-Z95</f>
        <v/>
      </c>
      <c r="AC95" s="25">
        <f>IF(T95=0,"",ROUND((X95-Z95)/T95*100,1))</f>
        <v/>
      </c>
      <c r="AD95" s="27" t="inlineStr">
        <is>
          <t>ESTIMATED</t>
        </is>
      </c>
      <c r="AE95" s="28" t="inlineStr">
        <is>
          <t>https://recuperasolucoes.com/wp-content/plugins/download-attachments/includes/download.php?id=1597</t>
        </is>
      </c>
      <c r="AF95" s="27" t="inlineStr">
        <is>
          <t>p13 r14; p13 r16</t>
        </is>
      </c>
      <c r="AG95" s="27" t="inlineStr">
        <is>
          <t>p13: R$ 4.250.000,00; p13: R$ 2.500.000,00</t>
        </is>
      </c>
      <c r="AH95" s="27" t="inlineStr">
        <is>
          <t>DEBTOR_LIST</t>
        </is>
      </c>
      <c r="AI95" s="27" t="inlineStr">
        <is>
          <t>2026-05-21</t>
        </is>
      </c>
      <c r="AJ95" s="27" t="inlineStr">
        <is>
          <t>OK</t>
        </is>
      </c>
      <c r="AK95" s="29" t="inlineStr">
        <is>
          <t>0001639-09.2026.8.17.2810</t>
        </is>
      </c>
      <c r="AL95" s="29" t="inlineStr">
        <is>
          <t>TJPE</t>
        </is>
      </c>
      <c r="AM95" s="29" t="inlineStr">
        <is>
          <t>ACTIVE</t>
        </is>
      </c>
      <c r="AN95" s="29" t="n">
        <v>2026</v>
      </c>
      <c r="AO95" s="29" t="inlineStr">
        <is>
          <t>live case, no plan document yet</t>
        </is>
      </c>
      <c r="AP95" s="29" t="inlineStr"/>
      <c r="AQ95" s="29" t="inlineStr"/>
      <c r="AR95" s="29" t="inlineStr"/>
      <c r="AS95" s="29" t="inlineStr"/>
      <c r="AT95" s="29" t="inlineStr">
        <is>
          <t>MID-MARKET</t>
        </is>
      </c>
      <c r="AU95" s="29" t="inlineStr">
        <is>
          <t>29720639</t>
        </is>
      </c>
      <c r="AV95" s="29" t="n">
        <v>2</v>
      </c>
      <c r="AW95" s="29" t="inlineStr">
        <is>
          <t>LIKELY_FINANCIAL_BY_NAME ROWS:p13r14,p13r16</t>
        </is>
      </c>
    </row>
    <row r="96">
      <c r="A96" s="15" t="inlineStr">
        <is>
          <t>BANCO BRADESCO S.A.</t>
        </is>
      </c>
      <c r="B96" s="16" t="n">
        <v>3441046.15</v>
      </c>
      <c r="C96" s="17" t="inlineStr">
        <is>
          <t>VEV COMERCIO DE MEDICAMENTOS LTDA EM RECUPERACAO JUDICIAL</t>
        </is>
      </c>
      <c r="D96" s="18" t="inlineStr">
        <is>
          <t>NEW</t>
        </is>
      </c>
      <c r="E96" s="19" t="inlineStr"/>
      <c r="F96" s="18" t="inlineStr"/>
      <c r="G96" s="19" t="inlineStr"/>
      <c r="H96" s="18" t="inlineStr"/>
      <c r="I96" s="20" t="inlineStr">
        <is>
          <t>MARCELO DE ARAUJO NORONHA</t>
        </is>
      </c>
      <c r="J96" s="20" t="inlineStr">
        <is>
          <t>Presidente</t>
        </is>
      </c>
      <c r="K96" s="20" t="inlineStr">
        <is>
          <t>(11) 3684-5122</t>
        </is>
      </c>
      <c r="L96" s="20" t="inlineStr"/>
      <c r="M96" s="20" t="inlineStr"/>
      <c r="N96" s="20" t="inlineStr"/>
      <c r="O96" s="20" t="inlineStr"/>
      <c r="P96" s="20" t="inlineStr">
        <is>
          <t>AFRANIO CARLOS CAMARGO DANTZGER</t>
        </is>
      </c>
      <c r="Q96" s="20" t="inlineStr">
        <is>
          <t>Diretor</t>
        </is>
      </c>
      <c r="R96" s="20" t="inlineStr">
        <is>
          <t>(11) 3684-5122</t>
        </is>
      </c>
      <c r="S96" s="20" t="inlineStr"/>
      <c r="T96" s="21" t="n">
        <v>3441046.15</v>
      </c>
      <c r="U96" s="22" t="inlineStr">
        <is>
          <t>B</t>
        </is>
      </c>
      <c r="V96" s="23">
        <f>IFERROR(VLOOKUP(U96,Assumptions!$A$7:$D$11,2,FALSE),0)</f>
        <v/>
      </c>
      <c r="W96" s="24">
        <f>MAX(0.5,IFERROR(VLOOKUP(U96,Assumptions!$A$7:$D$11,3,FALSE),3)+IFERROR(VLOOKUP(U96,Assumptions!$A$7:$D$11,4,FALSE),8)/2-IF(AN96="",0,YEAR(TODAY())-AN96))</f>
        <v/>
      </c>
      <c r="X96" s="21">
        <f>T96*V96/(1+Assumptions!$B$3)^W96</f>
        <v/>
      </c>
      <c r="Y96" s="25">
        <f>IF(T96=0,"",ROUND(X96/T96*100,1))</f>
        <v/>
      </c>
      <c r="Z96" s="26">
        <f>X96*Assumptions!$B$4</f>
        <v/>
      </c>
      <c r="AA96" s="25">
        <f>IF(T96=0,"",ROUND(Z96/T96*100,1))</f>
        <v/>
      </c>
      <c r="AB96" s="26">
        <f>X96-Z96</f>
        <v/>
      </c>
      <c r="AC96" s="25">
        <f>IF(T96=0,"",ROUND((X96-Z96)/T96*100,1))</f>
        <v/>
      </c>
      <c r="AD96" s="27" t="inlineStr">
        <is>
          <t>ESTIMATED</t>
        </is>
      </c>
      <c r="AE96" s="28" t="inlineStr">
        <is>
          <t>https://marquesadmjudicial.com.br/sgc/download.php?file=files/processo_documento/processo_documento15293208032024_1_.pdf&amp;nome=Relação Nominal de Credores da AJ-Sintética</t>
        </is>
      </c>
      <c r="AF96" s="27" t="inlineStr">
        <is>
          <t>p20 r7</t>
        </is>
      </c>
      <c r="AG96" s="27" t="inlineStr">
        <is>
          <t>p20: R$ 3.441.046,15</t>
        </is>
      </c>
      <c r="AH96" s="27" t="inlineStr">
        <is>
          <t>AJ_LIST</t>
        </is>
      </c>
      <c r="AI96" s="27" t="inlineStr">
        <is>
          <t>2023-03-02</t>
        </is>
      </c>
      <c r="AJ96" s="27" t="inlineStr">
        <is>
          <t>QUARANTINED</t>
        </is>
      </c>
      <c r="AK96" s="29" t="inlineStr">
        <is>
          <t>0005010-98.2023.8.16.0001</t>
        </is>
      </c>
      <c r="AL96" s="29" t="inlineStr">
        <is>
          <t>TJPR</t>
        </is>
      </c>
      <c r="AM96" s="29" t="inlineStr">
        <is>
          <t>ACTIVE</t>
        </is>
      </c>
      <c r="AN96" s="29" t="n">
        <v>2023</v>
      </c>
      <c r="AO96" s="29" t="inlineStr">
        <is>
          <t>live case, no plan document yet</t>
        </is>
      </c>
      <c r="AP96" s="29" t="inlineStr">
        <is>
          <t>OSASCO</t>
        </is>
      </c>
      <c r="AQ96" s="29" t="inlineStr">
        <is>
          <t>SP</t>
        </is>
      </c>
      <c r="AR96" s="29" t="inlineStr">
        <is>
          <t>Bancos múltiplos, com carteira comercial</t>
        </is>
      </c>
      <c r="AS96" s="29" t="inlineStr">
        <is>
          <t>DEMAIS</t>
        </is>
      </c>
      <c r="AT96" s="29" t="inlineStr">
        <is>
          <t>LARGE CORP</t>
        </is>
      </c>
      <c r="AU96" s="29" t="inlineStr">
        <is>
          <t>60746948</t>
        </is>
      </c>
      <c r="AV96" s="29" t="n">
        <v>1</v>
      </c>
      <c r="AW96" s="29" t="inlineStr">
        <is>
          <t>LIKELY_FINANCIAL_BY_NAME PARTIAL_DOC_CLASS_III_RECONCILED ROWS:p20r7</t>
        </is>
      </c>
    </row>
    <row r="97">
      <c r="A97" s="15" t="inlineStr">
        <is>
          <t>ITAU UNIBANCO S.A.</t>
        </is>
      </c>
      <c r="B97" s="16" t="n">
        <v>6832295.57</v>
      </c>
      <c r="C97" s="17" t="inlineStr">
        <is>
          <t>FORMAPLAN FORMAS PLANEJADAS INDUSTRIA E COMERCIO LTDA EM RECUPERACAO JUDICIAL</t>
        </is>
      </c>
      <c r="D97" s="18" t="inlineStr">
        <is>
          <t>NEW</t>
        </is>
      </c>
      <c r="E97" s="19" t="inlineStr"/>
      <c r="F97" s="18" t="inlineStr"/>
      <c r="G97" s="19" t="inlineStr"/>
      <c r="H97" s="18" t="inlineStr"/>
      <c r="I97" s="20" t="inlineStr">
        <is>
          <t>FELIPE SAMPAIO NABUCO</t>
        </is>
      </c>
      <c r="J97" s="20" t="inlineStr">
        <is>
          <t>Administrador</t>
        </is>
      </c>
      <c r="K97" s="20" t="inlineStr">
        <is>
          <t>(11) 3003-4828</t>
        </is>
      </c>
      <c r="L97" s="20" t="inlineStr"/>
      <c r="M97" s="20" t="inlineStr"/>
      <c r="N97" s="20" t="inlineStr"/>
      <c r="O97" s="20" t="inlineStr"/>
      <c r="P97" s="20" t="inlineStr">
        <is>
          <t>MILTON MALUHY FILHO</t>
        </is>
      </c>
      <c r="Q97" s="20" t="inlineStr">
        <is>
          <t>Presidente</t>
        </is>
      </c>
      <c r="R97" s="20" t="inlineStr">
        <is>
          <t>(11) 3003-4828</t>
        </is>
      </c>
      <c r="S97" s="20" t="inlineStr"/>
      <c r="T97" s="21" t="n">
        <v>6832295.57</v>
      </c>
      <c r="U97" s="31" t="inlineStr">
        <is>
          <t>C</t>
        </is>
      </c>
      <c r="V97" s="23">
        <f>IFERROR(VLOOKUP(U97,Assumptions!$A$7:$D$11,2,FALSE),0)</f>
        <v/>
      </c>
      <c r="W97" s="24">
        <f>MAX(0.5,IFERROR(VLOOKUP(U97,Assumptions!$A$7:$D$11,3,FALSE),3)+IFERROR(VLOOKUP(U97,Assumptions!$A$7:$D$11,4,FALSE),8)/2-IF(AN97="",0,YEAR(TODAY())-AN97))</f>
        <v/>
      </c>
      <c r="X97" s="21">
        <f>T97*V97/(1+Assumptions!$B$3)^W97</f>
        <v/>
      </c>
      <c r="Y97" s="25">
        <f>IF(T97=0,"",ROUND(X97/T97*100,1))</f>
        <v/>
      </c>
      <c r="Z97" s="26">
        <f>X97*Assumptions!$B$4</f>
        <v/>
      </c>
      <c r="AA97" s="25">
        <f>IF(T97=0,"",ROUND(Z97/T97*100,1))</f>
        <v/>
      </c>
      <c r="AB97" s="26">
        <f>X97-Z97</f>
        <v/>
      </c>
      <c r="AC97" s="25">
        <f>IF(T97=0,"",ROUND((X97-Z97)/T97*100,1))</f>
        <v/>
      </c>
      <c r="AD97" s="27" t="inlineStr">
        <is>
          <t>ESTIMATED</t>
        </is>
      </c>
      <c r="AE97" s="28" t="inlineStr">
        <is>
          <t>https://marquesadmjudicial.com.br/sgc/download.php?file=files/processo_documento/processo_documento15232121112024_1_.pdf&amp;nome=Relação de Credores</t>
        </is>
      </c>
      <c r="AF97" s="27" t="inlineStr">
        <is>
          <t>p14 r16</t>
        </is>
      </c>
      <c r="AG97" s="27" t="inlineStr">
        <is>
          <t>p14: R$ 6.832.295,57</t>
        </is>
      </c>
      <c r="AH97" s="27" t="inlineStr">
        <is>
          <t>AJ_LIST</t>
        </is>
      </c>
      <c r="AI97" s="27" t="inlineStr">
        <is>
          <t>2021-01-22</t>
        </is>
      </c>
      <c r="AJ97" s="27" t="inlineStr">
        <is>
          <t>QUARANTINED</t>
        </is>
      </c>
      <c r="AK97" s="29" t="inlineStr">
        <is>
          <t>0000410-68.2021.8.16.0174</t>
        </is>
      </c>
      <c r="AL97" s="29" t="inlineStr">
        <is>
          <t>TJPR</t>
        </is>
      </c>
      <c r="AM97" s="29" t="inlineStr">
        <is>
          <t>ACTIVE</t>
        </is>
      </c>
      <c r="AN97" s="29" t="n">
        <v>2021</v>
      </c>
      <c r="AO97" s="29" t="inlineStr">
        <is>
          <t>5y since filing, no plan document</t>
        </is>
      </c>
      <c r="AP97" s="29" t="inlineStr">
        <is>
          <t>SAO PAULO</t>
        </is>
      </c>
      <c r="AQ97" s="29" t="inlineStr">
        <is>
          <t>SP</t>
        </is>
      </c>
      <c r="AR97" s="29" t="inlineStr">
        <is>
          <t>Bancos comerciais</t>
        </is>
      </c>
      <c r="AS97" s="29" t="inlineStr">
        <is>
          <t>DEMAIS</t>
        </is>
      </c>
      <c r="AT97" s="29" t="inlineStr">
        <is>
          <t>LARGE CORP</t>
        </is>
      </c>
      <c r="AU97" s="29" t="inlineStr">
        <is>
          <t>60701190</t>
        </is>
      </c>
      <c r="AV97" s="29" t="n">
        <v>1</v>
      </c>
      <c r="AW97" s="29" t="inlineStr">
        <is>
          <t>LIKELY_FINANCIAL_BY_NAME PARTIAL_DOC_CLASS_III_RECONCILED ROWS:p14r16</t>
        </is>
      </c>
    </row>
    <row r="98">
      <c r="A98" s="15" t="inlineStr">
        <is>
          <t>ITAU UNIBANCO S.A.</t>
        </is>
      </c>
      <c r="B98" s="16" t="n">
        <v>5337705.09</v>
      </c>
      <c r="C98" s="17" t="inlineStr">
        <is>
          <t>ARRUDA &amp; MELO COMERCIO E DISTRIBUICAO DE ALIMENTOS E BEBIDAS LTDA</t>
        </is>
      </c>
      <c r="D98" s="18" t="inlineStr">
        <is>
          <t>NEW</t>
        </is>
      </c>
      <c r="E98" s="19" t="inlineStr"/>
      <c r="F98" s="18" t="inlineStr"/>
      <c r="G98" s="19" t="inlineStr"/>
      <c r="H98" s="18" t="inlineStr"/>
      <c r="I98" s="20" t="inlineStr">
        <is>
          <t>FELIPE SAMPAIO NABUCO</t>
        </is>
      </c>
      <c r="J98" s="20" t="inlineStr">
        <is>
          <t>Administrador</t>
        </is>
      </c>
      <c r="K98" s="20" t="inlineStr">
        <is>
          <t>(11) 3003-4828</t>
        </is>
      </c>
      <c r="L98" s="20" t="inlineStr"/>
      <c r="M98" s="20" t="inlineStr"/>
      <c r="N98" s="20" t="inlineStr"/>
      <c r="O98" s="20" t="inlineStr"/>
      <c r="P98" s="20" t="inlineStr">
        <is>
          <t>MILTON MALUHY FILHO</t>
        </is>
      </c>
      <c r="Q98" s="20" t="inlineStr">
        <is>
          <t>Presidente</t>
        </is>
      </c>
      <c r="R98" s="20" t="inlineStr">
        <is>
          <t>(11) 3003-4828</t>
        </is>
      </c>
      <c r="S98" s="20" t="inlineStr"/>
      <c r="T98" s="21" t="n">
        <v>5337705.09</v>
      </c>
      <c r="U98" s="22" t="inlineStr">
        <is>
          <t>B</t>
        </is>
      </c>
      <c r="V98" s="23">
        <f>IFERROR(VLOOKUP(U98,Assumptions!$A$7:$D$11,2,FALSE),0)</f>
        <v/>
      </c>
      <c r="W98" s="24">
        <f>MAX(0.5,IFERROR(VLOOKUP(U98,Assumptions!$A$7:$D$11,3,FALSE),3)+IFERROR(VLOOKUP(U98,Assumptions!$A$7:$D$11,4,FALSE),8)/2-IF(AN98="",0,YEAR(TODAY())-AN98))</f>
        <v/>
      </c>
      <c r="X98" s="21">
        <f>T98*V98/(1+Assumptions!$B$3)^W98</f>
        <v/>
      </c>
      <c r="Y98" s="25">
        <f>IF(T98=0,"",ROUND(X98/T98*100,1))</f>
        <v/>
      </c>
      <c r="Z98" s="26">
        <f>X98*Assumptions!$B$4</f>
        <v/>
      </c>
      <c r="AA98" s="25">
        <f>IF(T98=0,"",ROUND(Z98/T98*100,1))</f>
        <v/>
      </c>
      <c r="AB98" s="26">
        <f>X98-Z98</f>
        <v/>
      </c>
      <c r="AC98" s="25">
        <f>IF(T98=0,"",ROUND((X98-Z98)/T98*100,1))</f>
        <v/>
      </c>
      <c r="AD98" s="27" t="inlineStr">
        <is>
          <t>ESTIMATED</t>
        </is>
      </c>
      <c r="AE98" s="28" t="inlineStr">
        <is>
          <t>https://diligence.adm.br/wp-content/uploads/2025/06/Edital-1a-Lista-de-Credores.pdf</t>
        </is>
      </c>
      <c r="AF98" s="27" t="inlineStr">
        <is>
          <t>p5 r56</t>
        </is>
      </c>
      <c r="AG98" s="27" t="inlineStr">
        <is>
          <t>p5: R$ 5.337.705,09</t>
        </is>
      </c>
      <c r="AH98" s="27" t="inlineStr">
        <is>
          <t>DEBTOR_LIST</t>
        </is>
      </c>
      <c r="AI98" s="27" t="inlineStr">
        <is>
          <t>2025-06-10</t>
        </is>
      </c>
      <c r="AJ98" s="27" t="inlineStr">
        <is>
          <t>OK</t>
        </is>
      </c>
      <c r="AK98" s="29" t="inlineStr">
        <is>
          <t>0008526-45.2025.8.17.2001</t>
        </is>
      </c>
      <c r="AL98" s="29" t="inlineStr">
        <is>
          <t>TJPE</t>
        </is>
      </c>
      <c r="AM98" s="29" t="inlineStr">
        <is>
          <t>ACTIVE</t>
        </is>
      </c>
      <c r="AN98" s="29" t="n">
        <v>2025</v>
      </c>
      <c r="AO98" s="29" t="inlineStr">
        <is>
          <t>live case, no plan document yet</t>
        </is>
      </c>
      <c r="AP98" s="29" t="inlineStr">
        <is>
          <t>SAO PAULO</t>
        </is>
      </c>
      <c r="AQ98" s="29" t="inlineStr">
        <is>
          <t>SP</t>
        </is>
      </c>
      <c r="AR98" s="29" t="inlineStr">
        <is>
          <t>Bancos comerciais</t>
        </is>
      </c>
      <c r="AS98" s="29" t="inlineStr">
        <is>
          <t>DEMAIS</t>
        </is>
      </c>
      <c r="AT98" s="29" t="inlineStr">
        <is>
          <t>LARGE CORP</t>
        </is>
      </c>
      <c r="AU98" s="29" t="inlineStr">
        <is>
          <t>60701190</t>
        </is>
      </c>
      <c r="AV98" s="29" t="n">
        <v>1</v>
      </c>
      <c r="AW98" s="29" t="inlineStr">
        <is>
          <t>LIKELY_FINANCIAL_BY_NAME ROWS:p5r56</t>
        </is>
      </c>
    </row>
    <row r="99">
      <c r="A99" s="15" t="inlineStr">
        <is>
          <t>FOR PARTICIPACOES SOCIAIS LTDA</t>
        </is>
      </c>
      <c r="B99" s="16" t="n">
        <v>3397738.03</v>
      </c>
      <c r="C99" s="17" t="inlineStr">
        <is>
          <t>BBR AGRO SUPLEMENTOS LTDA EM RECUPERACAO JUDICIAL</t>
        </is>
      </c>
      <c r="D99" s="18" t="inlineStr">
        <is>
          <t>NEW</t>
        </is>
      </c>
      <c r="E99" s="19" t="inlineStr"/>
      <c r="F99" s="18" t="inlineStr"/>
      <c r="G99" s="19" t="inlineStr"/>
      <c r="H99" s="18" t="inlineStr"/>
      <c r="I99" s="20" t="inlineStr">
        <is>
          <t>RODRIGO ANDREETTA</t>
        </is>
      </c>
      <c r="J99" s="20" t="inlineStr">
        <is>
          <t>Sócio-Administrador</t>
        </is>
      </c>
      <c r="K99" s="20" t="inlineStr">
        <is>
          <t>(54) 2107-1000</t>
        </is>
      </c>
      <c r="L99" s="20" t="inlineStr"/>
      <c r="M99" s="20" t="inlineStr"/>
      <c r="N99" s="20" t="inlineStr"/>
      <c r="O99" s="20" t="inlineStr"/>
      <c r="P99" s="20" t="inlineStr"/>
      <c r="Q99" s="20" t="inlineStr"/>
      <c r="R99" s="20" t="inlineStr"/>
      <c r="S99" s="20" t="inlineStr"/>
      <c r="T99" s="21" t="n">
        <v>3397738.03</v>
      </c>
      <c r="U99" s="22" t="inlineStr">
        <is>
          <t>B</t>
        </is>
      </c>
      <c r="V99" s="23">
        <f>IFERROR(VLOOKUP(U99,Assumptions!$A$7:$D$11,2,FALSE),0)</f>
        <v/>
      </c>
      <c r="W99" s="24">
        <f>MAX(0.5,IFERROR(VLOOKUP(U99,Assumptions!$A$7:$D$11,3,FALSE),3)+IFERROR(VLOOKUP(U99,Assumptions!$A$7:$D$11,4,FALSE),8)/2-IF(AN99="",0,YEAR(TODAY())-AN99))</f>
        <v/>
      </c>
      <c r="X99" s="21">
        <f>T99*V99/(1+Assumptions!$B$3)^W99</f>
        <v/>
      </c>
      <c r="Y99" s="25">
        <f>IF(T99=0,"",ROUND(X99/T99*100,1))</f>
        <v/>
      </c>
      <c r="Z99" s="26">
        <f>X99*Assumptions!$B$4</f>
        <v/>
      </c>
      <c r="AA99" s="25">
        <f>IF(T99=0,"",ROUND(Z99/T99*100,1))</f>
        <v/>
      </c>
      <c r="AB99" s="26">
        <f>X99-Z99</f>
        <v/>
      </c>
      <c r="AC99" s="25">
        <f>IF(T99=0,"",ROUND((X99-Z99)/T99*100,1))</f>
        <v/>
      </c>
      <c r="AD99" s="27" t="inlineStr">
        <is>
          <t>ESTIMATED</t>
        </is>
      </c>
      <c r="AE99" s="28" t="inlineStr">
        <is>
          <t>https://ajruiz.com.br/sites/default/files/public/arquivos-processos/2026-06/alto_uruguai_qgc_junho.2026.pdf</t>
        </is>
      </c>
      <c r="AF99" s="27" t="inlineStr">
        <is>
          <t>p1 r23</t>
        </is>
      </c>
      <c r="AG99" s="27" t="inlineStr">
        <is>
          <t>p1: R$ 3.397.738,03</t>
        </is>
      </c>
      <c r="AH99" s="27" t="inlineStr">
        <is>
          <t>UNKNOWN</t>
        </is>
      </c>
      <c r="AI99" s="27" t="inlineStr"/>
      <c r="AJ99" s="27" t="inlineStr">
        <is>
          <t>OK</t>
        </is>
      </c>
      <c r="AK99" s="29" t="inlineStr">
        <is>
          <t>5012743-51.2023.8.24.0019</t>
        </is>
      </c>
      <c r="AL99" s="29" t="inlineStr">
        <is>
          <t>TJSC</t>
        </is>
      </c>
      <c r="AM99" s="29" t="inlineStr">
        <is>
          <t>ACTIVE</t>
        </is>
      </c>
      <c r="AN99" s="29" t="n">
        <v>2023</v>
      </c>
      <c r="AO99" s="29" t="inlineStr">
        <is>
          <t>live case, no plan document yet</t>
        </is>
      </c>
      <c r="AP99" s="29" t="inlineStr">
        <is>
          <t>ERECHIM</t>
        </is>
      </c>
      <c r="AQ99" s="29" t="inlineStr">
        <is>
          <t>RS</t>
        </is>
      </c>
      <c r="AR99" s="29" t="inlineStr">
        <is>
          <t>Holdings de instituições não-financeiras</t>
        </is>
      </c>
      <c r="AS99" s="29" t="inlineStr">
        <is>
          <t>DEMAIS</t>
        </is>
      </c>
      <c r="AT99" s="29" t="inlineStr">
        <is>
          <t>MID-MARKET</t>
        </is>
      </c>
      <c r="AU99" s="29" t="inlineStr">
        <is>
          <t>30351359</t>
        </is>
      </c>
      <c r="AV99" s="29" t="n">
        <v>1</v>
      </c>
      <c r="AW99" s="29" t="inlineStr">
        <is>
          <t>ROWS:p1r23 VALUE_COL:Valor_Do_Crédito</t>
        </is>
      </c>
    </row>
    <row r="100">
      <c r="A100" s="15" t="inlineStr">
        <is>
          <t>2.7 SICOOB CREDIAUC</t>
        </is>
      </c>
      <c r="B100" s="16" t="n">
        <v>4127569.13</v>
      </c>
      <c r="C100" s="17" t="inlineStr"/>
      <c r="D100" s="18" t="inlineStr">
        <is>
          <t>NEW</t>
        </is>
      </c>
      <c r="E100" s="19" t="inlineStr"/>
      <c r="F100" s="18" t="inlineStr"/>
      <c r="G100" s="19" t="inlineStr"/>
      <c r="H100" s="18" t="inlineStr"/>
      <c r="I100" s="20" t="inlineStr"/>
      <c r="J100" s="20" t="inlineStr"/>
      <c r="K100" s="20" t="inlineStr"/>
      <c r="L100" s="20" t="inlineStr"/>
      <c r="M100" s="20" t="inlineStr"/>
      <c r="N100" s="20" t="inlineStr"/>
      <c r="O100" s="20" t="inlineStr"/>
      <c r="P100" s="20" t="inlineStr"/>
      <c r="Q100" s="20" t="inlineStr"/>
      <c r="R100" s="20" t="inlineStr"/>
      <c r="S100" s="20" t="inlineStr"/>
      <c r="T100" s="21" t="n">
        <v>4127569.13</v>
      </c>
      <c r="U100" s="22" t="inlineStr">
        <is>
          <t>B</t>
        </is>
      </c>
      <c r="V100" s="23">
        <f>IFERROR(VLOOKUP(U100,Assumptions!$A$7:$D$11,2,FALSE),0)</f>
        <v/>
      </c>
      <c r="W100" s="24">
        <f>MAX(0.5,IFERROR(VLOOKUP(U100,Assumptions!$A$7:$D$11,3,FALSE),3)+IFERROR(VLOOKUP(U100,Assumptions!$A$7:$D$11,4,FALSE),8)/2-IF(AN100="",0,YEAR(TODAY())-AN100))</f>
        <v/>
      </c>
      <c r="X100" s="21">
        <f>T100*V100/(1+Assumptions!$B$3)^W100</f>
        <v/>
      </c>
      <c r="Y100" s="25">
        <f>IF(T100=0,"",ROUND(X100/T100*100,1))</f>
        <v/>
      </c>
      <c r="Z100" s="26">
        <f>X100*Assumptions!$B$4</f>
        <v/>
      </c>
      <c r="AA100" s="25">
        <f>IF(T100=0,"",ROUND(Z100/T100*100,1))</f>
        <v/>
      </c>
      <c r="AB100" s="26">
        <f>X100-Z100</f>
        <v/>
      </c>
      <c r="AC100" s="25">
        <f>IF(T100=0,"",ROUND((X100-Z100)/T100*100,1))</f>
        <v/>
      </c>
      <c r="AD100" s="27" t="inlineStr">
        <is>
          <t>ESTIMATED</t>
        </is>
      </c>
      <c r="AE100" s="28" t="inlineStr">
        <is>
          <t>https://rlg-aj.com.br/wp-content/uploads/2024/11/07.-Relação-de-credores.pdf</t>
        </is>
      </c>
      <c r="AF100" s="27" t="inlineStr">
        <is>
          <t>p1 r13; p1 r14; p1 r15; p1 r16; p1 r17; p1 r18</t>
        </is>
      </c>
      <c r="AG100" s="27" t="inlineStr">
        <is>
          <t>p1: R$ 323.651,16; p1: R$ 907.705,56; p1: R$ 211.127,26; p1: R$ 137.183,48; p1: R$ 1.245.578,71; p1: R$ 1.302.322,96</t>
        </is>
      </c>
      <c r="AH100" s="27" t="inlineStr">
        <is>
          <t>UNKNOWN</t>
        </is>
      </c>
      <c r="AI100" s="27" t="inlineStr"/>
      <c r="AJ100" s="27" t="inlineStr">
        <is>
          <t>OK_NO_TOTALS</t>
        </is>
      </c>
      <c r="AK100" s="29" t="inlineStr">
        <is>
          <t>5009149-92.2024.8.24.0019</t>
        </is>
      </c>
      <c r="AL100" s="29" t="inlineStr">
        <is>
          <t>TJSC</t>
        </is>
      </c>
      <c r="AM100" s="29" t="inlineStr">
        <is>
          <t>ACTIVE</t>
        </is>
      </c>
      <c r="AN100" s="29" t="n">
        <v>2024</v>
      </c>
      <c r="AO100" s="29" t="inlineStr">
        <is>
          <t>live case, no plan document yet</t>
        </is>
      </c>
      <c r="AP100" s="29" t="inlineStr"/>
      <c r="AQ100" s="29" t="inlineStr"/>
      <c r="AR100" s="29" t="inlineStr"/>
      <c r="AS100" s="29" t="inlineStr"/>
      <c r="AT100" s="29" t="inlineStr">
        <is>
          <t>MID-MARKET</t>
        </is>
      </c>
      <c r="AU100" s="29" t="inlineStr">
        <is>
          <t>78840071</t>
        </is>
      </c>
      <c r="AV100" s="29" t="n">
        <v>6</v>
      </c>
      <c r="AW100" s="29" t="inlineStr">
        <is>
          <t>LIKELY_FINANCIAL_BY_NAME ROWS:p1r13,p1r14,p1r15,p1r16,p1r17,p1r18 UNRECONCILED_SOURCE</t>
        </is>
      </c>
    </row>
    <row r="101">
      <c r="A101" s="15" t="inlineStr">
        <is>
          <t>BANK OF CHINA (BRASIL) BANCO MULTIPLO S/A</t>
        </is>
      </c>
      <c r="B101" s="16" t="n">
        <v>3761575.26</v>
      </c>
      <c r="C101" s="17" t="inlineStr"/>
      <c r="D101" s="18" t="inlineStr">
        <is>
          <t>NEW</t>
        </is>
      </c>
      <c r="E101" s="19" t="inlineStr"/>
      <c r="F101" s="18" t="inlineStr"/>
      <c r="G101" s="19" t="inlineStr"/>
      <c r="H101" s="18" t="inlineStr"/>
      <c r="I101" s="20" t="inlineStr">
        <is>
          <t>CLAUDIO AUGUSTO ROTOLO</t>
        </is>
      </c>
      <c r="J101" s="20" t="inlineStr">
        <is>
          <t>Diretor</t>
        </is>
      </c>
      <c r="K101" s="20" t="inlineStr">
        <is>
          <t>(11) 2173-9000</t>
        </is>
      </c>
      <c r="L101" s="20" t="inlineStr"/>
      <c r="M101" s="20" t="inlineStr"/>
      <c r="N101" s="20" t="inlineStr"/>
      <c r="O101" s="20" t="inlineStr"/>
      <c r="P101" s="20" t="inlineStr">
        <is>
          <t>DEMING LI</t>
        </is>
      </c>
      <c r="Q101" s="20" t="inlineStr">
        <is>
          <t>Diretor</t>
        </is>
      </c>
      <c r="R101" s="20" t="inlineStr">
        <is>
          <t>(11) 2173-9000</t>
        </is>
      </c>
      <c r="S101" s="20" t="inlineStr"/>
      <c r="T101" s="21" t="n">
        <v>3761575.26</v>
      </c>
      <c r="U101" s="31" t="inlineStr">
        <is>
          <t>C</t>
        </is>
      </c>
      <c r="V101" s="23">
        <f>IFERROR(VLOOKUP(U101,Assumptions!$A$7:$D$11,2,FALSE),0)</f>
        <v/>
      </c>
      <c r="W101" s="24">
        <f>MAX(0.5,IFERROR(VLOOKUP(U101,Assumptions!$A$7:$D$11,3,FALSE),3)+IFERROR(VLOOKUP(U101,Assumptions!$A$7:$D$11,4,FALSE),8)/2-IF(AN101="",0,YEAR(TODAY())-AN101))</f>
        <v/>
      </c>
      <c r="X101" s="21">
        <f>T101*V101/(1+Assumptions!$B$3)^W101</f>
        <v/>
      </c>
      <c r="Y101" s="25">
        <f>IF(T101=0,"",ROUND(X101/T101*100,1))</f>
        <v/>
      </c>
      <c r="Z101" s="26">
        <f>X101*Assumptions!$B$4</f>
        <v/>
      </c>
      <c r="AA101" s="25">
        <f>IF(T101=0,"",ROUND(Z101/T101*100,1))</f>
        <v/>
      </c>
      <c r="AB101" s="26">
        <f>X101-Z101</f>
        <v/>
      </c>
      <c r="AC101" s="25">
        <f>IF(T101=0,"",ROUND((X101-Z101)/T101*100,1))</f>
        <v/>
      </c>
      <c r="AD101" s="27" t="inlineStr">
        <is>
          <t>UNKNOWN</t>
        </is>
      </c>
      <c r="AE101" s="28" t="inlineStr">
        <is>
          <t>https://administradorajudicialgs.com.br/wp-content/uploads/2024/12/relacao-de-credores-da-falida.pdf</t>
        </is>
      </c>
      <c r="AF101" s="27" t="inlineStr">
        <is>
          <t>p13 r7</t>
        </is>
      </c>
      <c r="AG101" s="27" t="inlineStr">
        <is>
          <t>p13: R$ 3.761.575,26</t>
        </is>
      </c>
      <c r="AH101" s="27" t="inlineStr">
        <is>
          <t>UNKNOWN</t>
        </is>
      </c>
      <c r="AI101" s="27" t="inlineStr">
        <is>
          <t>2025-03-25</t>
        </is>
      </c>
      <c r="AJ101" s="27" t="inlineStr">
        <is>
          <t>OK_NO_TOTALS</t>
        </is>
      </c>
      <c r="AK101" s="29" t="inlineStr">
        <is>
          <t>0005010-50.2013.8.24.0026</t>
        </is>
      </c>
      <c r="AL101" s="29" t="inlineStr">
        <is>
          <t>TJ</t>
        </is>
      </c>
      <c r="AM101" s="29" t="inlineStr"/>
      <c r="AN101" s="29" t="n">
        <v>2013</v>
      </c>
      <c r="AO101" s="29" t="inlineStr">
        <is>
          <t>13y since filing, no plan document</t>
        </is>
      </c>
      <c r="AP101" s="29" t="inlineStr">
        <is>
          <t>SAO PAULO</t>
        </is>
      </c>
      <c r="AQ101" s="29" t="inlineStr">
        <is>
          <t>SP</t>
        </is>
      </c>
      <c r="AR101" s="29" t="inlineStr">
        <is>
          <t>Bancos múltiplos, com carteira comercial</t>
        </is>
      </c>
      <c r="AS101" s="29" t="inlineStr">
        <is>
          <t>DEMAIS</t>
        </is>
      </c>
      <c r="AT101" s="29" t="inlineStr">
        <is>
          <t>LARGE CORP</t>
        </is>
      </c>
      <c r="AU101" s="29" t="inlineStr">
        <is>
          <t>07450604</t>
        </is>
      </c>
      <c r="AV101" s="29" t="n">
        <v>1</v>
      </c>
      <c r="AW101" s="29" t="inlineStr">
        <is>
          <t>LIKELY_FINANCIAL_BY_NAME ROWS:p13r7 UNRECONCILED_SOURCE</t>
        </is>
      </c>
    </row>
    <row r="102">
      <c r="A102" s="15" t="inlineStr">
        <is>
          <t>COOPERATIVA DE ECONOMIA E CRÉDITO MÚTUO UNICRED PONTO CAPITAL</t>
        </is>
      </c>
      <c r="B102" s="16" t="n">
        <v>4069396.91</v>
      </c>
      <c r="C102" s="17" t="inlineStr">
        <is>
          <t>DIVINA INDUSTRIA DE COURO LTDA - EM RECUPERACAO JUDICIAL</t>
        </is>
      </c>
      <c r="D102" s="18" t="inlineStr">
        <is>
          <t>NEW</t>
        </is>
      </c>
      <c r="E102" s="19" t="inlineStr"/>
      <c r="F102" s="18" t="inlineStr"/>
      <c r="G102" s="19" t="inlineStr"/>
      <c r="H102" s="18" t="inlineStr"/>
      <c r="I102" s="20" t="inlineStr"/>
      <c r="J102" s="20" t="inlineStr"/>
      <c r="K102" s="20" t="inlineStr"/>
      <c r="L102" s="20" t="inlineStr"/>
      <c r="M102" s="20" t="inlineStr"/>
      <c r="N102" s="20" t="inlineStr"/>
      <c r="O102" s="20" t="inlineStr"/>
      <c r="P102" s="20" t="inlineStr"/>
      <c r="Q102" s="20" t="inlineStr"/>
      <c r="R102" s="20" t="inlineStr"/>
      <c r="S102" s="20" t="inlineStr"/>
      <c r="T102" s="21" t="n">
        <v>4069396.91</v>
      </c>
      <c r="U102" s="22" t="inlineStr">
        <is>
          <t>B</t>
        </is>
      </c>
      <c r="V102" s="23">
        <f>IFERROR(VLOOKUP(U102,Assumptions!$A$7:$D$11,2,FALSE),0)</f>
        <v/>
      </c>
      <c r="W102" s="24">
        <f>MAX(0.5,IFERROR(VLOOKUP(U102,Assumptions!$A$7:$D$11,3,FALSE),3)+IFERROR(VLOOKUP(U102,Assumptions!$A$7:$D$11,4,FALSE),8)/2-IF(AN102="",0,YEAR(TODAY())-AN102))</f>
        <v/>
      </c>
      <c r="X102" s="21">
        <f>T102*V102/(1+Assumptions!$B$3)^W102</f>
        <v/>
      </c>
      <c r="Y102" s="25">
        <f>IF(T102=0,"",ROUND(X102/T102*100,1))</f>
        <v/>
      </c>
      <c r="Z102" s="26">
        <f>X102*Assumptions!$B$4</f>
        <v/>
      </c>
      <c r="AA102" s="25">
        <f>IF(T102=0,"",ROUND(Z102/T102*100,1))</f>
        <v/>
      </c>
      <c r="AB102" s="26">
        <f>X102-Z102</f>
        <v/>
      </c>
      <c r="AC102" s="25">
        <f>IF(T102=0,"",ROUND((X102-Z102)/T102*100,1))</f>
        <v/>
      </c>
      <c r="AD102" s="27" t="inlineStr">
        <is>
          <t>ESTIMATED</t>
        </is>
      </c>
      <c r="AE102" s="28" t="inlineStr">
        <is>
          <t>https://lrflideres.com.br/wp-content/plugins/download-attachments/includes/download.php?id=6252</t>
        </is>
      </c>
      <c r="AF102" s="27" t="inlineStr">
        <is>
          <t>p2 r31</t>
        </is>
      </c>
      <c r="AG102" s="27" t="inlineStr">
        <is>
          <t>p2: R$ 4.069.396,91</t>
        </is>
      </c>
      <c r="AH102" s="27" t="inlineStr">
        <is>
          <t>AJ_LIST</t>
        </is>
      </c>
      <c r="AI102" s="27" t="inlineStr">
        <is>
          <t>2024-11-27</t>
        </is>
      </c>
      <c r="AJ102" s="27" t="inlineStr">
        <is>
          <t>QUARANTINED</t>
        </is>
      </c>
      <c r="AK102" s="29" t="inlineStr">
        <is>
          <t>0000721-61.2024.8.17.2620</t>
        </is>
      </c>
      <c r="AL102" s="29" t="inlineStr">
        <is>
          <t>TJPE</t>
        </is>
      </c>
      <c r="AM102" s="29" t="inlineStr">
        <is>
          <t>ACTIVE</t>
        </is>
      </c>
      <c r="AN102" s="29" t="n">
        <v>2024</v>
      </c>
      <c r="AO102" s="29" t="inlineStr">
        <is>
          <t>live case, no plan document yet</t>
        </is>
      </c>
      <c r="AP102" s="29" t="inlineStr"/>
      <c r="AQ102" s="29" t="inlineStr"/>
      <c r="AR102" s="29" t="inlineStr"/>
      <c r="AS102" s="29" t="inlineStr"/>
      <c r="AT102" s="29" t="inlineStr">
        <is>
          <t>MID-MARKET</t>
        </is>
      </c>
      <c r="AU102" s="29" t="inlineStr">
        <is>
          <t>02641032</t>
        </is>
      </c>
      <c r="AV102" s="29" t="n">
        <v>1</v>
      </c>
      <c r="AW102" s="29" t="inlineStr">
        <is>
          <t>LIKELY_FINANCIAL_BY_NAME PARTIAL_DOC_CLASS_III_RECONCILED ROWS:p2r31</t>
        </is>
      </c>
    </row>
    <row r="103">
      <c r="A103" s="15" t="inlineStr">
        <is>
          <t>BANCO DO BRASIL SA</t>
        </is>
      </c>
      <c r="B103" s="16" t="n">
        <v>5148206.49</v>
      </c>
      <c r="C103" s="17" t="inlineStr">
        <is>
          <t>aludida empresa</t>
        </is>
      </c>
      <c r="D103" s="18" t="inlineStr">
        <is>
          <t>NEW</t>
        </is>
      </c>
      <c r="E103" s="19" t="inlineStr"/>
      <c r="F103" s="18" t="inlineStr"/>
      <c r="G103" s="19" t="inlineStr"/>
      <c r="H103" s="18" t="inlineStr"/>
      <c r="I103" s="20" t="inlineStr">
        <is>
          <t>TARCIANA PAULA GOMES MEDEIROS</t>
        </is>
      </c>
      <c r="J103" s="20" t="inlineStr">
        <is>
          <t>Presidente</t>
        </is>
      </c>
      <c r="K103" s="20" t="inlineStr">
        <is>
          <t>(61) 3493-9002</t>
        </is>
      </c>
      <c r="L103" s="20" t="inlineStr"/>
      <c r="M103" s="20" t="inlineStr"/>
      <c r="N103" s="20" t="inlineStr"/>
      <c r="O103" s="20" t="inlineStr"/>
      <c r="P103" s="20" t="inlineStr">
        <is>
          <t>ALAN CARLOS GUEDES DE OLIVEIRA</t>
        </is>
      </c>
      <c r="Q103" s="20" t="inlineStr">
        <is>
          <t>Diretor</t>
        </is>
      </c>
      <c r="R103" s="20" t="inlineStr">
        <is>
          <t>(61) 3493-9002</t>
        </is>
      </c>
      <c r="S103" s="20" t="inlineStr"/>
      <c r="T103" s="21" t="n">
        <v>5148206.49</v>
      </c>
      <c r="U103" s="31" t="inlineStr">
        <is>
          <t>C</t>
        </is>
      </c>
      <c r="V103" s="23">
        <f>IFERROR(VLOOKUP(U103,Assumptions!$A$7:$D$11,2,FALSE),0)</f>
        <v/>
      </c>
      <c r="W103" s="24">
        <f>MAX(0.5,IFERROR(VLOOKUP(U103,Assumptions!$A$7:$D$11,3,FALSE),3)+IFERROR(VLOOKUP(U103,Assumptions!$A$7:$D$11,4,FALSE),8)/2-IF(AN103="",0,YEAR(TODAY())-AN103))</f>
        <v/>
      </c>
      <c r="X103" s="21">
        <f>T103*V103/(1+Assumptions!$B$3)^W103</f>
        <v/>
      </c>
      <c r="Y103" s="25">
        <f>IF(T103=0,"",ROUND(X103/T103*100,1))</f>
        <v/>
      </c>
      <c r="Z103" s="26">
        <f>X103*Assumptions!$B$4</f>
        <v/>
      </c>
      <c r="AA103" s="25">
        <f>IF(T103=0,"",ROUND(Z103/T103*100,1))</f>
        <v/>
      </c>
      <c r="AB103" s="26">
        <f>X103-Z103</f>
        <v/>
      </c>
      <c r="AC103" s="25">
        <f>IF(T103=0,"",ROUND((X103-Z103)/T103*100,1))</f>
        <v/>
      </c>
      <c r="AD103" s="27" t="inlineStr">
        <is>
          <t>ESTIMATED</t>
        </is>
      </c>
      <c r="AE103" s="28" t="inlineStr">
        <is>
          <t>https://recuperacaojudicial.squarespace.com/s/RJ-Credimoveis-QGC-01082025.pdf</t>
        </is>
      </c>
      <c r="AF103" s="27" t="inlineStr">
        <is>
          <t>p15 r14</t>
        </is>
      </c>
      <c r="AG103" s="27" t="inlineStr">
        <is>
          <t>p15: R$ 5.148.206,49</t>
        </is>
      </c>
      <c r="AH103" s="27" t="inlineStr">
        <is>
          <t>QGC</t>
        </is>
      </c>
      <c r="AI103" s="27" t="inlineStr">
        <is>
          <t>2026-01-28</t>
        </is>
      </c>
      <c r="AJ103" s="27" t="inlineStr">
        <is>
          <t>OK</t>
        </is>
      </c>
      <c r="AK103" s="29" t="inlineStr">
        <is>
          <t>0007565-40.2020.8.17.2370</t>
        </is>
      </c>
      <c r="AL103" s="29" t="inlineStr">
        <is>
          <t>TJPE</t>
        </is>
      </c>
      <c r="AM103" s="29" t="inlineStr">
        <is>
          <t>ACTIVE</t>
        </is>
      </c>
      <c r="AN103" s="29" t="n">
        <v>2020</v>
      </c>
      <c r="AO103" s="29" t="inlineStr">
        <is>
          <t>6y since filing, no plan document</t>
        </is>
      </c>
      <c r="AP103" s="29" t="inlineStr">
        <is>
          <t>BRASILIA</t>
        </is>
      </c>
      <c r="AQ103" s="29" t="inlineStr">
        <is>
          <t>DF</t>
        </is>
      </c>
      <c r="AR103" s="29" t="inlineStr">
        <is>
          <t>Bancos múltiplos, com carteira comercial</t>
        </is>
      </c>
      <c r="AS103" s="29" t="inlineStr">
        <is>
          <t>DEMAIS</t>
        </is>
      </c>
      <c r="AT103" s="29" t="inlineStr">
        <is>
          <t>LARGE CORP</t>
        </is>
      </c>
      <c r="AU103" s="29" t="inlineStr">
        <is>
          <t>00000000</t>
        </is>
      </c>
      <c r="AV103" s="29" t="n">
        <v>1</v>
      </c>
      <c r="AW103" s="29" t="inlineStr">
        <is>
          <t>ROWS:p15r14</t>
        </is>
      </c>
    </row>
    <row r="104">
      <c r="A104" s="15" t="inlineStr">
        <is>
          <t>BANCO BRADESCO S.A.</t>
        </is>
      </c>
      <c r="B104" s="16" t="n">
        <v>4951238.73</v>
      </c>
      <c r="C104" s="17" t="inlineStr">
        <is>
          <t>BOI VERDE LEILOES LTDA</t>
        </is>
      </c>
      <c r="D104" s="18" t="inlineStr">
        <is>
          <t>NEW</t>
        </is>
      </c>
      <c r="E104" s="19" t="inlineStr"/>
      <c r="F104" s="18" t="inlineStr"/>
      <c r="G104" s="19" t="inlineStr"/>
      <c r="H104" s="18" t="inlineStr"/>
      <c r="I104" s="20" t="inlineStr">
        <is>
          <t>MARCELO DE ARAUJO NORONHA</t>
        </is>
      </c>
      <c r="J104" s="20" t="inlineStr">
        <is>
          <t>Presidente</t>
        </is>
      </c>
      <c r="K104" s="20" t="inlineStr">
        <is>
          <t>(11) 3684-5122</t>
        </is>
      </c>
      <c r="L104" s="20" t="inlineStr"/>
      <c r="M104" s="20" t="inlineStr"/>
      <c r="N104" s="20" t="inlineStr"/>
      <c r="O104" s="20" t="inlineStr"/>
      <c r="P104" s="20" t="inlineStr">
        <is>
          <t>AFRANIO CARLOS CAMARGO DANTZGER</t>
        </is>
      </c>
      <c r="Q104" s="20" t="inlineStr">
        <is>
          <t>Diretor</t>
        </is>
      </c>
      <c r="R104" s="20" t="inlineStr">
        <is>
          <t>(11) 3684-5122</t>
        </is>
      </c>
      <c r="S104" s="20" t="inlineStr"/>
      <c r="T104" s="21" t="n">
        <v>4951238.73</v>
      </c>
      <c r="U104" s="22" t="inlineStr">
        <is>
          <t>B</t>
        </is>
      </c>
      <c r="V104" s="23">
        <f>IFERROR(VLOOKUP(U104,Assumptions!$A$7:$D$11,2,FALSE),0)</f>
        <v/>
      </c>
      <c r="W104" s="24">
        <f>MAX(0.5,IFERROR(VLOOKUP(U104,Assumptions!$A$7:$D$11,3,FALSE),3)+IFERROR(VLOOKUP(U104,Assumptions!$A$7:$D$11,4,FALSE),8)/2-IF(AN104="",0,YEAR(TODAY())-AN104))</f>
        <v/>
      </c>
      <c r="X104" s="21">
        <f>T104*V104/(1+Assumptions!$B$3)^W104</f>
        <v/>
      </c>
      <c r="Y104" s="25">
        <f>IF(T104=0,"",ROUND(X104/T104*100,1))</f>
        <v/>
      </c>
      <c r="Z104" s="26">
        <f>X104*Assumptions!$B$4</f>
        <v/>
      </c>
      <c r="AA104" s="25">
        <f>IF(T104=0,"",ROUND(Z104/T104*100,1))</f>
        <v/>
      </c>
      <c r="AB104" s="26">
        <f>X104-Z104</f>
        <v/>
      </c>
      <c r="AC104" s="25">
        <f>IF(T104=0,"",ROUND((X104-Z104)/T104*100,1))</f>
        <v/>
      </c>
      <c r="AD104" s="27" t="inlineStr">
        <is>
          <t>ESTIMATED</t>
        </is>
      </c>
      <c r="AE104" s="28" t="inlineStr">
        <is>
          <t>https://stenius.com.br/wp-content/uploads/2026/06/EDITAL-GRUPO-FAEL.pdf</t>
        </is>
      </c>
      <c r="AF104" s="27" t="inlineStr">
        <is>
          <t>p1 r1</t>
        </is>
      </c>
      <c r="AG104" s="27" t="inlineStr">
        <is>
          <t>p1: R$ 4.951.238,73</t>
        </is>
      </c>
      <c r="AH104" s="27" t="inlineStr">
        <is>
          <t>AJ_LIST</t>
        </is>
      </c>
      <c r="AI104" s="27" t="inlineStr">
        <is>
          <t>2026-06-30</t>
        </is>
      </c>
      <c r="AJ104" s="27" t="inlineStr">
        <is>
          <t>OK_NO_TOTALS</t>
        </is>
      </c>
      <c r="AK104" s="29" t="inlineStr">
        <is>
          <t>5264228-81.2025.8.09.0172</t>
        </is>
      </c>
      <c r="AL104" s="29" t="inlineStr">
        <is>
          <t>TJGO</t>
        </is>
      </c>
      <c r="AM104" s="29" t="inlineStr">
        <is>
          <t>ACTIVE</t>
        </is>
      </c>
      <c r="AN104" s="29" t="n">
        <v>2025</v>
      </c>
      <c r="AO104" s="29" t="inlineStr">
        <is>
          <t>live case, no plan document yet</t>
        </is>
      </c>
      <c r="AP104" s="29" t="inlineStr">
        <is>
          <t>OSASCO</t>
        </is>
      </c>
      <c r="AQ104" s="29" t="inlineStr">
        <is>
          <t>SP</t>
        </is>
      </c>
      <c r="AR104" s="29" t="inlineStr">
        <is>
          <t>Bancos múltiplos, com carteira comercial</t>
        </is>
      </c>
      <c r="AS104" s="29" t="inlineStr">
        <is>
          <t>DEMAIS</t>
        </is>
      </c>
      <c r="AT104" s="29" t="inlineStr">
        <is>
          <t>LARGE CORP</t>
        </is>
      </c>
      <c r="AU104" s="29" t="inlineStr">
        <is>
          <t>60746948</t>
        </is>
      </c>
      <c r="AV104" s="29" t="n">
        <v>1</v>
      </c>
      <c r="AW104" s="29" t="inlineStr">
        <is>
          <t>NAME_MISSING ROWS:p1r1 UNRECONCILED_SOURCE VALUE_COL:Valor_Do_Crédito</t>
        </is>
      </c>
    </row>
    <row r="105">
      <c r="A105" s="15" t="inlineStr">
        <is>
          <t>BANCO DO BRASIL SA</t>
        </is>
      </c>
      <c r="B105" s="16" t="n">
        <v>2961832.77</v>
      </c>
      <c r="C105" s="17" t="inlineStr">
        <is>
          <t>JA SANTOS IMPORTACAO EXPORTACAO DE FERRAMENTAS E SERVICOS ESPECIALIZADOS LTDA</t>
        </is>
      </c>
      <c r="D105" s="18" t="inlineStr">
        <is>
          <t>NEW</t>
        </is>
      </c>
      <c r="E105" s="19" t="inlineStr"/>
      <c r="F105" s="18" t="inlineStr"/>
      <c r="G105" s="19" t="inlineStr"/>
      <c r="H105" s="18" t="inlineStr"/>
      <c r="I105" s="20" t="inlineStr">
        <is>
          <t>TARCIANA PAULA GOMES MEDEIROS</t>
        </is>
      </c>
      <c r="J105" s="20" t="inlineStr">
        <is>
          <t>Presidente</t>
        </is>
      </c>
      <c r="K105" s="20" t="inlineStr">
        <is>
          <t>(61) 3493-9002</t>
        </is>
      </c>
      <c r="L105" s="20" t="inlineStr"/>
      <c r="M105" s="20" t="inlineStr"/>
      <c r="N105" s="20" t="inlineStr"/>
      <c r="O105" s="20" t="inlineStr"/>
      <c r="P105" s="20" t="inlineStr">
        <is>
          <t>ALAN CARLOS GUEDES DE OLIVEIRA</t>
        </is>
      </c>
      <c r="Q105" s="20" t="inlineStr">
        <is>
          <t>Diretor</t>
        </is>
      </c>
      <c r="R105" s="20" t="inlineStr">
        <is>
          <t>(61) 3493-9002</t>
        </is>
      </c>
      <c r="S105" s="20" t="inlineStr"/>
      <c r="T105" s="21" t="n">
        <v>2961832.77</v>
      </c>
      <c r="U105" s="32" t="inlineStr">
        <is>
          <t>A</t>
        </is>
      </c>
      <c r="V105" s="23">
        <f>IFERROR(VLOOKUP(U105,Assumptions!$A$7:$D$11,2,FALSE),0)</f>
        <v/>
      </c>
      <c r="W105" s="24">
        <f>MAX(0.5,IFERROR(VLOOKUP(U105,Assumptions!$A$7:$D$11,3,FALSE),3)+IFERROR(VLOOKUP(U105,Assumptions!$A$7:$D$11,4,FALSE),8)/2-IF(AN105="",0,YEAR(TODAY())-AN105))</f>
        <v/>
      </c>
      <c r="X105" s="21">
        <f>T105*V105/(1+Assumptions!$B$3)^W105</f>
        <v/>
      </c>
      <c r="Y105" s="25">
        <f>IF(T105=0,"",ROUND(X105/T105*100,1))</f>
        <v/>
      </c>
      <c r="Z105" s="26">
        <f>X105*Assumptions!$B$4</f>
        <v/>
      </c>
      <c r="AA105" s="25">
        <f>IF(T105=0,"",ROUND(Z105/T105*100,1))</f>
        <v/>
      </c>
      <c r="AB105" s="26">
        <f>X105-Z105</f>
        <v/>
      </c>
      <c r="AC105" s="25">
        <f>IF(T105=0,"",ROUND((X105-Z105)/T105*100,1))</f>
        <v/>
      </c>
      <c r="AD105" s="27" t="inlineStr">
        <is>
          <t>CONFIRMED</t>
        </is>
      </c>
      <c r="AE105" s="28" t="inlineStr">
        <is>
          <t>https://vivanteaj.com.br/wp-content/uploads/2024/11/1a-lista-de-credores-JA-Santos.pdf</t>
        </is>
      </c>
      <c r="AF105" s="27" t="inlineStr">
        <is>
          <t>p1 r3; p1 r4</t>
        </is>
      </c>
      <c r="AG105" s="27" t="inlineStr">
        <is>
          <t>p1: R$ 818.650,84; p1: R$ 2.143.181,93</t>
        </is>
      </c>
      <c r="AH105" s="27" t="inlineStr">
        <is>
          <t>UNKNOWN</t>
        </is>
      </c>
      <c r="AI105" s="27" t="inlineStr">
        <is>
          <t>2022-11-02</t>
        </is>
      </c>
      <c r="AJ105" s="27" t="inlineStr">
        <is>
          <t>OK</t>
        </is>
      </c>
      <c r="AK105" s="29" t="inlineStr">
        <is>
          <t>1018313-46.2024.8.26.0100</t>
        </is>
      </c>
      <c r="AL105" s="29" t="inlineStr">
        <is>
          <t>TJSP</t>
        </is>
      </c>
      <c r="AM105" s="29" t="inlineStr">
        <is>
          <t>ACTIVE</t>
        </is>
      </c>
      <c r="AN105" s="29" t="n">
        <v>2024</v>
      </c>
      <c r="AO105" s="29" t="inlineStr">
        <is>
          <t>plan/homologation document found</t>
        </is>
      </c>
      <c r="AP105" s="29" t="inlineStr">
        <is>
          <t>BRASILIA</t>
        </is>
      </c>
      <c r="AQ105" s="29" t="inlineStr">
        <is>
          <t>DF</t>
        </is>
      </c>
      <c r="AR105" s="29" t="inlineStr">
        <is>
          <t>Bancos múltiplos, com carteira comercial</t>
        </is>
      </c>
      <c r="AS105" s="29" t="inlineStr">
        <is>
          <t>DEMAIS</t>
        </is>
      </c>
      <c r="AT105" s="29" t="inlineStr">
        <is>
          <t>LARGE CORP</t>
        </is>
      </c>
      <c r="AU105" s="29" t="inlineStr">
        <is>
          <t>00000000</t>
        </is>
      </c>
      <c r="AV105" s="29" t="n">
        <v>2</v>
      </c>
      <c r="AW105" s="29" t="inlineStr">
        <is>
          <t>LIKELY_FINANCIAL_BY_NAME ROWS:p1r3,p1r4 VALUE_COL:Valor</t>
        </is>
      </c>
    </row>
    <row r="106">
      <c r="A106" s="15" t="inlineStr">
        <is>
          <t>BANCO BRADESCO S.A.</t>
        </is>
      </c>
      <c r="B106" s="16" t="n">
        <v>3153794.96</v>
      </c>
      <c r="C106" s="17" t="inlineStr">
        <is>
          <t>Conduscabos Brasil Indústria Comércio de</t>
        </is>
      </c>
      <c r="D106" s="18" t="inlineStr">
        <is>
          <t>NEW</t>
        </is>
      </c>
      <c r="E106" s="19" t="inlineStr"/>
      <c r="F106" s="18" t="inlineStr"/>
      <c r="G106" s="19" t="inlineStr"/>
      <c r="H106" s="18" t="inlineStr"/>
      <c r="I106" s="20" t="inlineStr">
        <is>
          <t>MARCELO DE ARAUJO NORONHA</t>
        </is>
      </c>
      <c r="J106" s="20" t="inlineStr">
        <is>
          <t>Presidente</t>
        </is>
      </c>
      <c r="K106" s="20" t="inlineStr">
        <is>
          <t>(11) 3684-5122</t>
        </is>
      </c>
      <c r="L106" s="20" t="inlineStr"/>
      <c r="M106" s="20" t="inlineStr"/>
      <c r="N106" s="20" t="inlineStr"/>
      <c r="O106" s="20" t="inlineStr"/>
      <c r="P106" s="20" t="inlineStr">
        <is>
          <t>AFRANIO CARLOS CAMARGO DANTZGER</t>
        </is>
      </c>
      <c r="Q106" s="20" t="inlineStr">
        <is>
          <t>Diretor</t>
        </is>
      </c>
      <c r="R106" s="20" t="inlineStr">
        <is>
          <t>(11) 3684-5122</t>
        </is>
      </c>
      <c r="S106" s="20" t="inlineStr"/>
      <c r="T106" s="21" t="n">
        <v>3153794.96</v>
      </c>
      <c r="U106" s="22" t="inlineStr">
        <is>
          <t>B</t>
        </is>
      </c>
      <c r="V106" s="23">
        <f>IFERROR(VLOOKUP(U106,Assumptions!$A$7:$D$11,2,FALSE),0)</f>
        <v/>
      </c>
      <c r="W106" s="24">
        <f>MAX(0.5,IFERROR(VLOOKUP(U106,Assumptions!$A$7:$D$11,3,FALSE),3)+IFERROR(VLOOKUP(U106,Assumptions!$A$7:$D$11,4,FALSE),8)/2-IF(AN106="",0,YEAR(TODAY())-AN106))</f>
        <v/>
      </c>
      <c r="X106" s="21">
        <f>T106*V106/(1+Assumptions!$B$3)^W106</f>
        <v/>
      </c>
      <c r="Y106" s="25">
        <f>IF(T106=0,"",ROUND(X106/T106*100,1))</f>
        <v/>
      </c>
      <c r="Z106" s="26">
        <f>X106*Assumptions!$B$4</f>
        <v/>
      </c>
      <c r="AA106" s="25">
        <f>IF(T106=0,"",ROUND(Z106/T106*100,1))</f>
        <v/>
      </c>
      <c r="AB106" s="26">
        <f>X106-Z106</f>
        <v/>
      </c>
      <c r="AC106" s="25">
        <f>IF(T106=0,"",ROUND((X106-Z106)/T106*100,1))</f>
        <v/>
      </c>
      <c r="AD106" s="27" t="inlineStr">
        <is>
          <t>ESTIMATED</t>
        </is>
      </c>
      <c r="AE106" s="28" t="inlineStr">
        <is>
          <t>https://assistjud.com.br/wp-content/uploads/elementor/forms/65098c80a5824.pdf</t>
        </is>
      </c>
      <c r="AF106" s="27" t="inlineStr">
        <is>
          <t>p5 r16; p17 r7</t>
        </is>
      </c>
      <c r="AG106" s="27" t="inlineStr">
        <is>
          <t>p5: R$ 1.330.576,88; p17: R$ 1.823.218,08</t>
        </is>
      </c>
      <c r="AH106" s="27" t="inlineStr">
        <is>
          <t>AJ_LIST</t>
        </is>
      </c>
      <c r="AI106" s="27" t="inlineStr">
        <is>
          <t>2023-09-18</t>
        </is>
      </c>
      <c r="AJ106" s="27" t="inlineStr">
        <is>
          <t>OK_NO_TOTALS</t>
        </is>
      </c>
      <c r="AK106" s="29" t="inlineStr">
        <is>
          <t>8005129-09.2023.8.05.0039</t>
        </is>
      </c>
      <c r="AL106" s="29" t="inlineStr">
        <is>
          <t>TJBA</t>
        </is>
      </c>
      <c r="AM106" s="29" t="inlineStr">
        <is>
          <t>ACTIVE</t>
        </is>
      </c>
      <c r="AN106" s="29" t="n">
        <v>2023</v>
      </c>
      <c r="AO106" s="29" t="inlineStr">
        <is>
          <t>live case, no plan document yet</t>
        </is>
      </c>
      <c r="AP106" s="29" t="inlineStr">
        <is>
          <t>OSASCO</t>
        </is>
      </c>
      <c r="AQ106" s="29" t="inlineStr">
        <is>
          <t>SP</t>
        </is>
      </c>
      <c r="AR106" s="29" t="inlineStr">
        <is>
          <t>Bancos múltiplos, com carteira comercial</t>
        </is>
      </c>
      <c r="AS106" s="29" t="inlineStr">
        <is>
          <t>DEMAIS</t>
        </is>
      </c>
      <c r="AT106" s="29" t="inlineStr">
        <is>
          <t>LARGE CORP</t>
        </is>
      </c>
      <c r="AU106" s="29" t="inlineStr">
        <is>
          <t>60746948</t>
        </is>
      </c>
      <c r="AV106" s="29" t="n">
        <v>2</v>
      </c>
      <c r="AW106" s="29" t="inlineStr">
        <is>
          <t>LIKELY_FINANCIAL_BY_NAME ROWS:p5r16,p17r7 UNRECONCILED_SOURCE VALUE_COL:Valor_Do_Crédito_2º_Edital_De_Credores</t>
        </is>
      </c>
    </row>
    <row r="107">
      <c r="A107" s="15" t="inlineStr">
        <is>
          <t>BANCO DAYCOVAL S.A.</t>
        </is>
      </c>
      <c r="B107" s="16" t="n">
        <v>3115885.56</v>
      </c>
      <c r="C107" s="17" t="inlineStr">
        <is>
          <t>Conduscabos Brasil Indústria Comércio de</t>
        </is>
      </c>
      <c r="D107" s="18" t="inlineStr">
        <is>
          <t>NEW</t>
        </is>
      </c>
      <c r="E107" s="19" t="inlineStr"/>
      <c r="F107" s="18" t="inlineStr"/>
      <c r="G107" s="19" t="inlineStr"/>
      <c r="H107" s="18" t="inlineStr"/>
      <c r="I107" s="20" t="inlineStr">
        <is>
          <t>ADELY DAYAN HAMOUI</t>
        </is>
      </c>
      <c r="J107" s="20" t="inlineStr">
        <is>
          <t>Diretor</t>
        </is>
      </c>
      <c r="K107" s="20" t="inlineStr">
        <is>
          <t>(11) 3138-0500</t>
        </is>
      </c>
      <c r="L107" s="20" t="inlineStr"/>
      <c r="M107" s="20" t="inlineStr"/>
      <c r="N107" s="20" t="inlineStr"/>
      <c r="O107" s="20" t="inlineStr"/>
      <c r="P107" s="20" t="inlineStr">
        <is>
          <t>ALBERT ROUBEN</t>
        </is>
      </c>
      <c r="Q107" s="20" t="inlineStr">
        <is>
          <t>Diretor</t>
        </is>
      </c>
      <c r="R107" s="20" t="inlineStr">
        <is>
          <t>(11) 3138-0500</t>
        </is>
      </c>
      <c r="S107" s="20" t="inlineStr"/>
      <c r="T107" s="21" t="n">
        <v>3115885.56</v>
      </c>
      <c r="U107" s="22" t="inlineStr">
        <is>
          <t>B</t>
        </is>
      </c>
      <c r="V107" s="23">
        <f>IFERROR(VLOOKUP(U107,Assumptions!$A$7:$D$11,2,FALSE),0)</f>
        <v/>
      </c>
      <c r="W107" s="24">
        <f>MAX(0.5,IFERROR(VLOOKUP(U107,Assumptions!$A$7:$D$11,3,FALSE),3)+IFERROR(VLOOKUP(U107,Assumptions!$A$7:$D$11,4,FALSE),8)/2-IF(AN107="",0,YEAR(TODAY())-AN107))</f>
        <v/>
      </c>
      <c r="X107" s="21">
        <f>T107*V107/(1+Assumptions!$B$3)^W107</f>
        <v/>
      </c>
      <c r="Y107" s="25">
        <f>IF(T107=0,"",ROUND(X107/T107*100,1))</f>
        <v/>
      </c>
      <c r="Z107" s="26">
        <f>X107*Assumptions!$B$4</f>
        <v/>
      </c>
      <c r="AA107" s="25">
        <f>IF(T107=0,"",ROUND(Z107/T107*100,1))</f>
        <v/>
      </c>
      <c r="AB107" s="26">
        <f>X107-Z107</f>
        <v/>
      </c>
      <c r="AC107" s="25">
        <f>IF(T107=0,"",ROUND((X107-Z107)/T107*100,1))</f>
        <v/>
      </c>
      <c r="AD107" s="27" t="inlineStr">
        <is>
          <t>ESTIMATED</t>
        </is>
      </c>
      <c r="AE107" s="28" t="inlineStr">
        <is>
          <t>https://assistjud.com.br/wp-content/uploads/elementor/forms/65098c80a5824.pdf</t>
        </is>
      </c>
      <c r="AF107" s="27" t="inlineStr">
        <is>
          <t>p5 r8</t>
        </is>
      </c>
      <c r="AG107" s="27" t="inlineStr">
        <is>
          <t>p5: R$ 3.115.885,56</t>
        </is>
      </c>
      <c r="AH107" s="27" t="inlineStr">
        <is>
          <t>AJ_LIST</t>
        </is>
      </c>
      <c r="AI107" s="27" t="inlineStr">
        <is>
          <t>2023-09-18</t>
        </is>
      </c>
      <c r="AJ107" s="27" t="inlineStr">
        <is>
          <t>OK_NO_TOTALS</t>
        </is>
      </c>
      <c r="AK107" s="29" t="inlineStr">
        <is>
          <t>8005129-09.2023.8.05.0039</t>
        </is>
      </c>
      <c r="AL107" s="29" t="inlineStr">
        <is>
          <t>TJBA</t>
        </is>
      </c>
      <c r="AM107" s="29" t="inlineStr">
        <is>
          <t>ACTIVE</t>
        </is>
      </c>
      <c r="AN107" s="29" t="n">
        <v>2023</v>
      </c>
      <c r="AO107" s="29" t="inlineStr">
        <is>
          <t>live case, no plan document yet</t>
        </is>
      </c>
      <c r="AP107" s="29" t="inlineStr">
        <is>
          <t>SAO PAULO</t>
        </is>
      </c>
      <c r="AQ107" s="29" t="inlineStr">
        <is>
          <t>SP</t>
        </is>
      </c>
      <c r="AR107" s="29" t="inlineStr">
        <is>
          <t>Bancos múltiplos, com carteira comercial</t>
        </is>
      </c>
      <c r="AS107" s="29" t="inlineStr">
        <is>
          <t>DEMAIS</t>
        </is>
      </c>
      <c r="AT107" s="29" t="inlineStr">
        <is>
          <t>LARGE CORP</t>
        </is>
      </c>
      <c r="AU107" s="29" t="inlineStr">
        <is>
          <t>62232889</t>
        </is>
      </c>
      <c r="AV107" s="29" t="n">
        <v>1</v>
      </c>
      <c r="AW107" s="29" t="inlineStr">
        <is>
          <t>LIKELY_FINANCIAL_BY_NAME ROWS:p5r8 UNRECONCILED_SOURCE VALUE_COL:Valor_Do_Crédito_2º_Edital_De_Credores</t>
        </is>
      </c>
    </row>
    <row r="108">
      <c r="A108" s="15" t="inlineStr">
        <is>
          <t>FS FUNDO DE INVESTIMENTO EM DIREITOS CREDITORIOS NAO PADRONIZADOS</t>
        </is>
      </c>
      <c r="B108" s="16" t="n">
        <v>3056640</v>
      </c>
      <c r="C108" s="17" t="inlineStr"/>
      <c r="D108" s="18" t="inlineStr">
        <is>
          <t>NEW</t>
        </is>
      </c>
      <c r="E108" s="19" t="inlineStr"/>
      <c r="F108" s="18" t="inlineStr"/>
      <c r="G108" s="19" t="inlineStr"/>
      <c r="H108" s="18" t="inlineStr"/>
      <c r="I108" s="20" t="inlineStr"/>
      <c r="J108" s="20" t="inlineStr"/>
      <c r="K108" s="20" t="inlineStr">
        <is>
          <t>(11) 2827-3500</t>
        </is>
      </c>
      <c r="L108" s="20" t="inlineStr"/>
      <c r="M108" s="20" t="inlineStr"/>
      <c r="N108" s="20" t="inlineStr"/>
      <c r="O108" s="20" t="inlineStr"/>
      <c r="P108" s="20" t="inlineStr"/>
      <c r="Q108" s="20" t="inlineStr"/>
      <c r="R108" s="20" t="inlineStr"/>
      <c r="S108" s="20" t="inlineStr"/>
      <c r="T108" s="21" t="n">
        <v>3056640</v>
      </c>
      <c r="U108" s="22" t="inlineStr">
        <is>
          <t>B</t>
        </is>
      </c>
      <c r="V108" s="23">
        <f>IFERROR(VLOOKUP(U108,Assumptions!$A$7:$D$11,2,FALSE),0)</f>
        <v/>
      </c>
      <c r="W108" s="24">
        <f>MAX(0.5,IFERROR(VLOOKUP(U108,Assumptions!$A$7:$D$11,3,FALSE),3)+IFERROR(VLOOKUP(U108,Assumptions!$A$7:$D$11,4,FALSE),8)/2-IF(AN108="",0,YEAR(TODAY())-AN108))</f>
        <v/>
      </c>
      <c r="X108" s="21">
        <f>T108*V108/(1+Assumptions!$B$3)^W108</f>
        <v/>
      </c>
      <c r="Y108" s="25">
        <f>IF(T108=0,"",ROUND(X108/T108*100,1))</f>
        <v/>
      </c>
      <c r="Z108" s="26">
        <f>X108*Assumptions!$B$4</f>
        <v/>
      </c>
      <c r="AA108" s="25">
        <f>IF(T108=0,"",ROUND(Z108/T108*100,1))</f>
        <v/>
      </c>
      <c r="AB108" s="26">
        <f>X108-Z108</f>
        <v/>
      </c>
      <c r="AC108" s="25">
        <f>IF(T108=0,"",ROUND((X108-Z108)/T108*100,1))</f>
        <v/>
      </c>
      <c r="AD108" s="27" t="inlineStr">
        <is>
          <t>ESTIMATED</t>
        </is>
      </c>
      <c r="AE108" s="28" t="inlineStr">
        <is>
          <t>https://cataliseaj.com.br/sgc/download.php?file=files/processo_documento/processo_documento15092204102024_1_.pdf&amp;nome=02. RELAÇÃO DE CREDORES</t>
        </is>
      </c>
      <c r="AF108" s="27" t="inlineStr">
        <is>
          <t>p2 r45</t>
        </is>
      </c>
      <c r="AG108" s="27" t="inlineStr">
        <is>
          <t>p2: R$ 3.056.640,00</t>
        </is>
      </c>
      <c r="AH108" s="27" t="inlineStr">
        <is>
          <t>DEBTOR_LIST</t>
        </is>
      </c>
      <c r="AI108" s="27" t="inlineStr"/>
      <c r="AJ108" s="27" t="inlineStr">
        <is>
          <t>OK_NO_TOTALS</t>
        </is>
      </c>
      <c r="AK108" s="29" t="inlineStr">
        <is>
          <t>5011460-87.2023.8.24.0020</t>
        </is>
      </c>
      <c r="AL108" s="29" t="inlineStr">
        <is>
          <t>TJSC</t>
        </is>
      </c>
      <c r="AM108" s="29" t="inlineStr">
        <is>
          <t>ACTIVE</t>
        </is>
      </c>
      <c r="AN108" s="29" t="n">
        <v>2023</v>
      </c>
      <c r="AO108" s="29" t="inlineStr">
        <is>
          <t>live case, no plan document yet</t>
        </is>
      </c>
      <c r="AP108" s="29" t="inlineStr">
        <is>
          <t>SAO PAULO</t>
        </is>
      </c>
      <c r="AQ108" s="29" t="inlineStr">
        <is>
          <t>SP</t>
        </is>
      </c>
      <c r="AR108" s="29" t="inlineStr">
        <is>
          <t>Fundos de investimento, exceto previdenciários e imobiliários</t>
        </is>
      </c>
      <c r="AS108" s="29" t="inlineStr">
        <is>
          <t>DEMAIS</t>
        </is>
      </c>
      <c r="AT108" s="29" t="inlineStr">
        <is>
          <t>MID-MARKET</t>
        </is>
      </c>
      <c r="AU108" s="29" t="inlineStr">
        <is>
          <t>21397569</t>
        </is>
      </c>
      <c r="AV108" s="29" t="n">
        <v>1</v>
      </c>
      <c r="AW108" s="29" t="inlineStr">
        <is>
          <t>ROWS:p2r45 UNRECONCILED_SOURCE</t>
        </is>
      </c>
    </row>
    <row r="109">
      <c r="A109" s="15" t="inlineStr">
        <is>
          <t>BANCO SANTANDER (BRASIL) S.A.</t>
        </is>
      </c>
      <c r="B109" s="16" t="n">
        <v>3777366.43</v>
      </c>
      <c r="C109" s="17" t="inlineStr">
        <is>
          <t>CEAM NUCLEO ESPECIALIZADO EM APOIO MULTIDISCIPLINAR LTDA - EM RECUPERACAO JUDICIAL</t>
        </is>
      </c>
      <c r="D109" s="18" t="inlineStr">
        <is>
          <t>NEW</t>
        </is>
      </c>
      <c r="E109" s="19" t="inlineStr"/>
      <c r="F109" s="18" t="inlineStr"/>
      <c r="G109" s="19" t="inlineStr"/>
      <c r="H109" s="18" t="inlineStr"/>
      <c r="I109" s="20" t="inlineStr">
        <is>
          <t>GILSON FINKELSZTAIN</t>
        </is>
      </c>
      <c r="J109" s="20" t="inlineStr">
        <is>
          <t>Presidente</t>
        </is>
      </c>
      <c r="K109" s="20" t="inlineStr">
        <is>
          <t>(11) 4004-3535</t>
        </is>
      </c>
      <c r="L109" s="20" t="inlineStr"/>
      <c r="M109" s="20" t="inlineStr"/>
      <c r="N109" s="20" t="inlineStr"/>
      <c r="O109" s="20" t="inlineStr"/>
      <c r="P109" s="20" t="inlineStr">
        <is>
          <t>ALESSANDRO CHAGAS FARIAS</t>
        </is>
      </c>
      <c r="Q109" s="20" t="inlineStr">
        <is>
          <t>Diretor</t>
        </is>
      </c>
      <c r="R109" s="20" t="inlineStr">
        <is>
          <t>(11) 4004-3535</t>
        </is>
      </c>
      <c r="S109" s="20" t="inlineStr"/>
      <c r="T109" s="21" t="n">
        <v>3777366.43</v>
      </c>
      <c r="U109" s="22" t="inlineStr">
        <is>
          <t>B</t>
        </is>
      </c>
      <c r="V109" s="23">
        <f>IFERROR(VLOOKUP(U109,Assumptions!$A$7:$D$11,2,FALSE),0)</f>
        <v/>
      </c>
      <c r="W109" s="24">
        <f>MAX(0.5,IFERROR(VLOOKUP(U109,Assumptions!$A$7:$D$11,3,FALSE),3)+IFERROR(VLOOKUP(U109,Assumptions!$A$7:$D$11,4,FALSE),8)/2-IF(AN109="",0,YEAR(TODAY())-AN109))</f>
        <v/>
      </c>
      <c r="X109" s="21">
        <f>T109*V109/(1+Assumptions!$B$3)^W109</f>
        <v/>
      </c>
      <c r="Y109" s="25">
        <f>IF(T109=0,"",ROUND(X109/T109*100,1))</f>
        <v/>
      </c>
      <c r="Z109" s="26">
        <f>X109*Assumptions!$B$4</f>
        <v/>
      </c>
      <c r="AA109" s="25">
        <f>IF(T109=0,"",ROUND(Z109/T109*100,1))</f>
        <v/>
      </c>
      <c r="AB109" s="26">
        <f>X109-Z109</f>
        <v/>
      </c>
      <c r="AC109" s="25">
        <f>IF(T109=0,"",ROUND((X109-Z109)/T109*100,1))</f>
        <v/>
      </c>
      <c r="AD109" s="27" t="inlineStr">
        <is>
          <t>ESTIMATED</t>
        </is>
      </c>
      <c r="AE109" s="28" t="inlineStr">
        <is>
          <t>https://recuperasolucoes.com/wp-content/plugins/download-attachments/includes/download.php?id=1492</t>
        </is>
      </c>
      <c r="AF109" s="27" t="inlineStr">
        <is>
          <t>p5 r53</t>
        </is>
      </c>
      <c r="AG109" s="27" t="inlineStr">
        <is>
          <t>p5: R$ 3.777.366,43</t>
        </is>
      </c>
      <c r="AH109" s="27" t="inlineStr">
        <is>
          <t>AJ_LIST</t>
        </is>
      </c>
      <c r="AI109" s="27" t="inlineStr">
        <is>
          <t>2025-09-12</t>
        </is>
      </c>
      <c r="AJ109" s="27" t="inlineStr">
        <is>
          <t>OK</t>
        </is>
      </c>
      <c r="AK109" s="29" t="inlineStr">
        <is>
          <t>0133628-14.2024.8.17.2001</t>
        </is>
      </c>
      <c r="AL109" s="29" t="inlineStr">
        <is>
          <t>TJPE</t>
        </is>
      </c>
      <c r="AM109" s="29" t="inlineStr">
        <is>
          <t>ACTIVE</t>
        </is>
      </c>
      <c r="AN109" s="29" t="n">
        <v>2024</v>
      </c>
      <c r="AO109" s="29" t="inlineStr">
        <is>
          <t>live case, no plan document yet</t>
        </is>
      </c>
      <c r="AP109" s="29" t="inlineStr">
        <is>
          <t>SAO PAULO</t>
        </is>
      </c>
      <c r="AQ109" s="29" t="inlineStr">
        <is>
          <t>SP</t>
        </is>
      </c>
      <c r="AR109" s="29" t="inlineStr">
        <is>
          <t>Bancos múltiplos, com carteira comercial</t>
        </is>
      </c>
      <c r="AS109" s="29" t="inlineStr">
        <is>
          <t>DEMAIS</t>
        </is>
      </c>
      <c r="AT109" s="29" t="inlineStr">
        <is>
          <t>LARGE CORP</t>
        </is>
      </c>
      <c r="AU109" s="29" t="inlineStr">
        <is>
          <t>90400888</t>
        </is>
      </c>
      <c r="AV109" s="29" t="n">
        <v>1</v>
      </c>
      <c r="AW109" s="29" t="inlineStr">
        <is>
          <t>LIKELY_FINANCIAL_BY_NAME ROWS:p5r53</t>
        </is>
      </c>
    </row>
    <row r="110">
      <c r="A110" s="15" t="inlineStr">
        <is>
          <t>UNIMED MACEIO COOPERATIVA DE TRABALHO MEDICO</t>
        </is>
      </c>
      <c r="B110" s="16" t="n">
        <v>3860405.37</v>
      </c>
      <c r="C110" s="17" t="inlineStr">
        <is>
          <t>Grupo Arnon de Mello — Lindoso e Araujo</t>
        </is>
      </c>
      <c r="D110" s="18" t="inlineStr">
        <is>
          <t>NEW</t>
        </is>
      </c>
      <c r="E110" s="19" t="inlineStr"/>
      <c r="F110" s="18" t="inlineStr"/>
      <c r="G110" s="19" t="inlineStr"/>
      <c r="H110" s="18" t="inlineStr"/>
      <c r="I110" s="20" t="inlineStr">
        <is>
          <t>DANIEL DE MACEDO VERAS</t>
        </is>
      </c>
      <c r="J110" s="20" t="inlineStr">
        <is>
          <t>Presidente</t>
        </is>
      </c>
      <c r="K110" s="20" t="inlineStr">
        <is>
          <t>(82) 2121-1600</t>
        </is>
      </c>
      <c r="L110" s="20" t="inlineStr">
        <is>
          <t>(82) 2121-1746</t>
        </is>
      </c>
      <c r="M110" s="20" t="inlineStr"/>
      <c r="N110" s="20" t="inlineStr"/>
      <c r="O110" s="20" t="inlineStr"/>
      <c r="P110" s="20" t="inlineStr">
        <is>
          <t>ANA ROSA ARAUJO GONCALVES</t>
        </is>
      </c>
      <c r="Q110" s="20" t="inlineStr">
        <is>
          <t>Diretor</t>
        </is>
      </c>
      <c r="R110" s="20" t="inlineStr">
        <is>
          <t>(82) 2121-1746</t>
        </is>
      </c>
      <c r="S110" s="20" t="inlineStr"/>
      <c r="T110" s="21" t="n">
        <v>3860405.37</v>
      </c>
      <c r="U110" s="31" t="inlineStr">
        <is>
          <t>C</t>
        </is>
      </c>
      <c r="V110" s="23">
        <f>IFERROR(VLOOKUP(U110,Assumptions!$A$7:$D$11,2,FALSE),0)</f>
        <v/>
      </c>
      <c r="W110" s="24">
        <f>MAX(0.5,IFERROR(VLOOKUP(U110,Assumptions!$A$7:$D$11,3,FALSE),3)+IFERROR(VLOOKUP(U110,Assumptions!$A$7:$D$11,4,FALSE),8)/2-IF(AN110="",0,YEAR(TODAY())-AN110))</f>
        <v/>
      </c>
      <c r="X110" s="21">
        <f>T110*V110/(1+Assumptions!$B$3)^W110</f>
        <v/>
      </c>
      <c r="Y110" s="25">
        <f>IF(T110=0,"",ROUND(X110/T110*100,1))</f>
        <v/>
      </c>
      <c r="Z110" s="26">
        <f>X110*Assumptions!$B$4</f>
        <v/>
      </c>
      <c r="AA110" s="25">
        <f>IF(T110=0,"",ROUND(Z110/T110*100,1))</f>
        <v/>
      </c>
      <c r="AB110" s="26">
        <f>X110-Z110</f>
        <v/>
      </c>
      <c r="AC110" s="25">
        <f>IF(T110=0,"",ROUND((X110-Z110)/T110*100,1))</f>
        <v/>
      </c>
      <c r="AD110" s="27" t="inlineStr">
        <is>
          <t>UNKNOWN</t>
        </is>
      </c>
      <c r="AE110" s="28" t="inlineStr">
        <is>
          <t>https://recuperacaojudicial.squarespace.com/s/RJ-Grupo-Arnon-de-Melo-Lista-de-Credores-Consolidada-abril-2022.pdf</t>
        </is>
      </c>
      <c r="AF110" s="27" t="inlineStr">
        <is>
          <t>p9 r42</t>
        </is>
      </c>
      <c r="AG110" s="27" t="inlineStr">
        <is>
          <t>p9: R$ 3.860.405,37</t>
        </is>
      </c>
      <c r="AH110" s="27" t="inlineStr">
        <is>
          <t>AJ_LIST</t>
        </is>
      </c>
      <c r="AI110" s="27" t="inlineStr"/>
      <c r="AJ110" s="27" t="inlineStr">
        <is>
          <t>OK_NO_TOTALS</t>
        </is>
      </c>
      <c r="AK110" s="29" t="inlineStr">
        <is>
          <t>0700256-03.2019.8.02.0066</t>
        </is>
      </c>
      <c r="AL110" s="29" t="inlineStr">
        <is>
          <t>TJ</t>
        </is>
      </c>
      <c r="AM110" s="29" t="inlineStr"/>
      <c r="AN110" s="29" t="n">
        <v>2019</v>
      </c>
      <c r="AO110" s="29" t="inlineStr">
        <is>
          <t>7y since filing, no plan document</t>
        </is>
      </c>
      <c r="AP110" s="29" t="inlineStr">
        <is>
          <t>MACEIO</t>
        </is>
      </c>
      <c r="AQ110" s="29" t="inlineStr">
        <is>
          <t>AL</t>
        </is>
      </c>
      <c r="AR110" s="29" t="inlineStr">
        <is>
          <t>Planos de saúde</t>
        </is>
      </c>
      <c r="AS110" s="29" t="inlineStr">
        <is>
          <t>DEMAIS</t>
        </is>
      </c>
      <c r="AT110" s="29" t="inlineStr">
        <is>
          <t>MID-MARKET</t>
        </is>
      </c>
      <c r="AU110" s="29" t="inlineStr">
        <is>
          <t>12442737</t>
        </is>
      </c>
      <c r="AV110" s="29" t="n">
        <v>1</v>
      </c>
      <c r="AW110" s="29" t="inlineStr">
        <is>
          <t>ROWS:p9r42 UNRECONCILED_SOURCE</t>
        </is>
      </c>
    </row>
    <row r="111">
      <c r="A111" s="15" t="inlineStr">
        <is>
          <t>ITAU UNIBANCO S.A.</t>
        </is>
      </c>
      <c r="B111" s="16" t="n">
        <v>3004176.14</v>
      </c>
      <c r="C111" s="17" t="inlineStr">
        <is>
          <t>Conduscabos Brasil Indústria Comércio de</t>
        </is>
      </c>
      <c r="D111" s="18" t="inlineStr">
        <is>
          <t>NEW</t>
        </is>
      </c>
      <c r="E111" s="19" t="inlineStr"/>
      <c r="F111" s="18" t="inlineStr"/>
      <c r="G111" s="19" t="inlineStr"/>
      <c r="H111" s="18" t="inlineStr"/>
      <c r="I111" s="20" t="inlineStr">
        <is>
          <t>FELIPE SAMPAIO NABUCO</t>
        </is>
      </c>
      <c r="J111" s="20" t="inlineStr">
        <is>
          <t>Administrador</t>
        </is>
      </c>
      <c r="K111" s="20" t="inlineStr">
        <is>
          <t>(11) 3003-4828</t>
        </is>
      </c>
      <c r="L111" s="20" t="inlineStr"/>
      <c r="M111" s="20" t="inlineStr"/>
      <c r="N111" s="20" t="inlineStr"/>
      <c r="O111" s="20" t="inlineStr"/>
      <c r="P111" s="20" t="inlineStr">
        <is>
          <t>MILTON MALUHY FILHO</t>
        </is>
      </c>
      <c r="Q111" s="20" t="inlineStr">
        <is>
          <t>Presidente</t>
        </is>
      </c>
      <c r="R111" s="20" t="inlineStr">
        <is>
          <t>(11) 3003-4828</t>
        </is>
      </c>
      <c r="S111" s="20" t="inlineStr"/>
      <c r="T111" s="21" t="n">
        <v>3004176.14</v>
      </c>
      <c r="U111" s="22" t="inlineStr">
        <is>
          <t>B</t>
        </is>
      </c>
      <c r="V111" s="23">
        <f>IFERROR(VLOOKUP(U111,Assumptions!$A$7:$D$11,2,FALSE),0)</f>
        <v/>
      </c>
      <c r="W111" s="24">
        <f>MAX(0.5,IFERROR(VLOOKUP(U111,Assumptions!$A$7:$D$11,3,FALSE),3)+IFERROR(VLOOKUP(U111,Assumptions!$A$7:$D$11,4,FALSE),8)/2-IF(AN111="",0,YEAR(TODAY())-AN111))</f>
        <v/>
      </c>
      <c r="X111" s="21">
        <f>T111*V111/(1+Assumptions!$B$3)^W111</f>
        <v/>
      </c>
      <c r="Y111" s="25">
        <f>IF(T111=0,"",ROUND(X111/T111*100,1))</f>
        <v/>
      </c>
      <c r="Z111" s="26">
        <f>X111*Assumptions!$B$4</f>
        <v/>
      </c>
      <c r="AA111" s="25">
        <f>IF(T111=0,"",ROUND(Z111/T111*100,1))</f>
        <v/>
      </c>
      <c r="AB111" s="26">
        <f>X111-Z111</f>
        <v/>
      </c>
      <c r="AC111" s="25">
        <f>IF(T111=0,"",ROUND((X111-Z111)/T111*100,1))</f>
        <v/>
      </c>
      <c r="AD111" s="27" t="inlineStr">
        <is>
          <t>ESTIMATED</t>
        </is>
      </c>
      <c r="AE111" s="28" t="inlineStr">
        <is>
          <t>https://assistjud.com.br/wp-content/uploads/elementor/forms/65098c80a5824.pdf</t>
        </is>
      </c>
      <c r="AF111" s="27" t="inlineStr">
        <is>
          <t>p8 r3; p18 r5</t>
        </is>
      </c>
      <c r="AG111" s="27" t="inlineStr">
        <is>
          <t>p8: R$ 2.066.142,03; p18: R$ 938.034,11</t>
        </is>
      </c>
      <c r="AH111" s="27" t="inlineStr">
        <is>
          <t>AJ_LIST</t>
        </is>
      </c>
      <c r="AI111" s="27" t="inlineStr">
        <is>
          <t>2023-09-18</t>
        </is>
      </c>
      <c r="AJ111" s="27" t="inlineStr">
        <is>
          <t>OK_NO_TOTALS</t>
        </is>
      </c>
      <c r="AK111" s="29" t="inlineStr">
        <is>
          <t>8005129-09.2023.8.05.0039</t>
        </is>
      </c>
      <c r="AL111" s="29" t="inlineStr">
        <is>
          <t>TJBA</t>
        </is>
      </c>
      <c r="AM111" s="29" t="inlineStr">
        <is>
          <t>ACTIVE</t>
        </is>
      </c>
      <c r="AN111" s="29" t="n">
        <v>2023</v>
      </c>
      <c r="AO111" s="29" t="inlineStr">
        <is>
          <t>live case, no plan document yet</t>
        </is>
      </c>
      <c r="AP111" s="29" t="inlineStr">
        <is>
          <t>SAO PAULO</t>
        </is>
      </c>
      <c r="AQ111" s="29" t="inlineStr">
        <is>
          <t>SP</t>
        </is>
      </c>
      <c r="AR111" s="29" t="inlineStr">
        <is>
          <t>Bancos comerciais</t>
        </is>
      </c>
      <c r="AS111" s="29" t="inlineStr">
        <is>
          <t>DEMAIS</t>
        </is>
      </c>
      <c r="AT111" s="29" t="inlineStr">
        <is>
          <t>LARGE CORP</t>
        </is>
      </c>
      <c r="AU111" s="29" t="inlineStr">
        <is>
          <t>60701190</t>
        </is>
      </c>
      <c r="AV111" s="29" t="n">
        <v>2</v>
      </c>
      <c r="AW111" s="29" t="inlineStr">
        <is>
          <t>LIKELY_FINANCIAL_BY_NAME ROWS:p8r3,p18r5 UNRECONCILED_SOURCE</t>
        </is>
      </c>
    </row>
    <row r="112">
      <c r="A112" s="15" t="inlineStr">
        <is>
          <t>BANCO BRADESCO S.A.</t>
        </is>
      </c>
      <c r="B112" s="16" t="n">
        <v>2966807.47</v>
      </c>
      <c r="C112" s="17" t="inlineStr">
        <is>
          <t>BBR AGRO SUPLEMENTOS LTDA EM RECUPERACAO JUDICIAL</t>
        </is>
      </c>
      <c r="D112" s="18" t="inlineStr">
        <is>
          <t>NEW</t>
        </is>
      </c>
      <c r="E112" s="19" t="inlineStr"/>
      <c r="F112" s="18" t="inlineStr"/>
      <c r="G112" s="19" t="inlineStr"/>
      <c r="H112" s="18" t="inlineStr"/>
      <c r="I112" s="20" t="inlineStr">
        <is>
          <t>MARCELO DE ARAUJO NORONHA</t>
        </is>
      </c>
      <c r="J112" s="20" t="inlineStr">
        <is>
          <t>Presidente</t>
        </is>
      </c>
      <c r="K112" s="20" t="inlineStr">
        <is>
          <t>(11) 3684-5122</t>
        </is>
      </c>
      <c r="L112" s="20" t="inlineStr"/>
      <c r="M112" s="20" t="inlineStr"/>
      <c r="N112" s="20" t="inlineStr"/>
      <c r="O112" s="20" t="inlineStr"/>
      <c r="P112" s="20" t="inlineStr">
        <is>
          <t>AFRANIO CARLOS CAMARGO DANTZGER</t>
        </is>
      </c>
      <c r="Q112" s="20" t="inlineStr">
        <is>
          <t>Diretor</t>
        </is>
      </c>
      <c r="R112" s="20" t="inlineStr">
        <is>
          <t>(11) 3684-5122</t>
        </is>
      </c>
      <c r="S112" s="20" t="inlineStr"/>
      <c r="T112" s="21" t="n">
        <v>2966807.47</v>
      </c>
      <c r="U112" s="22" t="inlineStr">
        <is>
          <t>B</t>
        </is>
      </c>
      <c r="V112" s="23">
        <f>IFERROR(VLOOKUP(U112,Assumptions!$A$7:$D$11,2,FALSE),0)</f>
        <v/>
      </c>
      <c r="W112" s="24">
        <f>MAX(0.5,IFERROR(VLOOKUP(U112,Assumptions!$A$7:$D$11,3,FALSE),3)+IFERROR(VLOOKUP(U112,Assumptions!$A$7:$D$11,4,FALSE),8)/2-IF(AN112="",0,YEAR(TODAY())-AN112))</f>
        <v/>
      </c>
      <c r="X112" s="21">
        <f>T112*V112/(1+Assumptions!$B$3)^W112</f>
        <v/>
      </c>
      <c r="Y112" s="25">
        <f>IF(T112=0,"",ROUND(X112/T112*100,1))</f>
        <v/>
      </c>
      <c r="Z112" s="26">
        <f>X112*Assumptions!$B$4</f>
        <v/>
      </c>
      <c r="AA112" s="25">
        <f>IF(T112=0,"",ROUND(Z112/T112*100,1))</f>
        <v/>
      </c>
      <c r="AB112" s="26">
        <f>X112-Z112</f>
        <v/>
      </c>
      <c r="AC112" s="25">
        <f>IF(T112=0,"",ROUND((X112-Z112)/T112*100,1))</f>
        <v/>
      </c>
      <c r="AD112" s="27" t="inlineStr">
        <is>
          <t>ESTIMATED</t>
        </is>
      </c>
      <c r="AE112" s="28" t="inlineStr">
        <is>
          <t>https://ajruiz.com.br/sites/default/files/public/arquivos-processos/2026-06/alto_uruguai_qgc_junho.2026.pdf</t>
        </is>
      </c>
      <c r="AF112" s="27" t="inlineStr">
        <is>
          <t>p1 r7</t>
        </is>
      </c>
      <c r="AG112" s="27" t="inlineStr">
        <is>
          <t>p1: R$ 2.966.807,47</t>
        </is>
      </c>
      <c r="AH112" s="27" t="inlineStr">
        <is>
          <t>UNKNOWN</t>
        </is>
      </c>
      <c r="AI112" s="27" t="inlineStr"/>
      <c r="AJ112" s="27" t="inlineStr">
        <is>
          <t>OK</t>
        </is>
      </c>
      <c r="AK112" s="29" t="inlineStr">
        <is>
          <t>5012743-51.2023.8.24.0019</t>
        </is>
      </c>
      <c r="AL112" s="29" t="inlineStr">
        <is>
          <t>TJSC</t>
        </is>
      </c>
      <c r="AM112" s="29" t="inlineStr">
        <is>
          <t>ACTIVE</t>
        </is>
      </c>
      <c r="AN112" s="29" t="n">
        <v>2023</v>
      </c>
      <c r="AO112" s="29" t="inlineStr">
        <is>
          <t>live case, no plan document yet</t>
        </is>
      </c>
      <c r="AP112" s="29" t="inlineStr">
        <is>
          <t>OSASCO</t>
        </is>
      </c>
      <c r="AQ112" s="29" t="inlineStr">
        <is>
          <t>SP</t>
        </is>
      </c>
      <c r="AR112" s="29" t="inlineStr">
        <is>
          <t>Bancos múltiplos, com carteira comercial</t>
        </is>
      </c>
      <c r="AS112" s="29" t="inlineStr">
        <is>
          <t>DEMAIS</t>
        </is>
      </c>
      <c r="AT112" s="29" t="inlineStr">
        <is>
          <t>LARGE CORP</t>
        </is>
      </c>
      <c r="AU112" s="29" t="inlineStr">
        <is>
          <t>60746948</t>
        </is>
      </c>
      <c r="AV112" s="29" t="n">
        <v>1</v>
      </c>
      <c r="AW112" s="29" t="inlineStr">
        <is>
          <t>LIKELY_FINANCIAL_BY_NAME ROWS:p1r7 VALUE_COL:Valor_Do_Crédito</t>
        </is>
      </c>
    </row>
    <row r="113">
      <c r="A113" s="15" t="inlineStr">
        <is>
          <t>BANCO DO BRASIL SA</t>
        </is>
      </c>
      <c r="B113" s="16" t="n">
        <v>2921132.88</v>
      </c>
      <c r="C113" s="17" t="inlineStr"/>
      <c r="D113" s="18" t="inlineStr">
        <is>
          <t>NEW</t>
        </is>
      </c>
      <c r="E113" s="19" t="inlineStr"/>
      <c r="F113" s="18" t="inlineStr"/>
      <c r="G113" s="19" t="inlineStr"/>
      <c r="H113" s="18" t="inlineStr"/>
      <c r="I113" s="20" t="inlineStr">
        <is>
          <t>TARCIANA PAULA GOMES MEDEIROS</t>
        </is>
      </c>
      <c r="J113" s="20" t="inlineStr">
        <is>
          <t>Presidente</t>
        </is>
      </c>
      <c r="K113" s="20" t="inlineStr">
        <is>
          <t>(61) 3493-9002</t>
        </is>
      </c>
      <c r="L113" s="20" t="inlineStr"/>
      <c r="M113" s="20" t="inlineStr"/>
      <c r="N113" s="20" t="inlineStr"/>
      <c r="O113" s="20" t="inlineStr"/>
      <c r="P113" s="20" t="inlineStr">
        <is>
          <t>ALAN CARLOS GUEDES DE OLIVEIRA</t>
        </is>
      </c>
      <c r="Q113" s="20" t="inlineStr">
        <is>
          <t>Diretor</t>
        </is>
      </c>
      <c r="R113" s="20" t="inlineStr">
        <is>
          <t>(61) 3493-9002</t>
        </is>
      </c>
      <c r="S113" s="20" t="inlineStr"/>
      <c r="T113" s="21" t="n">
        <v>2921132.88</v>
      </c>
      <c r="U113" s="22" t="inlineStr">
        <is>
          <t>B</t>
        </is>
      </c>
      <c r="V113" s="23">
        <f>IFERROR(VLOOKUP(U113,Assumptions!$A$7:$D$11,2,FALSE),0)</f>
        <v/>
      </c>
      <c r="W113" s="24">
        <f>MAX(0.5,IFERROR(VLOOKUP(U113,Assumptions!$A$7:$D$11,3,FALSE),3)+IFERROR(VLOOKUP(U113,Assumptions!$A$7:$D$11,4,FALSE),8)/2-IF(AN113="",0,YEAR(TODAY())-AN113))</f>
        <v/>
      </c>
      <c r="X113" s="21">
        <f>T113*V113/(1+Assumptions!$B$3)^W113</f>
        <v/>
      </c>
      <c r="Y113" s="25">
        <f>IF(T113=0,"",ROUND(X113/T113*100,1))</f>
        <v/>
      </c>
      <c r="Z113" s="26">
        <f>X113*Assumptions!$B$4</f>
        <v/>
      </c>
      <c r="AA113" s="25">
        <f>IF(T113=0,"",ROUND(Z113/T113*100,1))</f>
        <v/>
      </c>
      <c r="AB113" s="26">
        <f>X113-Z113</f>
        <v/>
      </c>
      <c r="AC113" s="25">
        <f>IF(T113=0,"",ROUND((X113-Z113)/T113*100,1))</f>
        <v/>
      </c>
      <c r="AD113" s="27" t="inlineStr">
        <is>
          <t>UNKNOWN</t>
        </is>
      </c>
      <c r="AE113" s="28" t="inlineStr">
        <is>
          <t>https://bbsadvogados.com.br/wp-content/uploads/2025/04/Equipseg-Edital-Relacao-de-Credores-da-Administradora-Judicial-art.-7o2o-da-LRF.pdf</t>
        </is>
      </c>
      <c r="AF113" s="27" t="inlineStr">
        <is>
          <t>p38 r5</t>
        </is>
      </c>
      <c r="AG113" s="27" t="inlineStr">
        <is>
          <t>p38: R$ 2.921.132,88</t>
        </is>
      </c>
      <c r="AH113" s="27" t="inlineStr">
        <is>
          <t>AJ_LIST</t>
        </is>
      </c>
      <c r="AI113" s="27" t="inlineStr">
        <is>
          <t>2025-04-08</t>
        </is>
      </c>
      <c r="AJ113" s="27" t="inlineStr">
        <is>
          <t>OK_NO_TOTALS</t>
        </is>
      </c>
      <c r="AK113" s="29" t="inlineStr">
        <is>
          <t>0033736-15.2023.8.16.0185</t>
        </is>
      </c>
      <c r="AL113" s="29" t="inlineStr">
        <is>
          <t>TJ</t>
        </is>
      </c>
      <c r="AM113" s="29" t="inlineStr"/>
      <c r="AN113" s="29" t="n">
        <v>2023</v>
      </c>
      <c r="AO113" s="29" t="inlineStr">
        <is>
          <t>live case, no plan document yet</t>
        </is>
      </c>
      <c r="AP113" s="29" t="inlineStr">
        <is>
          <t>BRASILIA</t>
        </is>
      </c>
      <c r="AQ113" s="29" t="inlineStr">
        <is>
          <t>DF</t>
        </is>
      </c>
      <c r="AR113" s="29" t="inlineStr">
        <is>
          <t>Bancos múltiplos, com carteira comercial</t>
        </is>
      </c>
      <c r="AS113" s="29" t="inlineStr">
        <is>
          <t>DEMAIS</t>
        </is>
      </c>
      <c r="AT113" s="29" t="inlineStr">
        <is>
          <t>LARGE CORP</t>
        </is>
      </c>
      <c r="AU113" s="29" t="inlineStr">
        <is>
          <t>00000000</t>
        </is>
      </c>
      <c r="AV113" s="29" t="n">
        <v>1</v>
      </c>
      <c r="AW113" s="29" t="inlineStr">
        <is>
          <t>LIKELY_FINANCIAL_BY_NAME ROWS:p38r5 UNRECONCILED_SOURCE</t>
        </is>
      </c>
    </row>
    <row r="114">
      <c r="A114" s="15" t="inlineStr">
        <is>
          <t>BANCO DO BRASIL SA</t>
        </is>
      </c>
      <c r="B114" s="16" t="n">
        <v>4441128</v>
      </c>
      <c r="C114" s="17" t="inlineStr">
        <is>
          <t>FOREST S.A.</t>
        </is>
      </c>
      <c r="D114" s="18" t="inlineStr">
        <is>
          <t>NEW</t>
        </is>
      </c>
      <c r="E114" s="19" t="inlineStr"/>
      <c r="F114" s="18" t="inlineStr"/>
      <c r="G114" s="19" t="inlineStr"/>
      <c r="H114" s="18" t="inlineStr"/>
      <c r="I114" s="20" t="inlineStr">
        <is>
          <t>TARCIANA PAULA GOMES MEDEIROS</t>
        </is>
      </c>
      <c r="J114" s="20" t="inlineStr">
        <is>
          <t>Presidente</t>
        </is>
      </c>
      <c r="K114" s="20" t="inlineStr">
        <is>
          <t>(61) 3493-9002</t>
        </is>
      </c>
      <c r="L114" s="20" t="inlineStr"/>
      <c r="M114" s="20" t="inlineStr"/>
      <c r="N114" s="20" t="inlineStr"/>
      <c r="O114" s="20" t="inlineStr"/>
      <c r="P114" s="20" t="inlineStr">
        <is>
          <t>ALAN CARLOS GUEDES DE OLIVEIRA</t>
        </is>
      </c>
      <c r="Q114" s="20" t="inlineStr">
        <is>
          <t>Diretor</t>
        </is>
      </c>
      <c r="R114" s="20" t="inlineStr">
        <is>
          <t>(61) 3493-9002</t>
        </is>
      </c>
      <c r="S114" s="20" t="inlineStr"/>
      <c r="T114" s="21" t="n">
        <v>4441128</v>
      </c>
      <c r="U114" s="22" t="inlineStr">
        <is>
          <t>B</t>
        </is>
      </c>
      <c r="V114" s="23">
        <f>IFERROR(VLOOKUP(U114,Assumptions!$A$7:$D$11,2,FALSE),0)</f>
        <v/>
      </c>
      <c r="W114" s="24">
        <f>MAX(0.5,IFERROR(VLOOKUP(U114,Assumptions!$A$7:$D$11,3,FALSE),3)+IFERROR(VLOOKUP(U114,Assumptions!$A$7:$D$11,4,FALSE),8)/2-IF(AN114="",0,YEAR(TODAY())-AN114))</f>
        <v/>
      </c>
      <c r="X114" s="21">
        <f>T114*V114/(1+Assumptions!$B$3)^W114</f>
        <v/>
      </c>
      <c r="Y114" s="25">
        <f>IF(T114=0,"",ROUND(X114/T114*100,1))</f>
        <v/>
      </c>
      <c r="Z114" s="26">
        <f>X114*Assumptions!$B$4</f>
        <v/>
      </c>
      <c r="AA114" s="25">
        <f>IF(T114=0,"",ROUND(Z114/T114*100,1))</f>
        <v/>
      </c>
      <c r="AB114" s="26">
        <f>X114-Z114</f>
        <v/>
      </c>
      <c r="AC114" s="25">
        <f>IF(T114=0,"",ROUND((X114-Z114)/T114*100,1))</f>
        <v/>
      </c>
      <c r="AD114" s="27" t="inlineStr">
        <is>
          <t>ESTIMATED</t>
        </is>
      </c>
      <c r="AE114" s="28" t="inlineStr">
        <is>
          <t>https://administradorajudicialgs.com.br/wp-content/uploads/2025/09/relacao-de-credores-forest-sa.pdf</t>
        </is>
      </c>
      <c r="AF114" s="27" t="inlineStr">
        <is>
          <t>p12 r2</t>
        </is>
      </c>
      <c r="AG114" s="27" t="inlineStr">
        <is>
          <t>p12: R$ 4.441.128,00</t>
        </is>
      </c>
      <c r="AH114" s="27" t="inlineStr">
        <is>
          <t>AJ_LIST</t>
        </is>
      </c>
      <c r="AI114" s="27" t="inlineStr">
        <is>
          <t>2025-08-01</t>
        </is>
      </c>
      <c r="AJ114" s="27" t="inlineStr">
        <is>
          <t>OK_NO_TOTALS</t>
        </is>
      </c>
      <c r="AK114" s="29" t="inlineStr">
        <is>
          <t>0026395-77.2025.8.16.0019</t>
        </is>
      </c>
      <c r="AL114" s="29" t="inlineStr">
        <is>
          <t>TJPR</t>
        </is>
      </c>
      <c r="AM114" s="29" t="inlineStr">
        <is>
          <t>ACTIVE</t>
        </is>
      </c>
      <c r="AN114" s="29" t="n">
        <v>2025</v>
      </c>
      <c r="AO114" s="29" t="inlineStr">
        <is>
          <t>live case, no plan document yet</t>
        </is>
      </c>
      <c r="AP114" s="29" t="inlineStr">
        <is>
          <t>BRASILIA</t>
        </is>
      </c>
      <c r="AQ114" s="29" t="inlineStr">
        <is>
          <t>DF</t>
        </is>
      </c>
      <c r="AR114" s="29" t="inlineStr">
        <is>
          <t>Bancos múltiplos, com carteira comercial</t>
        </is>
      </c>
      <c r="AS114" s="29" t="inlineStr">
        <is>
          <t>DEMAIS</t>
        </is>
      </c>
      <c r="AT114" s="29" t="inlineStr">
        <is>
          <t>LARGE CORP</t>
        </is>
      </c>
      <c r="AU114" s="29" t="inlineStr">
        <is>
          <t>00000000</t>
        </is>
      </c>
      <c r="AV114" s="29" t="n">
        <v>1</v>
      </c>
      <c r="AW114" s="29" t="inlineStr">
        <is>
          <t>LIKELY_FINANCIAL_BY_NAME LONG_CHUNK MULTI_ROOT ROWS:p12r2 UNRECONCILED_SOURCE CASE_NUMBER_CORRECTED</t>
        </is>
      </c>
    </row>
    <row r="115">
      <c r="A115" s="15" t="inlineStr">
        <is>
          <t>BANCO ITAUCARD S.A.</t>
        </is>
      </c>
      <c r="B115" s="16" t="n">
        <v>4133710.37</v>
      </c>
      <c r="C115" s="17" t="inlineStr">
        <is>
          <t>COMERCIO RACOES BEM BOM LTDA</t>
        </is>
      </c>
      <c r="D115" s="18" t="inlineStr">
        <is>
          <t>NEW</t>
        </is>
      </c>
      <c r="E115" s="19" t="inlineStr"/>
      <c r="F115" s="18" t="inlineStr"/>
      <c r="G115" s="19" t="inlineStr"/>
      <c r="H115" s="18" t="inlineStr"/>
      <c r="I115" s="20" t="inlineStr">
        <is>
          <t>RUBENS FOGLI NETTO</t>
        </is>
      </c>
      <c r="J115" s="20" t="inlineStr">
        <is>
          <t>Presidente</t>
        </is>
      </c>
      <c r="K115" s="20" t="inlineStr">
        <is>
          <t>(11) 3003-4828</t>
        </is>
      </c>
      <c r="L115" s="20" t="inlineStr"/>
      <c r="M115" s="20" t="inlineStr"/>
      <c r="N115" s="20" t="inlineStr"/>
      <c r="O115" s="20" t="inlineStr"/>
      <c r="P115" s="20" t="inlineStr">
        <is>
          <t>ALBANO MANOEL ALMEIDA</t>
        </is>
      </c>
      <c r="Q115" s="20" t="inlineStr">
        <is>
          <t>Diretor</t>
        </is>
      </c>
      <c r="R115" s="20" t="inlineStr">
        <is>
          <t>(11) 3003-4828</t>
        </is>
      </c>
      <c r="S115" s="20" t="inlineStr"/>
      <c r="T115" s="21" t="n">
        <v>4133710.37</v>
      </c>
      <c r="U115" s="32" t="inlineStr">
        <is>
          <t>A</t>
        </is>
      </c>
      <c r="V115" s="23">
        <f>IFERROR(VLOOKUP(U115,Assumptions!$A$7:$D$11,2,FALSE),0)</f>
        <v/>
      </c>
      <c r="W115" s="24">
        <f>MAX(0.5,IFERROR(VLOOKUP(U115,Assumptions!$A$7:$D$11,3,FALSE),3)+IFERROR(VLOOKUP(U115,Assumptions!$A$7:$D$11,4,FALSE),8)/2-IF(AN115="",0,YEAR(TODAY())-AN115))</f>
        <v/>
      </c>
      <c r="X115" s="21">
        <f>T115*V115/(1+Assumptions!$B$3)^W115</f>
        <v/>
      </c>
      <c r="Y115" s="25">
        <f>IF(T115=0,"",ROUND(X115/T115*100,1))</f>
        <v/>
      </c>
      <c r="Z115" s="26">
        <f>X115*Assumptions!$B$4</f>
        <v/>
      </c>
      <c r="AA115" s="25">
        <f>IF(T115=0,"",ROUND(Z115/T115*100,1))</f>
        <v/>
      </c>
      <c r="AB115" s="26">
        <f>X115-Z115</f>
        <v/>
      </c>
      <c r="AC115" s="25">
        <f>IF(T115=0,"",ROUND((X115-Z115)/T115*100,1))</f>
        <v/>
      </c>
      <c r="AD115" s="27" t="inlineStr">
        <is>
          <t>CONFIRMED</t>
        </is>
      </c>
      <c r="AE115" s="28" t="inlineStr">
        <is>
          <t>https://stenius.com.br/wp-content/uploads/2026/06/EDITAL-GRUPO-3E.pdf</t>
        </is>
      </c>
      <c r="AF115" s="27" t="inlineStr">
        <is>
          <t>p14 r64</t>
        </is>
      </c>
      <c r="AG115" s="27" t="inlineStr">
        <is>
          <t>p14: R$ 4.133.710,37</t>
        </is>
      </c>
      <c r="AH115" s="27" t="inlineStr">
        <is>
          <t>DEBTOR_LIST</t>
        </is>
      </c>
      <c r="AI115" s="27" t="inlineStr">
        <is>
          <t>2026-06-22</t>
        </is>
      </c>
      <c r="AJ115" s="27" t="inlineStr">
        <is>
          <t>OK_NO_TOTALS</t>
        </is>
      </c>
      <c r="AK115" s="29" t="inlineStr">
        <is>
          <t>5341375-33.2026.8.09.0049</t>
        </is>
      </c>
      <c r="AL115" s="29" t="inlineStr">
        <is>
          <t>TJGO</t>
        </is>
      </c>
      <c r="AM115" s="29" t="inlineStr">
        <is>
          <t>ACTIVE</t>
        </is>
      </c>
      <c r="AN115" s="29" t="n">
        <v>2026</v>
      </c>
      <c r="AO115" s="29" t="inlineStr">
        <is>
          <t>plan/homologation document found</t>
        </is>
      </c>
      <c r="AP115" s="29" t="inlineStr">
        <is>
          <t>SAO PAULO</t>
        </is>
      </c>
      <c r="AQ115" s="29" t="inlineStr">
        <is>
          <t>SP</t>
        </is>
      </c>
      <c r="AR115" s="29" t="inlineStr">
        <is>
          <t>Bancos múltiplos, sem carteira comercial</t>
        </is>
      </c>
      <c r="AS115" s="29" t="inlineStr">
        <is>
          <t>DEMAIS</t>
        </is>
      </c>
      <c r="AT115" s="29" t="inlineStr">
        <is>
          <t>LARGE CORP</t>
        </is>
      </c>
      <c r="AU115" s="29" t="inlineStr">
        <is>
          <t>17192451</t>
        </is>
      </c>
      <c r="AV115" s="29" t="n">
        <v>1</v>
      </c>
      <c r="AW115" s="29" t="inlineStr">
        <is>
          <t>ROWS:p14r64 UNRECONCILED_SOURCE</t>
        </is>
      </c>
    </row>
    <row r="116">
      <c r="A116" s="15" t="inlineStr">
        <is>
          <t>BANCO VOTORANTIM S.A.</t>
        </is>
      </c>
      <c r="B116" s="16" t="n">
        <v>2800000</v>
      </c>
      <c r="C116" s="17" t="inlineStr">
        <is>
          <t>VEV COMERCIO DE MEDICAMENTOS LTDA EM RECUPERACAO JUDICIAL</t>
        </is>
      </c>
      <c r="D116" s="18" t="inlineStr">
        <is>
          <t>NEW</t>
        </is>
      </c>
      <c r="E116" s="19" t="inlineStr"/>
      <c r="F116" s="18" t="inlineStr"/>
      <c r="G116" s="19" t="inlineStr"/>
      <c r="H116" s="18" t="inlineStr"/>
      <c r="I116" s="20" t="inlineStr">
        <is>
          <t>GUSTAVO HENRIQUE SANTOS DE SOUSA</t>
        </is>
      </c>
      <c r="J116" s="20" t="inlineStr">
        <is>
          <t>Presidente</t>
        </is>
      </c>
      <c r="K116" s="20" t="inlineStr">
        <is>
          <t>(11) 5171-2672</t>
        </is>
      </c>
      <c r="L116" s="20" t="inlineStr">
        <is>
          <t>(11) 5171-2488</t>
        </is>
      </c>
      <c r="M116" s="20" t="inlineStr"/>
      <c r="N116" s="20" t="inlineStr"/>
      <c r="O116" s="20" t="inlineStr"/>
      <c r="P116" s="20" t="inlineStr">
        <is>
          <t>ALBERTO WAGNER TEIXEIRA CAMPOS</t>
        </is>
      </c>
      <c r="Q116" s="20" t="inlineStr">
        <is>
          <t>Diretor</t>
        </is>
      </c>
      <c r="R116" s="20" t="inlineStr">
        <is>
          <t>(11) 5171-2488</t>
        </is>
      </c>
      <c r="S116" s="20" t="inlineStr"/>
      <c r="T116" s="21" t="n">
        <v>2800000</v>
      </c>
      <c r="U116" s="22" t="inlineStr">
        <is>
          <t>B</t>
        </is>
      </c>
      <c r="V116" s="23">
        <f>IFERROR(VLOOKUP(U116,Assumptions!$A$7:$D$11,2,FALSE),0)</f>
        <v/>
      </c>
      <c r="W116" s="24">
        <f>MAX(0.5,IFERROR(VLOOKUP(U116,Assumptions!$A$7:$D$11,3,FALSE),3)+IFERROR(VLOOKUP(U116,Assumptions!$A$7:$D$11,4,FALSE),8)/2-IF(AN116="",0,YEAR(TODAY())-AN116))</f>
        <v/>
      </c>
      <c r="X116" s="21">
        <f>T116*V116/(1+Assumptions!$B$3)^W116</f>
        <v/>
      </c>
      <c r="Y116" s="25">
        <f>IF(T116=0,"",ROUND(X116/T116*100,1))</f>
        <v/>
      </c>
      <c r="Z116" s="26">
        <f>X116*Assumptions!$B$4</f>
        <v/>
      </c>
      <c r="AA116" s="25">
        <f>IF(T116=0,"",ROUND(Z116/T116*100,1))</f>
        <v/>
      </c>
      <c r="AB116" s="26">
        <f>X116-Z116</f>
        <v/>
      </c>
      <c r="AC116" s="25">
        <f>IF(T116=0,"",ROUND((X116-Z116)/T116*100,1))</f>
        <v/>
      </c>
      <c r="AD116" s="27" t="inlineStr">
        <is>
          <t>ESTIMATED</t>
        </is>
      </c>
      <c r="AE116" s="28" t="inlineStr">
        <is>
          <t>https://marquesadmjudicial.com.br/sgc/download.php?file=files/processo_documento/processo_documento15293208032024_1_.pdf&amp;nome=Relação Nominal de Credores da AJ-Sintética</t>
        </is>
      </c>
      <c r="AF116" s="27" t="inlineStr">
        <is>
          <t>p21 r6</t>
        </is>
      </c>
      <c r="AG116" s="27" t="inlineStr">
        <is>
          <t>p21: R$ 2.800.000,00</t>
        </is>
      </c>
      <c r="AH116" s="27" t="inlineStr">
        <is>
          <t>AJ_LIST</t>
        </is>
      </c>
      <c r="AI116" s="27" t="inlineStr">
        <is>
          <t>2023-03-02</t>
        </is>
      </c>
      <c r="AJ116" s="27" t="inlineStr">
        <is>
          <t>QUARANTINED</t>
        </is>
      </c>
      <c r="AK116" s="29" t="inlineStr">
        <is>
          <t>0005010-98.2023.8.16.0001</t>
        </is>
      </c>
      <c r="AL116" s="29" t="inlineStr">
        <is>
          <t>TJPR</t>
        </is>
      </c>
      <c r="AM116" s="29" t="inlineStr">
        <is>
          <t>ACTIVE</t>
        </is>
      </c>
      <c r="AN116" s="29" t="n">
        <v>2023</v>
      </c>
      <c r="AO116" s="29" t="inlineStr">
        <is>
          <t>live case, no plan document yet</t>
        </is>
      </c>
      <c r="AP116" s="29" t="inlineStr">
        <is>
          <t>SAO PAULO</t>
        </is>
      </c>
      <c r="AQ116" s="29" t="inlineStr">
        <is>
          <t>SP</t>
        </is>
      </c>
      <c r="AR116" s="29" t="inlineStr">
        <is>
          <t>Bancos múltiplos, com carteira comercial</t>
        </is>
      </c>
      <c r="AS116" s="29" t="inlineStr">
        <is>
          <t>DEMAIS</t>
        </is>
      </c>
      <c r="AT116" s="29" t="inlineStr">
        <is>
          <t>LARGE CORP</t>
        </is>
      </c>
      <c r="AU116" s="29" t="inlineStr">
        <is>
          <t>59588111</t>
        </is>
      </c>
      <c r="AV116" s="29" t="n">
        <v>1</v>
      </c>
      <c r="AW116" s="29" t="inlineStr">
        <is>
          <t>LIKELY_FINANCIAL_BY_NAME PARTIAL_DOC_CLASS_III_RECONCILED ROWS:p21r6</t>
        </is>
      </c>
    </row>
    <row r="117">
      <c r="A117" s="15" t="inlineStr">
        <is>
          <t>CAIXA ECONOMICA FEDERAL</t>
        </is>
      </c>
      <c r="B117" s="16" t="n">
        <v>4312799.65</v>
      </c>
      <c r="C117" s="17" t="inlineStr">
        <is>
          <t>Cerealista Sa</t>
        </is>
      </c>
      <c r="D117" s="18" t="inlineStr">
        <is>
          <t>NEW</t>
        </is>
      </c>
      <c r="E117" s="19" t="inlineStr"/>
      <c r="F117" s="18" t="inlineStr"/>
      <c r="G117" s="19" t="inlineStr"/>
      <c r="H117" s="18" t="inlineStr"/>
      <c r="I117" s="20" t="inlineStr">
        <is>
          <t>ADRIANO ASSIS MATIAS</t>
        </is>
      </c>
      <c r="J117" s="20" t="inlineStr">
        <is>
          <t>Administrador</t>
        </is>
      </c>
      <c r="K117" s="20" t="inlineStr">
        <is>
          <t>(00) 4004-0104</t>
        </is>
      </c>
      <c r="L117" s="20" t="inlineStr"/>
      <c r="M117" s="20" t="inlineStr"/>
      <c r="N117" s="20" t="inlineStr"/>
      <c r="O117" s="20" t="inlineStr"/>
      <c r="P117" s="20" t="inlineStr">
        <is>
          <t>HENRIETE ALEXANDRA SARTORI BERNABE</t>
        </is>
      </c>
      <c r="Q117" s="20" t="inlineStr">
        <is>
          <t>Administrador</t>
        </is>
      </c>
      <c r="R117" s="20" t="inlineStr">
        <is>
          <t>(00) 4004-0104</t>
        </is>
      </c>
      <c r="S117" s="20" t="inlineStr"/>
      <c r="T117" s="21" t="n">
        <v>4312799.65</v>
      </c>
      <c r="U117" s="22" t="inlineStr">
        <is>
          <t>B</t>
        </is>
      </c>
      <c r="V117" s="23">
        <f>IFERROR(VLOOKUP(U117,Assumptions!$A$7:$D$11,2,FALSE),0)</f>
        <v/>
      </c>
      <c r="W117" s="24">
        <f>MAX(0.5,IFERROR(VLOOKUP(U117,Assumptions!$A$7:$D$11,3,FALSE),3)+IFERROR(VLOOKUP(U117,Assumptions!$A$7:$D$11,4,FALSE),8)/2-IF(AN117="",0,YEAR(TODAY())-AN117))</f>
        <v/>
      </c>
      <c r="X117" s="21">
        <f>T117*V117/(1+Assumptions!$B$3)^W117</f>
        <v/>
      </c>
      <c r="Y117" s="25">
        <f>IF(T117=0,"",ROUND(X117/T117*100,1))</f>
        <v/>
      </c>
      <c r="Z117" s="26">
        <f>X117*Assumptions!$B$4</f>
        <v/>
      </c>
      <c r="AA117" s="25">
        <f>IF(T117=0,"",ROUND(Z117/T117*100,1))</f>
        <v/>
      </c>
      <c r="AB117" s="26">
        <f>X117-Z117</f>
        <v/>
      </c>
      <c r="AC117" s="25">
        <f>IF(T117=0,"",ROUND((X117-Z117)/T117*100,1))</f>
        <v/>
      </c>
      <c r="AD117" s="27" t="inlineStr">
        <is>
          <t>ESTIMATED</t>
        </is>
      </c>
      <c r="AE117" s="28" t="inlineStr">
        <is>
          <t>https://ajruiz.com.br/sites/default/files/public/arquivos-processos/2026-01/safrasul_relacao_de_credores_recuperanda.pdf</t>
        </is>
      </c>
      <c r="AF117" s="27" t="inlineStr">
        <is>
          <t>p8 r20</t>
        </is>
      </c>
      <c r="AG117" s="27" t="inlineStr">
        <is>
          <t>p8: R$ 4.312.799,65</t>
        </is>
      </c>
      <c r="AH117" s="27" t="inlineStr">
        <is>
          <t>AJ_LIST</t>
        </is>
      </c>
      <c r="AI117" s="27" t="inlineStr">
        <is>
          <t>2026-01-14</t>
        </is>
      </c>
      <c r="AJ117" s="27" t="inlineStr">
        <is>
          <t>OK_NO_TOTALS</t>
        </is>
      </c>
      <c r="AK117" s="29" t="inlineStr">
        <is>
          <t>4000167-23.2025.8.26.0373</t>
        </is>
      </c>
      <c r="AL117" s="29" t="inlineStr">
        <is>
          <t>TJSP</t>
        </is>
      </c>
      <c r="AM117" s="29" t="inlineStr">
        <is>
          <t>ACTIVE</t>
        </is>
      </c>
      <c r="AN117" s="29" t="n">
        <v>2025</v>
      </c>
      <c r="AO117" s="29" t="inlineStr">
        <is>
          <t>live case, no plan document yet</t>
        </is>
      </c>
      <c r="AP117" s="29" t="inlineStr">
        <is>
          <t>BRASILIA</t>
        </is>
      </c>
      <c r="AQ117" s="29" t="inlineStr">
        <is>
          <t>DF</t>
        </is>
      </c>
      <c r="AR117" s="29" t="inlineStr">
        <is>
          <t>Caixas econômicas</t>
        </is>
      </c>
      <c r="AS117" s="29" t="inlineStr">
        <is>
          <t>DEMAIS</t>
        </is>
      </c>
      <c r="AT117" s="29" t="inlineStr">
        <is>
          <t>LARGE CORP</t>
        </is>
      </c>
      <c r="AU117" s="29" t="inlineStr">
        <is>
          <t>00360305</t>
        </is>
      </c>
      <c r="AV117" s="29" t="n">
        <v>1</v>
      </c>
      <c r="AW117" s="29" t="inlineStr">
        <is>
          <t>LIKELY_FINANCIAL_BY_NAME ROWS:p8r20 UNRECONCILED_SOURCE</t>
        </is>
      </c>
    </row>
    <row r="118">
      <c r="A118" s="15" t="inlineStr">
        <is>
          <t>CAIXA ECONOMICA FEDERAL</t>
        </is>
      </c>
      <c r="B118" s="16" t="n">
        <v>5341268.62</v>
      </c>
      <c r="C118" s="17" t="inlineStr">
        <is>
          <t>DIAGSON DIAGNOSTICO EM ULTRA SONOGRAFIA MED FETAL LTDA - EM RECUPERACAO JUDICIAL</t>
        </is>
      </c>
      <c r="D118" s="18" t="inlineStr">
        <is>
          <t>NEW</t>
        </is>
      </c>
      <c r="E118" s="19" t="inlineStr"/>
      <c r="F118" s="18" t="inlineStr"/>
      <c r="G118" s="19" t="inlineStr"/>
      <c r="H118" s="18" t="inlineStr"/>
      <c r="I118" s="20" t="inlineStr">
        <is>
          <t>ADRIANO ASSIS MATIAS</t>
        </is>
      </c>
      <c r="J118" s="20" t="inlineStr">
        <is>
          <t>Administrador</t>
        </is>
      </c>
      <c r="K118" s="20" t="inlineStr">
        <is>
          <t>(00) 4004-0104</t>
        </is>
      </c>
      <c r="L118" s="20" t="inlineStr"/>
      <c r="M118" s="20" t="inlineStr"/>
      <c r="N118" s="20" t="inlineStr"/>
      <c r="O118" s="20" t="inlineStr"/>
      <c r="P118" s="20" t="inlineStr">
        <is>
          <t>HENRIETE ALEXANDRA SARTORI BERNABE</t>
        </is>
      </c>
      <c r="Q118" s="20" t="inlineStr">
        <is>
          <t>Administrador</t>
        </is>
      </c>
      <c r="R118" s="20" t="inlineStr">
        <is>
          <t>(00) 4004-0104</t>
        </is>
      </c>
      <c r="S118" s="20" t="inlineStr"/>
      <c r="T118" s="21" t="n">
        <v>5341268.62</v>
      </c>
      <c r="U118" s="22" t="inlineStr">
        <is>
          <t>B</t>
        </is>
      </c>
      <c r="V118" s="23">
        <f>IFERROR(VLOOKUP(U118,Assumptions!$A$7:$D$11,2,FALSE),0)</f>
        <v/>
      </c>
      <c r="W118" s="24">
        <f>MAX(0.5,IFERROR(VLOOKUP(U118,Assumptions!$A$7:$D$11,3,FALSE),3)+IFERROR(VLOOKUP(U118,Assumptions!$A$7:$D$11,4,FALSE),8)/2-IF(AN118="",0,YEAR(TODAY())-AN118))</f>
        <v/>
      </c>
      <c r="X118" s="21">
        <f>T118*V118/(1+Assumptions!$B$3)^W118</f>
        <v/>
      </c>
      <c r="Y118" s="25">
        <f>IF(T118=0,"",ROUND(X118/T118*100,1))</f>
        <v/>
      </c>
      <c r="Z118" s="26">
        <f>X118*Assumptions!$B$4</f>
        <v/>
      </c>
      <c r="AA118" s="25">
        <f>IF(T118=0,"",ROUND(Z118/T118*100,1))</f>
        <v/>
      </c>
      <c r="AB118" s="26">
        <f>X118-Z118</f>
        <v/>
      </c>
      <c r="AC118" s="25">
        <f>IF(T118=0,"",ROUND((X118-Z118)/T118*100,1))</f>
        <v/>
      </c>
      <c r="AD118" s="27" t="inlineStr">
        <is>
          <t>ESTIMATED</t>
        </is>
      </c>
      <c r="AE118" s="28" t="inlineStr">
        <is>
          <t>https://lrflideres.com.br/wp-content/plugins/download-attachments/includes/download.php?id=7418</t>
        </is>
      </c>
      <c r="AF118" s="27" t="inlineStr">
        <is>
          <t>p2 r44</t>
        </is>
      </c>
      <c r="AG118" s="27" t="inlineStr">
        <is>
          <t>p2: R$ 5.341.268,62</t>
        </is>
      </c>
      <c r="AH118" s="27" t="inlineStr">
        <is>
          <t>DEBTOR_LIST</t>
        </is>
      </c>
      <c r="AI118" s="27" t="inlineStr">
        <is>
          <t>2026-07-28</t>
        </is>
      </c>
      <c r="AJ118" s="27" t="inlineStr">
        <is>
          <t>QUARANTINED</t>
        </is>
      </c>
      <c r="AK118" s="29" t="inlineStr">
        <is>
          <t>0822279-56.2026.8.15.2001</t>
        </is>
      </c>
      <c r="AL118" s="29" t="inlineStr">
        <is>
          <t>TJPB</t>
        </is>
      </c>
      <c r="AM118" s="29" t="inlineStr">
        <is>
          <t>ACTIVE</t>
        </is>
      </c>
      <c r="AN118" s="29" t="n">
        <v>2026</v>
      </c>
      <c r="AO118" s="29" t="inlineStr">
        <is>
          <t>live case, no plan document yet</t>
        </is>
      </c>
      <c r="AP118" s="29" t="inlineStr">
        <is>
          <t>BRASILIA</t>
        </is>
      </c>
      <c r="AQ118" s="29" t="inlineStr">
        <is>
          <t>DF</t>
        </is>
      </c>
      <c r="AR118" s="29" t="inlineStr">
        <is>
          <t>Caixas econômicas</t>
        </is>
      </c>
      <c r="AS118" s="29" t="inlineStr">
        <is>
          <t>DEMAIS</t>
        </is>
      </c>
      <c r="AT118" s="29" t="inlineStr">
        <is>
          <t>LARGE CORP</t>
        </is>
      </c>
      <c r="AU118" s="29" t="inlineStr">
        <is>
          <t>00360305</t>
        </is>
      </c>
      <c r="AV118" s="29" t="n">
        <v>1</v>
      </c>
      <c r="AW118" s="29" t="inlineStr">
        <is>
          <t>LIKELY_FINANCIAL_BY_NAME PARTIAL_DOC_CLASS_III_RECONCILED ROWS:p2r44</t>
        </is>
      </c>
    </row>
    <row r="119">
      <c r="A119" s="15" t="inlineStr">
        <is>
          <t>BANCO RURAL S.A - EM LIQUIDACAO EXTRAJUDICIAL</t>
        </is>
      </c>
      <c r="B119" s="16" t="n">
        <v>3094127.99</v>
      </c>
      <c r="C119" s="17" t="inlineStr">
        <is>
          <t>E FALENCIA</t>
        </is>
      </c>
      <c r="D119" s="18" t="inlineStr">
        <is>
          <t>NEW</t>
        </is>
      </c>
      <c r="E119" s="19" t="inlineStr"/>
      <c r="F119" s="18" t="inlineStr"/>
      <c r="G119" s="19" t="inlineStr"/>
      <c r="H119" s="18" t="inlineStr"/>
      <c r="I119" s="20" t="inlineStr">
        <is>
          <t>OSMAR BRASIL DE ALMEIDA</t>
        </is>
      </c>
      <c r="J119" s="20" t="inlineStr">
        <is>
          <t>Diretor</t>
        </is>
      </c>
      <c r="K119" s="20" t="inlineStr">
        <is>
          <t>(31) 2126-5207</t>
        </is>
      </c>
      <c r="L119" s="20" t="inlineStr"/>
      <c r="M119" s="20" t="inlineStr"/>
      <c r="N119" s="20" t="inlineStr"/>
      <c r="O119" s="20" t="inlineStr"/>
      <c r="P119" s="20" t="inlineStr"/>
      <c r="Q119" s="20" t="inlineStr"/>
      <c r="R119" s="20" t="inlineStr"/>
      <c r="S119" s="20" t="inlineStr"/>
      <c r="T119" s="21" t="n">
        <v>3094127.99</v>
      </c>
      <c r="U119" s="31" t="inlineStr">
        <is>
          <t>C</t>
        </is>
      </c>
      <c r="V119" s="23">
        <f>IFERROR(VLOOKUP(U119,Assumptions!$A$7:$D$11,2,FALSE),0)</f>
        <v/>
      </c>
      <c r="W119" s="24">
        <f>MAX(0.5,IFERROR(VLOOKUP(U119,Assumptions!$A$7:$D$11,3,FALSE),3)+IFERROR(VLOOKUP(U119,Assumptions!$A$7:$D$11,4,FALSE),8)/2-IF(AN119="",0,YEAR(TODAY())-AN119))</f>
        <v/>
      </c>
      <c r="X119" s="21">
        <f>T119*V119/(1+Assumptions!$B$3)^W119</f>
        <v/>
      </c>
      <c r="Y119" s="25">
        <f>IF(T119=0,"",ROUND(X119/T119*100,1))</f>
        <v/>
      </c>
      <c r="Z119" s="26">
        <f>X119*Assumptions!$B$4</f>
        <v/>
      </c>
      <c r="AA119" s="25">
        <f>IF(T119=0,"",ROUND(Z119/T119*100,1))</f>
        <v/>
      </c>
      <c r="AB119" s="26">
        <f>X119-Z119</f>
        <v/>
      </c>
      <c r="AC119" s="25">
        <f>IF(T119=0,"",ROUND((X119-Z119)/T119*100,1))</f>
        <v/>
      </c>
      <c r="AD119" s="27" t="inlineStr">
        <is>
          <t>UNKNOWN</t>
        </is>
      </c>
      <c r="AE119" s="28" t="inlineStr">
        <is>
          <t>https://diligence.adm.br/wp-content/plugins/download-attachments/includes/download.php?id=4579</t>
        </is>
      </c>
      <c r="AF119" s="27" t="inlineStr">
        <is>
          <t>p8 r1</t>
        </is>
      </c>
      <c r="AG119" s="27" t="inlineStr">
        <is>
          <t>p8: R$ 3.094.127,99</t>
        </is>
      </c>
      <c r="AH119" s="27" t="inlineStr">
        <is>
          <t>AJ_LIST</t>
        </is>
      </c>
      <c r="AI119" s="27" t="inlineStr">
        <is>
          <t>2024-06-11</t>
        </is>
      </c>
      <c r="AJ119" s="27" t="inlineStr">
        <is>
          <t>OK_NO_TOTALS</t>
        </is>
      </c>
      <c r="AK119" s="29" t="inlineStr">
        <is>
          <t>0032731-52.2010.8.17.0001</t>
        </is>
      </c>
      <c r="AL119" s="29" t="inlineStr">
        <is>
          <t>TJ</t>
        </is>
      </c>
      <c r="AM119" s="29" t="inlineStr"/>
      <c r="AN119" s="29" t="n">
        <v>2010</v>
      </c>
      <c r="AO119" s="29" t="inlineStr">
        <is>
          <t>16y since filing, no plan document</t>
        </is>
      </c>
      <c r="AP119" s="29" t="inlineStr">
        <is>
          <t>BELO HORIZONTE</t>
        </is>
      </c>
      <c r="AQ119" s="29" t="inlineStr">
        <is>
          <t>MG</t>
        </is>
      </c>
      <c r="AR119" s="29" t="inlineStr">
        <is>
          <t>Bancos múltiplos, com carteira comercial</t>
        </is>
      </c>
      <c r="AS119" s="29" t="inlineStr">
        <is>
          <t>DEMAIS</t>
        </is>
      </c>
      <c r="AT119" s="29" t="inlineStr">
        <is>
          <t>LARGE CORP</t>
        </is>
      </c>
      <c r="AU119" s="29" t="inlineStr">
        <is>
          <t>33124959</t>
        </is>
      </c>
      <c r="AV119" s="29" t="n">
        <v>1</v>
      </c>
      <c r="AW119" s="29" t="inlineStr">
        <is>
          <t>LIKELY_FINANCIAL_BY_NAME ROWS:p8r1 UNRECONCILED_SOURCE VALUE_COL:Crédito_1ª_Lista</t>
        </is>
      </c>
    </row>
    <row r="120">
      <c r="A120" s="15" t="inlineStr">
        <is>
          <t>AMFI DIGITAL ASSETS LTDA</t>
        </is>
      </c>
      <c r="B120" s="16" t="n">
        <v>4122689.25</v>
      </c>
      <c r="C120" s="17" t="inlineStr">
        <is>
          <t>BIGOLIN MATERIAIS DE CONSTRUCAO LTDA</t>
        </is>
      </c>
      <c r="D120" s="18" t="inlineStr">
        <is>
          <t>NEW</t>
        </is>
      </c>
      <c r="E120" s="19" t="inlineStr"/>
      <c r="F120" s="18" t="inlineStr"/>
      <c r="G120" s="19" t="inlineStr"/>
      <c r="H120" s="18" t="inlineStr"/>
      <c r="I120" s="20" t="inlineStr">
        <is>
          <t>JOAO LUIS PIROLA</t>
        </is>
      </c>
      <c r="J120" s="20" t="inlineStr">
        <is>
          <t>Administrador</t>
        </is>
      </c>
      <c r="K120" s="20" t="inlineStr">
        <is>
          <t>(11) 1111-1111</t>
        </is>
      </c>
      <c r="L120" s="20" t="inlineStr"/>
      <c r="M120" s="20" t="inlineStr"/>
      <c r="N120" s="20" t="inlineStr"/>
      <c r="O120" s="20" t="inlineStr"/>
      <c r="P120" s="20" t="inlineStr">
        <is>
          <t>PAULO FELIPE MARTINS DAVID</t>
        </is>
      </c>
      <c r="Q120" s="20" t="inlineStr">
        <is>
          <t>Administrador</t>
        </is>
      </c>
      <c r="R120" s="20" t="inlineStr">
        <is>
          <t>(11) 1111-1111</t>
        </is>
      </c>
      <c r="S120" s="20" t="inlineStr"/>
      <c r="T120" s="21" t="n">
        <v>4122689.25</v>
      </c>
      <c r="U120" s="22" t="inlineStr">
        <is>
          <t>B</t>
        </is>
      </c>
      <c r="V120" s="23">
        <f>IFERROR(VLOOKUP(U120,Assumptions!$A$7:$D$11,2,FALSE),0)</f>
        <v/>
      </c>
      <c r="W120" s="24">
        <f>MAX(0.5,IFERROR(VLOOKUP(U120,Assumptions!$A$7:$D$11,3,FALSE),3)+IFERROR(VLOOKUP(U120,Assumptions!$A$7:$D$11,4,FALSE),8)/2-IF(AN120="",0,YEAR(TODAY())-AN120))</f>
        <v/>
      </c>
      <c r="X120" s="21">
        <f>T120*V120/(1+Assumptions!$B$3)^W120</f>
        <v/>
      </c>
      <c r="Y120" s="25">
        <f>IF(T120=0,"",ROUND(X120/T120*100,1))</f>
        <v/>
      </c>
      <c r="Z120" s="26">
        <f>X120*Assumptions!$B$4</f>
        <v/>
      </c>
      <c r="AA120" s="25">
        <f>IF(T120=0,"",ROUND(Z120/T120*100,1))</f>
        <v/>
      </c>
      <c r="AB120" s="26">
        <f>X120-Z120</f>
        <v/>
      </c>
      <c r="AC120" s="25">
        <f>IF(T120=0,"",ROUND((X120-Z120)/T120*100,1))</f>
        <v/>
      </c>
      <c r="AD120" s="27" t="inlineStr">
        <is>
          <t>ESTIMATED</t>
        </is>
      </c>
      <c r="AE120" s="28" t="inlineStr">
        <is>
          <t>https://ativosajce.com.br/admin/download.php?file=files/processo_documento/processo_documento16022716122025_1_.pdf&amp;nome=Relação de credores - art. 52, §1º da Lei 11.101/05 - 15/12/2025</t>
        </is>
      </c>
      <c r="AF120" s="27" t="inlineStr">
        <is>
          <t>p2 r5</t>
        </is>
      </c>
      <c r="AG120" s="27" t="inlineStr">
        <is>
          <t>p2: R$ 4.122.689,25</t>
        </is>
      </c>
      <c r="AH120" s="27" t="inlineStr">
        <is>
          <t>UNKNOWN</t>
        </is>
      </c>
      <c r="AI120" s="27" t="inlineStr"/>
      <c r="AJ120" s="27" t="inlineStr">
        <is>
          <t>OK_NO_TOTALS</t>
        </is>
      </c>
      <c r="AK120" s="29" t="inlineStr">
        <is>
          <t>4054599-35.2025.8.26.0100</t>
        </is>
      </c>
      <c r="AL120" s="29" t="inlineStr">
        <is>
          <t>TJSP</t>
        </is>
      </c>
      <c r="AM120" s="29" t="inlineStr">
        <is>
          <t>ACTIVE</t>
        </is>
      </c>
      <c r="AN120" s="29" t="n">
        <v>2025</v>
      </c>
      <c r="AO120" s="29" t="inlineStr">
        <is>
          <t>live case, no plan document yet</t>
        </is>
      </c>
      <c r="AP120" s="29" t="inlineStr">
        <is>
          <t>SAO PAULO</t>
        </is>
      </c>
      <c r="AQ120" s="29" t="inlineStr">
        <is>
          <t>SP</t>
        </is>
      </c>
      <c r="AR120" s="29" t="inlineStr">
        <is>
          <t>Holdings de instituições não-financeiras</t>
        </is>
      </c>
      <c r="AS120" s="29" t="inlineStr">
        <is>
          <t>DEMAIS</t>
        </is>
      </c>
      <c r="AT120" s="29" t="inlineStr">
        <is>
          <t>MID-MARKET</t>
        </is>
      </c>
      <c r="AU120" s="29" t="inlineStr">
        <is>
          <t>46542000</t>
        </is>
      </c>
      <c r="AV120" s="29" t="n">
        <v>1</v>
      </c>
      <c r="AW120" s="29" t="inlineStr">
        <is>
          <t>ROWS:p2r5 UNRECONCILED_SOURCE VALUE_COL:Valor</t>
        </is>
      </c>
    </row>
    <row r="121">
      <c r="A121" s="15" t="inlineStr">
        <is>
          <t>BANCO SAFRA S A</t>
        </is>
      </c>
      <c r="B121" s="16" t="n">
        <v>2978264.57</v>
      </c>
      <c r="C121" s="17" t="inlineStr"/>
      <c r="D121" s="18" t="inlineStr">
        <is>
          <t>NEW</t>
        </is>
      </c>
      <c r="E121" s="19" t="inlineStr"/>
      <c r="F121" s="18" t="inlineStr"/>
      <c r="G121" s="19" t="inlineStr"/>
      <c r="H121" s="18" t="inlineStr"/>
      <c r="I121" s="20" t="inlineStr">
        <is>
          <t>RAFAEL BORDALO QUINTAS</t>
        </is>
      </c>
      <c r="J121" s="20" t="inlineStr">
        <is>
          <t>Administrador</t>
        </is>
      </c>
      <c r="K121" s="20" t="inlineStr">
        <is>
          <t>(11) 3175-7575</t>
        </is>
      </c>
      <c r="L121" s="20" t="inlineStr"/>
      <c r="M121" s="20" t="inlineStr"/>
      <c r="N121" s="20" t="inlineStr"/>
      <c r="O121" s="20" t="inlineStr"/>
      <c r="P121" s="20" t="inlineStr">
        <is>
          <t>ADRIANO MACIEL PEDROTI</t>
        </is>
      </c>
      <c r="Q121" s="20" t="inlineStr">
        <is>
          <t>Diretor</t>
        </is>
      </c>
      <c r="R121" s="20" t="inlineStr">
        <is>
          <t>(11) 3175-7575</t>
        </is>
      </c>
      <c r="S121" s="20" t="inlineStr"/>
      <c r="T121" s="21" t="n">
        <v>2978264.57</v>
      </c>
      <c r="U121" s="31" t="inlineStr">
        <is>
          <t>C</t>
        </is>
      </c>
      <c r="V121" s="23">
        <f>IFERROR(VLOOKUP(U121,Assumptions!$A$7:$D$11,2,FALSE),0)</f>
        <v/>
      </c>
      <c r="W121" s="24">
        <f>MAX(0.5,IFERROR(VLOOKUP(U121,Assumptions!$A$7:$D$11,3,FALSE),3)+IFERROR(VLOOKUP(U121,Assumptions!$A$7:$D$11,4,FALSE),8)/2-IF(AN121="",0,YEAR(TODAY())-AN121))</f>
        <v/>
      </c>
      <c r="X121" s="21">
        <f>T121*V121/(1+Assumptions!$B$3)^W121</f>
        <v/>
      </c>
      <c r="Y121" s="25">
        <f>IF(T121=0,"",ROUND(X121/T121*100,1))</f>
        <v/>
      </c>
      <c r="Z121" s="26">
        <f>X121*Assumptions!$B$4</f>
        <v/>
      </c>
      <c r="AA121" s="25">
        <f>IF(T121=0,"",ROUND(Z121/T121*100,1))</f>
        <v/>
      </c>
      <c r="AB121" s="26">
        <f>X121-Z121</f>
        <v/>
      </c>
      <c r="AC121" s="25">
        <f>IF(T121=0,"",ROUND((X121-Z121)/T121*100,1))</f>
        <v/>
      </c>
      <c r="AD121" s="27" t="inlineStr">
        <is>
          <t>UNKNOWN</t>
        </is>
      </c>
      <c r="AE121" s="28" t="inlineStr">
        <is>
          <t>https://administradorajudicialgs.com.br/wp-content/uploads/2024/12/relacao-de-credores-da-falida.pdf</t>
        </is>
      </c>
      <c r="AF121" s="27" t="inlineStr">
        <is>
          <t>p13 r8</t>
        </is>
      </c>
      <c r="AG121" s="27" t="inlineStr">
        <is>
          <t>p13: R$ 2.978.264,57</t>
        </is>
      </c>
      <c r="AH121" s="27" t="inlineStr">
        <is>
          <t>UNKNOWN</t>
        </is>
      </c>
      <c r="AI121" s="27" t="inlineStr">
        <is>
          <t>2025-03-25</t>
        </is>
      </c>
      <c r="AJ121" s="27" t="inlineStr">
        <is>
          <t>OK_NO_TOTALS</t>
        </is>
      </c>
      <c r="AK121" s="29" t="inlineStr">
        <is>
          <t>0005010-50.2013.8.24.0026</t>
        </is>
      </c>
      <c r="AL121" s="29" t="inlineStr">
        <is>
          <t>TJ</t>
        </is>
      </c>
      <c r="AM121" s="29" t="inlineStr"/>
      <c r="AN121" s="29" t="n">
        <v>2013</v>
      </c>
      <c r="AO121" s="29" t="inlineStr">
        <is>
          <t>13y since filing, no plan document</t>
        </is>
      </c>
      <c r="AP121" s="29" t="inlineStr">
        <is>
          <t>SAO PAULO</t>
        </is>
      </c>
      <c r="AQ121" s="29" t="inlineStr">
        <is>
          <t>SP</t>
        </is>
      </c>
      <c r="AR121" s="29" t="inlineStr">
        <is>
          <t>Bancos múltiplos, com carteira comercial</t>
        </is>
      </c>
      <c r="AS121" s="29" t="inlineStr">
        <is>
          <t>DEMAIS</t>
        </is>
      </c>
      <c r="AT121" s="29" t="inlineStr">
        <is>
          <t>LARGE CORP</t>
        </is>
      </c>
      <c r="AU121" s="29" t="inlineStr">
        <is>
          <t>58160789</t>
        </is>
      </c>
      <c r="AV121" s="29" t="n">
        <v>1</v>
      </c>
      <c r="AW121" s="29" t="inlineStr">
        <is>
          <t>LIKELY_FINANCIAL_BY_NAME ROWS:p13r8 UNRECONCILED_SOURCE</t>
        </is>
      </c>
    </row>
    <row r="122">
      <c r="A122" s="15" t="inlineStr">
        <is>
          <t>COOPERATIVA DE CREDITO, POUPANCA E INVESTIMENTO DA REGIAO DA PRODUCAO - SICREDI REGIAO DA PRODUCAO RS/SC/MG</t>
        </is>
      </c>
      <c r="B122" s="16" t="n">
        <v>2536775.59</v>
      </c>
      <c r="C122" s="17" t="inlineStr">
        <is>
          <t>CRISTAL MASTER INDUSTRIA E COMERCIO LTDA</t>
        </is>
      </c>
      <c r="D122" s="18" t="inlineStr">
        <is>
          <t>NEW</t>
        </is>
      </c>
      <c r="E122" s="19" t="inlineStr"/>
      <c r="F122" s="18" t="inlineStr"/>
      <c r="G122" s="19" t="inlineStr"/>
      <c r="H122" s="18" t="inlineStr"/>
      <c r="I122" s="20" t="inlineStr"/>
      <c r="J122" s="20" t="inlineStr"/>
      <c r="K122" s="20" t="inlineStr"/>
      <c r="L122" s="20" t="inlineStr"/>
      <c r="M122" s="20" t="inlineStr"/>
      <c r="N122" s="20" t="inlineStr"/>
      <c r="O122" s="20" t="inlineStr"/>
      <c r="P122" s="20" t="inlineStr"/>
      <c r="Q122" s="20" t="inlineStr"/>
      <c r="R122" s="20" t="inlineStr"/>
      <c r="S122" s="20" t="inlineStr"/>
      <c r="T122" s="21" t="n">
        <v>2536775.59</v>
      </c>
      <c r="U122" s="22" t="inlineStr">
        <is>
          <t>B</t>
        </is>
      </c>
      <c r="V122" s="23">
        <f>IFERROR(VLOOKUP(U122,Assumptions!$A$7:$D$11,2,FALSE),0)</f>
        <v/>
      </c>
      <c r="W122" s="24">
        <f>MAX(0.5,IFERROR(VLOOKUP(U122,Assumptions!$A$7:$D$11,3,FALSE),3)+IFERROR(VLOOKUP(U122,Assumptions!$A$7:$D$11,4,FALSE),8)/2-IF(AN122="",0,YEAR(TODAY())-AN122))</f>
        <v/>
      </c>
      <c r="X122" s="21">
        <f>T122*V122/(1+Assumptions!$B$3)^W122</f>
        <v/>
      </c>
      <c r="Y122" s="25">
        <f>IF(T122=0,"",ROUND(X122/T122*100,1))</f>
        <v/>
      </c>
      <c r="Z122" s="26">
        <f>X122*Assumptions!$B$4</f>
        <v/>
      </c>
      <c r="AA122" s="25">
        <f>IF(T122=0,"",ROUND(Z122/T122*100,1))</f>
        <v/>
      </c>
      <c r="AB122" s="26">
        <f>X122-Z122</f>
        <v/>
      </c>
      <c r="AC122" s="25">
        <f>IF(T122=0,"",ROUND((X122-Z122)/T122*100,1))</f>
        <v/>
      </c>
      <c r="AD122" s="27" t="inlineStr">
        <is>
          <t>ESTIMATED</t>
        </is>
      </c>
      <c r="AE122" s="28" t="inlineStr">
        <is>
          <t>https://ajruiz.com.br/sites/default/files/public/arquivos-processos/2026-08/qgc_azeplast_julho_2026.pdf</t>
        </is>
      </c>
      <c r="AF122" s="27" t="inlineStr">
        <is>
          <t>p1 r18</t>
        </is>
      </c>
      <c r="AG122" s="27" t="inlineStr">
        <is>
          <t>p1: R$ 2.536.775,59</t>
        </is>
      </c>
      <c r="AH122" s="27" t="inlineStr">
        <is>
          <t>QGC</t>
        </is>
      </c>
      <c r="AI122" s="27" t="inlineStr"/>
      <c r="AJ122" s="27" t="inlineStr">
        <is>
          <t>QUARANTINED</t>
        </is>
      </c>
      <c r="AK122" s="29" t="inlineStr">
        <is>
          <t>5008793-34.2023.8.24.0019</t>
        </is>
      </c>
      <c r="AL122" s="29" t="inlineStr">
        <is>
          <t>TJSC</t>
        </is>
      </c>
      <c r="AM122" s="29" t="inlineStr">
        <is>
          <t>ACTIVE</t>
        </is>
      </c>
      <c r="AN122" s="29" t="n">
        <v>2023</v>
      </c>
      <c r="AO122" s="29" t="inlineStr">
        <is>
          <t>live case, no plan document yet</t>
        </is>
      </c>
      <c r="AP122" s="29" t="inlineStr"/>
      <c r="AQ122" s="29" t="inlineStr"/>
      <c r="AR122" s="29" t="inlineStr"/>
      <c r="AS122" s="29" t="inlineStr"/>
      <c r="AT122" s="29" t="inlineStr">
        <is>
          <t>MID-MARKET</t>
        </is>
      </c>
      <c r="AU122" s="29" t="inlineStr">
        <is>
          <t>89468565</t>
        </is>
      </c>
      <c r="AV122" s="29" t="n">
        <v>1</v>
      </c>
      <c r="AW122" s="29" t="inlineStr">
        <is>
          <t>LIKELY_FINANCIAL_BY_NAME PARTIAL_DOC_CLASS_III_RECONCILED ROWS:p1r18</t>
        </is>
      </c>
    </row>
    <row r="123">
      <c r="A123" s="15" t="inlineStr">
        <is>
          <t>MSN SECURITIZADORA S.A.</t>
        </is>
      </c>
      <c r="B123" s="16" t="n">
        <v>2463062.8</v>
      </c>
      <c r="C123" s="17" t="inlineStr">
        <is>
          <t>Conduscabos Brasil Indústria Comércio de</t>
        </is>
      </c>
      <c r="D123" s="18" t="inlineStr">
        <is>
          <t>NEW</t>
        </is>
      </c>
      <c r="E123" s="19" t="inlineStr"/>
      <c r="F123" s="18" t="inlineStr"/>
      <c r="G123" s="19" t="inlineStr"/>
      <c r="H123" s="18" t="inlineStr"/>
      <c r="I123" s="20" t="inlineStr">
        <is>
          <t>MARCELO ALEXANDRE RIBEIRO</t>
        </is>
      </c>
      <c r="J123" s="20" t="inlineStr">
        <is>
          <t>Presidente</t>
        </is>
      </c>
      <c r="K123" s="20" t="inlineStr">
        <is>
          <t>(41) 9701-8862</t>
        </is>
      </c>
      <c r="L123" s="20" t="inlineStr"/>
      <c r="M123" s="20" t="inlineStr"/>
      <c r="N123" s="20" t="inlineStr"/>
      <c r="O123" s="20" t="inlineStr"/>
      <c r="P123" s="20" t="inlineStr">
        <is>
          <t>SIMONE BATISTA CAMARGO RIBEIRO</t>
        </is>
      </c>
      <c r="Q123" s="20" t="inlineStr">
        <is>
          <t>Diretor</t>
        </is>
      </c>
      <c r="R123" s="20" t="inlineStr">
        <is>
          <t>(41) 9701-8862</t>
        </is>
      </c>
      <c r="S123" s="20" t="inlineStr"/>
      <c r="T123" s="21" t="n">
        <v>2463062.8</v>
      </c>
      <c r="U123" s="22" t="inlineStr">
        <is>
          <t>B</t>
        </is>
      </c>
      <c r="V123" s="23">
        <f>IFERROR(VLOOKUP(U123,Assumptions!$A$7:$D$11,2,FALSE),0)</f>
        <v/>
      </c>
      <c r="W123" s="24">
        <f>MAX(0.5,IFERROR(VLOOKUP(U123,Assumptions!$A$7:$D$11,3,FALSE),3)+IFERROR(VLOOKUP(U123,Assumptions!$A$7:$D$11,4,FALSE),8)/2-IF(AN123="",0,YEAR(TODAY())-AN123))</f>
        <v/>
      </c>
      <c r="X123" s="21">
        <f>T123*V123/(1+Assumptions!$B$3)^W123</f>
        <v/>
      </c>
      <c r="Y123" s="25">
        <f>IF(T123=0,"",ROUND(X123/T123*100,1))</f>
        <v/>
      </c>
      <c r="Z123" s="26">
        <f>X123*Assumptions!$B$4</f>
        <v/>
      </c>
      <c r="AA123" s="25">
        <f>IF(T123=0,"",ROUND(Z123/T123*100,1))</f>
        <v/>
      </c>
      <c r="AB123" s="26">
        <f>X123-Z123</f>
        <v/>
      </c>
      <c r="AC123" s="25">
        <f>IF(T123=0,"",ROUND((X123-Z123)/T123*100,1))</f>
        <v/>
      </c>
      <c r="AD123" s="27" t="inlineStr">
        <is>
          <t>ESTIMATED</t>
        </is>
      </c>
      <c r="AE123" s="28" t="inlineStr">
        <is>
          <t>https://assistjud.com.br/wp-content/uploads/elementor/forms/65098c80a5824.pdf</t>
        </is>
      </c>
      <c r="AF123" s="27" t="inlineStr">
        <is>
          <t>p9 r4; p18 r11</t>
        </is>
      </c>
      <c r="AG123" s="27" t="inlineStr">
        <is>
          <t>p9: R$ 2.310.588,55; p18: R$ 152.474,25</t>
        </is>
      </c>
      <c r="AH123" s="27" t="inlineStr">
        <is>
          <t>AJ_LIST</t>
        </is>
      </c>
      <c r="AI123" s="27" t="inlineStr">
        <is>
          <t>2023-09-18</t>
        </is>
      </c>
      <c r="AJ123" s="27" t="inlineStr">
        <is>
          <t>OK_NO_TOTALS</t>
        </is>
      </c>
      <c r="AK123" s="29" t="inlineStr">
        <is>
          <t>8005129-09.2023.8.05.0039</t>
        </is>
      </c>
      <c r="AL123" s="29" t="inlineStr">
        <is>
          <t>TJBA</t>
        </is>
      </c>
      <c r="AM123" s="29" t="inlineStr">
        <is>
          <t>ACTIVE</t>
        </is>
      </c>
      <c r="AN123" s="29" t="n">
        <v>2023</v>
      </c>
      <c r="AO123" s="29" t="inlineStr">
        <is>
          <t>live case, no plan document yet</t>
        </is>
      </c>
      <c r="AP123" s="29" t="inlineStr">
        <is>
          <t>CURITIBA</t>
        </is>
      </c>
      <c r="AQ123" s="29" t="inlineStr">
        <is>
          <t>PR</t>
        </is>
      </c>
      <c r="AR123" s="29" t="inlineStr">
        <is>
          <t>Securitização de créditos</t>
        </is>
      </c>
      <c r="AS123" s="29" t="inlineStr">
        <is>
          <t>DEMAIS</t>
        </is>
      </c>
      <c r="AT123" s="29" t="inlineStr">
        <is>
          <t>MID-MARKET</t>
        </is>
      </c>
      <c r="AU123" s="29" t="inlineStr">
        <is>
          <t>20204300</t>
        </is>
      </c>
      <c r="AV123" s="29" t="n">
        <v>2</v>
      </c>
      <c r="AW123" s="29" t="inlineStr">
        <is>
          <t>ROWS:p9r4,p18r11 UNRECONCILED_SOURCE</t>
        </is>
      </c>
    </row>
    <row r="124">
      <c r="A124" s="15" t="inlineStr">
        <is>
          <t>BANCO BRADESCO FINANCIAMENTOS S.A.</t>
        </is>
      </c>
      <c r="B124" s="16" t="n">
        <v>7186584.64</v>
      </c>
      <c r="C124" s="17" t="inlineStr"/>
      <c r="D124" s="18" t="inlineStr">
        <is>
          <t>NEW</t>
        </is>
      </c>
      <c r="E124" s="19" t="inlineStr"/>
      <c r="F124" s="18" t="inlineStr"/>
      <c r="G124" s="19" t="inlineStr"/>
      <c r="H124" s="18" t="inlineStr"/>
      <c r="I124" s="20" t="inlineStr">
        <is>
          <t>ANDRE DAVID MARQUES</t>
        </is>
      </c>
      <c r="J124" s="20" t="inlineStr">
        <is>
          <t>Diretor</t>
        </is>
      </c>
      <c r="K124" s="20" t="inlineStr">
        <is>
          <t>(11) 5506-7717</t>
        </is>
      </c>
      <c r="L124" s="20" t="inlineStr"/>
      <c r="M124" s="20" t="inlineStr"/>
      <c r="N124" s="20" t="inlineStr"/>
      <c r="O124" s="20" t="inlineStr"/>
      <c r="P124" s="20" t="inlineStr">
        <is>
          <t>ANTONIO CAMPANHA JUNIOR</t>
        </is>
      </c>
      <c r="Q124" s="20" t="inlineStr">
        <is>
          <t>Diretor</t>
        </is>
      </c>
      <c r="R124" s="20" t="inlineStr">
        <is>
          <t>(11) 5506-7717</t>
        </is>
      </c>
      <c r="S124" s="20" t="inlineStr"/>
      <c r="T124" s="21" t="n">
        <v>7186584.64</v>
      </c>
      <c r="U124" s="30" t="inlineStr">
        <is>
          <t>?</t>
        </is>
      </c>
      <c r="V124" s="23">
        <f>IFERROR(VLOOKUP(U124,Assumptions!$A$7:$D$11,2,FALSE),0)</f>
        <v/>
      </c>
      <c r="W124" s="24">
        <f>MAX(0.5,IFERROR(VLOOKUP(U124,Assumptions!$A$7:$D$11,3,FALSE),3)+IFERROR(VLOOKUP(U124,Assumptions!$A$7:$D$11,4,FALSE),8)/2-IF(AN124="",0,YEAR(TODAY())-AN124))</f>
        <v/>
      </c>
      <c r="X124" s="21">
        <f>T124*V124/(1+Assumptions!$B$3)^W124</f>
        <v/>
      </c>
      <c r="Y124" s="25">
        <f>IF(T124=0,"",ROUND(X124/T124*100,1))</f>
        <v/>
      </c>
      <c r="Z124" s="26">
        <f>X124*Assumptions!$B$4</f>
        <v/>
      </c>
      <c r="AA124" s="25">
        <f>IF(T124=0,"",ROUND(Z124/T124*100,1))</f>
        <v/>
      </c>
      <c r="AB124" s="26">
        <f>X124-Z124</f>
        <v/>
      </c>
      <c r="AC124" s="25">
        <f>IF(T124=0,"",ROUND((X124-Z124)/T124*100,1))</f>
        <v/>
      </c>
      <c r="AD124" s="27" t="inlineStr">
        <is>
          <t>UNKNOWN</t>
        </is>
      </c>
      <c r="AE124" s="28" t="inlineStr">
        <is>
          <t>https://ajruiz.com.br/sites/default/files/public/arquivos-processos/2023-11/4_relacao_de_credores_analitica_art._51_iii_da_lre.pdf</t>
        </is>
      </c>
      <c r="AF124" s="27" t="inlineStr">
        <is>
          <t>p2 r12</t>
        </is>
      </c>
      <c r="AG124" s="27" t="inlineStr">
        <is>
          <t>p2: R$ 7.186.584,64</t>
        </is>
      </c>
      <c r="AH124" s="27" t="inlineStr">
        <is>
          <t>UNKNOWN</t>
        </is>
      </c>
      <c r="AI124" s="27" t="inlineStr"/>
      <c r="AJ124" s="27" t="inlineStr">
        <is>
          <t>OK</t>
        </is>
      </c>
      <c r="AK124" s="29" t="inlineStr">
        <is>
          <t>(not printed)</t>
        </is>
      </c>
      <c r="AL124" s="29" t="inlineStr"/>
      <c r="AM124" s="29" t="inlineStr"/>
      <c r="AN124" s="29" t="inlineStr"/>
      <c r="AO124" s="29" t="inlineStr">
        <is>
          <t>RJ case number not identified on the document</t>
        </is>
      </c>
      <c r="AP124" s="29" t="inlineStr">
        <is>
          <t>OSASCO</t>
        </is>
      </c>
      <c r="AQ124" s="29" t="inlineStr">
        <is>
          <t>SP</t>
        </is>
      </c>
      <c r="AR124" s="29" t="inlineStr">
        <is>
          <t>Bancos múltiplos, com carteira comercial</t>
        </is>
      </c>
      <c r="AS124" s="29" t="inlineStr">
        <is>
          <t>DEMAIS</t>
        </is>
      </c>
      <c r="AT124" s="29" t="inlineStr">
        <is>
          <t>LARGE CORP</t>
        </is>
      </c>
      <c r="AU124" s="29" t="inlineStr">
        <is>
          <t>07207996</t>
        </is>
      </c>
      <c r="AV124" s="29" t="n">
        <v>1</v>
      </c>
      <c r="AW124" s="29" t="inlineStr">
        <is>
          <t>ALT_VALUE:BANCOS ROWS:p2r12 VALUE_COL:Valor_Do_Crédito CASE_NUMBER_CORRECTED</t>
        </is>
      </c>
    </row>
    <row r="125">
      <c r="A125" s="15" t="inlineStr">
        <is>
          <t>BANCO VOTORANTIM S.A.</t>
        </is>
      </c>
      <c r="B125" s="16" t="n">
        <v>2791496.59</v>
      </c>
      <c r="C125" s="17" t="inlineStr"/>
      <c r="D125" s="18" t="inlineStr">
        <is>
          <t>NEW</t>
        </is>
      </c>
      <c r="E125" s="19" t="inlineStr"/>
      <c r="F125" s="18" t="inlineStr"/>
      <c r="G125" s="19" t="inlineStr"/>
      <c r="H125" s="18" t="inlineStr"/>
      <c r="I125" s="20" t="inlineStr">
        <is>
          <t>GUSTAVO HENRIQUE SANTOS DE SOUSA</t>
        </is>
      </c>
      <c r="J125" s="20" t="inlineStr">
        <is>
          <t>Presidente</t>
        </is>
      </c>
      <c r="K125" s="20" t="inlineStr">
        <is>
          <t>(11) 5171-2672</t>
        </is>
      </c>
      <c r="L125" s="20" t="inlineStr">
        <is>
          <t>(11) 5171-2488</t>
        </is>
      </c>
      <c r="M125" s="20" t="inlineStr"/>
      <c r="N125" s="20" t="inlineStr"/>
      <c r="O125" s="20" t="inlineStr"/>
      <c r="P125" s="20" t="inlineStr">
        <is>
          <t>ALBERTO WAGNER TEIXEIRA CAMPOS</t>
        </is>
      </c>
      <c r="Q125" s="20" t="inlineStr">
        <is>
          <t>Diretor</t>
        </is>
      </c>
      <c r="R125" s="20" t="inlineStr">
        <is>
          <t>(11) 5171-2488</t>
        </is>
      </c>
      <c r="S125" s="20" t="inlineStr"/>
      <c r="T125" s="21" t="n">
        <v>2791496.59</v>
      </c>
      <c r="U125" s="31" t="inlineStr">
        <is>
          <t>C</t>
        </is>
      </c>
      <c r="V125" s="23">
        <f>IFERROR(VLOOKUP(U125,Assumptions!$A$7:$D$11,2,FALSE),0)</f>
        <v/>
      </c>
      <c r="W125" s="24">
        <f>MAX(0.5,IFERROR(VLOOKUP(U125,Assumptions!$A$7:$D$11,3,FALSE),3)+IFERROR(VLOOKUP(U125,Assumptions!$A$7:$D$11,4,FALSE),8)/2-IF(AN125="",0,YEAR(TODAY())-AN125))</f>
        <v/>
      </c>
      <c r="X125" s="21">
        <f>T125*V125/(1+Assumptions!$B$3)^W125</f>
        <v/>
      </c>
      <c r="Y125" s="25">
        <f>IF(T125=0,"",ROUND(X125/T125*100,1))</f>
        <v/>
      </c>
      <c r="Z125" s="26">
        <f>X125*Assumptions!$B$4</f>
        <v/>
      </c>
      <c r="AA125" s="25">
        <f>IF(T125=0,"",ROUND(Z125/T125*100,1))</f>
        <v/>
      </c>
      <c r="AB125" s="26">
        <f>X125-Z125</f>
        <v/>
      </c>
      <c r="AC125" s="25">
        <f>IF(T125=0,"",ROUND((X125-Z125)/T125*100,1))</f>
        <v/>
      </c>
      <c r="AD125" s="27" t="inlineStr">
        <is>
          <t>UNKNOWN</t>
        </is>
      </c>
      <c r="AE125" s="28" t="inlineStr">
        <is>
          <t>https://administradorajudicialgs.com.br/wp-content/uploads/2024/12/relacao-de-credores-da-falida.pdf</t>
        </is>
      </c>
      <c r="AF125" s="27" t="inlineStr">
        <is>
          <t>p13 r12</t>
        </is>
      </c>
      <c r="AG125" s="27" t="inlineStr">
        <is>
          <t>p13: R$ 2.791.496,59</t>
        </is>
      </c>
      <c r="AH125" s="27" t="inlineStr">
        <is>
          <t>UNKNOWN</t>
        </is>
      </c>
      <c r="AI125" s="27" t="inlineStr">
        <is>
          <t>2025-03-25</t>
        </is>
      </c>
      <c r="AJ125" s="27" t="inlineStr">
        <is>
          <t>OK_NO_TOTALS</t>
        </is>
      </c>
      <c r="AK125" s="29" t="inlineStr">
        <is>
          <t>0005010-50.2013.8.24.0026</t>
        </is>
      </c>
      <c r="AL125" s="29" t="inlineStr">
        <is>
          <t>TJ</t>
        </is>
      </c>
      <c r="AM125" s="29" t="inlineStr"/>
      <c r="AN125" s="29" t="n">
        <v>2013</v>
      </c>
      <c r="AO125" s="29" t="inlineStr">
        <is>
          <t>13y since filing, no plan document</t>
        </is>
      </c>
      <c r="AP125" s="29" t="inlineStr">
        <is>
          <t>SAO PAULO</t>
        </is>
      </c>
      <c r="AQ125" s="29" t="inlineStr">
        <is>
          <t>SP</t>
        </is>
      </c>
      <c r="AR125" s="29" t="inlineStr">
        <is>
          <t>Bancos múltiplos, com carteira comercial</t>
        </is>
      </c>
      <c r="AS125" s="29" t="inlineStr">
        <is>
          <t>DEMAIS</t>
        </is>
      </c>
      <c r="AT125" s="29" t="inlineStr">
        <is>
          <t>LARGE CORP</t>
        </is>
      </c>
      <c r="AU125" s="29" t="inlineStr">
        <is>
          <t>59588111</t>
        </is>
      </c>
      <c r="AV125" s="29" t="n">
        <v>1</v>
      </c>
      <c r="AW125" s="29" t="inlineStr">
        <is>
          <t>LIKELY_FINANCIAL_BY_NAME ROWS:p13r12 UNRECONCILED_SOURCE</t>
        </is>
      </c>
    </row>
    <row r="126">
      <c r="A126" s="15" t="inlineStr">
        <is>
          <t>COOPERATIVA DE CREDITO UNICRED VALE LTDA UNICRED VALE</t>
        </is>
      </c>
      <c r="B126" s="16" t="n">
        <v>2753771.14</v>
      </c>
      <c r="C126" s="17" t="inlineStr"/>
      <c r="D126" s="18" t="inlineStr">
        <is>
          <t>NEW</t>
        </is>
      </c>
      <c r="E126" s="19" t="inlineStr"/>
      <c r="F126" s="18" t="inlineStr"/>
      <c r="G126" s="19" t="inlineStr"/>
      <c r="H126" s="18" t="inlineStr"/>
      <c r="I126" s="20" t="inlineStr">
        <is>
          <t>WALMORE PEREIRA DE SIQUEIRA JUNIOR</t>
        </is>
      </c>
      <c r="J126" s="20" t="inlineStr">
        <is>
          <t>Presidente</t>
        </is>
      </c>
      <c r="K126" s="20" t="inlineStr">
        <is>
          <t>(47) 3039-0202</t>
        </is>
      </c>
      <c r="L126" s="20" t="inlineStr">
        <is>
          <t>(47) 3039-0159</t>
        </is>
      </c>
      <c r="M126" s="20" t="inlineStr"/>
      <c r="N126" s="20" t="inlineStr"/>
      <c r="O126" s="20" t="inlineStr"/>
      <c r="P126" s="20" t="inlineStr">
        <is>
          <t>RAFAEL PETERS PEREIRA</t>
        </is>
      </c>
      <c r="Q126" s="20" t="inlineStr">
        <is>
          <t>Diretor</t>
        </is>
      </c>
      <c r="R126" s="20" t="inlineStr">
        <is>
          <t>(47) 3039-0159</t>
        </is>
      </c>
      <c r="S126" s="20" t="inlineStr"/>
      <c r="T126" s="21" t="n">
        <v>2753771.14</v>
      </c>
      <c r="U126" s="31" t="inlineStr">
        <is>
          <t>C</t>
        </is>
      </c>
      <c r="V126" s="23">
        <f>IFERROR(VLOOKUP(U126,Assumptions!$A$7:$D$11,2,FALSE),0)</f>
        <v/>
      </c>
      <c r="W126" s="24">
        <f>MAX(0.5,IFERROR(VLOOKUP(U126,Assumptions!$A$7:$D$11,3,FALSE),3)+IFERROR(VLOOKUP(U126,Assumptions!$A$7:$D$11,4,FALSE),8)/2-IF(AN126="",0,YEAR(TODAY())-AN126))</f>
        <v/>
      </c>
      <c r="X126" s="21">
        <f>T126*V126/(1+Assumptions!$B$3)^W126</f>
        <v/>
      </c>
      <c r="Y126" s="25">
        <f>IF(T126=0,"",ROUND(X126/T126*100,1))</f>
        <v/>
      </c>
      <c r="Z126" s="26">
        <f>X126*Assumptions!$B$4</f>
        <v/>
      </c>
      <c r="AA126" s="25">
        <f>IF(T126=0,"",ROUND(Z126/T126*100,1))</f>
        <v/>
      </c>
      <c r="AB126" s="26">
        <f>X126-Z126</f>
        <v/>
      </c>
      <c r="AC126" s="25">
        <f>IF(T126=0,"",ROUND((X126-Z126)/T126*100,1))</f>
        <v/>
      </c>
      <c r="AD126" s="27" t="inlineStr">
        <is>
          <t>UNKNOWN</t>
        </is>
      </c>
      <c r="AE126" s="28" t="inlineStr">
        <is>
          <t>https://administradorajudicialgs.com.br/wp-content/uploads/2023/08/advogados-sgrott-doc-22-relacao-de-credores-do-administrador-judicial-classe-iii-05-02-14.pdf</t>
        </is>
      </c>
      <c r="AF126" s="27" t="inlineStr">
        <is>
          <t>p1 r59</t>
        </is>
      </c>
      <c r="AG126" s="27" t="inlineStr">
        <is>
          <t>p1: R$ 2.753.771,14</t>
        </is>
      </c>
      <c r="AH126" s="27" t="inlineStr">
        <is>
          <t>UNKNOWN</t>
        </is>
      </c>
      <c r="AI126" s="27" t="inlineStr"/>
      <c r="AJ126" s="27" t="inlineStr">
        <is>
          <t>OK</t>
        </is>
      </c>
      <c r="AK126" s="29" t="inlineStr">
        <is>
          <t>0022845-08.2013.8.24.0008</t>
        </is>
      </c>
      <c r="AL126" s="29" t="inlineStr">
        <is>
          <t>TJ</t>
        </is>
      </c>
      <c r="AM126" s="29" t="inlineStr"/>
      <c r="AN126" s="29" t="n">
        <v>2013</v>
      </c>
      <c r="AO126" s="29" t="inlineStr">
        <is>
          <t>13y since filing, no plan document</t>
        </is>
      </c>
      <c r="AP126" s="29" t="inlineStr">
        <is>
          <t>BLUMENAU</t>
        </is>
      </c>
      <c r="AQ126" s="29" t="inlineStr">
        <is>
          <t>SC</t>
        </is>
      </c>
      <c r="AR126" s="29" t="inlineStr">
        <is>
          <t>Cooperativas de crédito mútuo</t>
        </is>
      </c>
      <c r="AS126" s="29" t="inlineStr">
        <is>
          <t>DEMAIS</t>
        </is>
      </c>
      <c r="AT126" s="29" t="inlineStr">
        <is>
          <t>MID-MARKET</t>
        </is>
      </c>
      <c r="AU126" s="29" t="inlineStr">
        <is>
          <t>73443863</t>
        </is>
      </c>
      <c r="AV126" s="29" t="n">
        <v>1</v>
      </c>
      <c r="AW126" s="29" t="inlineStr">
        <is>
          <t>ROWS:p1r59</t>
        </is>
      </c>
    </row>
    <row r="127">
      <c r="A127" s="15" t="inlineStr">
        <is>
          <t>Banco Industrial do Brasil S.A.</t>
        </is>
      </c>
      <c r="B127" s="16" t="n">
        <v>3523132.32</v>
      </c>
      <c r="C127" s="17" t="inlineStr">
        <is>
          <t>COMERCIO RACOES BEM BOM LTDA</t>
        </is>
      </c>
      <c r="D127" s="18" t="inlineStr">
        <is>
          <t>NEW</t>
        </is>
      </c>
      <c r="E127" s="19" t="inlineStr"/>
      <c r="F127" s="18" t="inlineStr"/>
      <c r="G127" s="19" t="inlineStr"/>
      <c r="H127" s="18" t="inlineStr"/>
      <c r="I127" s="20" t="inlineStr"/>
      <c r="J127" s="20" t="inlineStr"/>
      <c r="K127" s="20" t="inlineStr"/>
      <c r="L127" s="20" t="inlineStr"/>
      <c r="M127" s="20" t="inlineStr"/>
      <c r="N127" s="20" t="inlineStr"/>
      <c r="O127" s="20" t="inlineStr"/>
      <c r="P127" s="20" t="inlineStr"/>
      <c r="Q127" s="20" t="inlineStr"/>
      <c r="R127" s="20" t="inlineStr"/>
      <c r="S127" s="20" t="inlineStr"/>
      <c r="T127" s="21" t="n">
        <v>3523132.32</v>
      </c>
      <c r="U127" s="32" t="inlineStr">
        <is>
          <t>A</t>
        </is>
      </c>
      <c r="V127" s="23">
        <f>IFERROR(VLOOKUP(U127,Assumptions!$A$7:$D$11,2,FALSE),0)</f>
        <v/>
      </c>
      <c r="W127" s="24">
        <f>MAX(0.5,IFERROR(VLOOKUP(U127,Assumptions!$A$7:$D$11,3,FALSE),3)+IFERROR(VLOOKUP(U127,Assumptions!$A$7:$D$11,4,FALSE),8)/2-IF(AN127="",0,YEAR(TODAY())-AN127))</f>
        <v/>
      </c>
      <c r="X127" s="21">
        <f>T127*V127/(1+Assumptions!$B$3)^W127</f>
        <v/>
      </c>
      <c r="Y127" s="25">
        <f>IF(T127=0,"",ROUND(X127/T127*100,1))</f>
        <v/>
      </c>
      <c r="Z127" s="26">
        <f>X127*Assumptions!$B$4</f>
        <v/>
      </c>
      <c r="AA127" s="25">
        <f>IF(T127=0,"",ROUND(Z127/T127*100,1))</f>
        <v/>
      </c>
      <c r="AB127" s="26">
        <f>X127-Z127</f>
        <v/>
      </c>
      <c r="AC127" s="25">
        <f>IF(T127=0,"",ROUND((X127-Z127)/T127*100,1))</f>
        <v/>
      </c>
      <c r="AD127" s="27" t="inlineStr">
        <is>
          <t>CONFIRMED</t>
        </is>
      </c>
      <c r="AE127" s="28" t="inlineStr">
        <is>
          <t>https://stenius.com.br/wp-content/uploads/2026/06/EDITAL-GRUPO-3E.pdf</t>
        </is>
      </c>
      <c r="AF127" s="27" t="inlineStr">
        <is>
          <t>p10 r36</t>
        </is>
      </c>
      <c r="AG127" s="27" t="inlineStr">
        <is>
          <t>p10: R$ 3.523.132,32</t>
        </is>
      </c>
      <c r="AH127" s="27" t="inlineStr">
        <is>
          <t>DEBTOR_LIST</t>
        </is>
      </c>
      <c r="AI127" s="27" t="inlineStr">
        <is>
          <t>2026-06-22</t>
        </is>
      </c>
      <c r="AJ127" s="27" t="inlineStr">
        <is>
          <t>OK_NO_TOTALS</t>
        </is>
      </c>
      <c r="AK127" s="29" t="inlineStr">
        <is>
          <t>5341375-33.2026.8.09.0049</t>
        </is>
      </c>
      <c r="AL127" s="29" t="inlineStr">
        <is>
          <t>TJGO</t>
        </is>
      </c>
      <c r="AM127" s="29" t="inlineStr">
        <is>
          <t>ACTIVE</t>
        </is>
      </c>
      <c r="AN127" s="29" t="n">
        <v>2026</v>
      </c>
      <c r="AO127" s="29" t="inlineStr">
        <is>
          <t>plan/homologation document found</t>
        </is>
      </c>
      <c r="AP127" s="29" t="inlineStr"/>
      <c r="AQ127" s="29" t="inlineStr"/>
      <c r="AR127" s="29" t="inlineStr"/>
      <c r="AS127" s="29" t="inlineStr"/>
      <c r="AT127" s="29" t="inlineStr">
        <is>
          <t>MID-MARKET</t>
        </is>
      </c>
      <c r="AU127" s="29" t="inlineStr">
        <is>
          <t>31895683</t>
        </is>
      </c>
      <c r="AV127" s="29" t="n">
        <v>1</v>
      </c>
      <c r="AW127" s="29" t="inlineStr">
        <is>
          <t>LIKELY_FINANCIAL_BY_NAME ROWS:p10r36 UNRECONCILED_SOURCE</t>
        </is>
      </c>
    </row>
    <row r="128">
      <c r="A128" s="15" t="inlineStr">
        <is>
          <t>BRADESCO SAUDE S/A</t>
        </is>
      </c>
      <c r="B128" s="16" t="n">
        <v>6917473.54</v>
      </c>
      <c r="C128" s="17" t="inlineStr">
        <is>
          <t>EGESA ENGENHARIA S/A (Consórcio ETDI)</t>
        </is>
      </c>
      <c r="D128" s="18" t="inlineStr">
        <is>
          <t>NEW</t>
        </is>
      </c>
      <c r="E128" s="19" t="inlineStr"/>
      <c r="F128" s="18" t="inlineStr"/>
      <c r="G128" s="19" t="inlineStr"/>
      <c r="H128" s="18" t="inlineStr"/>
      <c r="I128" s="20" t="inlineStr">
        <is>
          <t>ANTONIO ALEXANDRE ARIAS</t>
        </is>
      </c>
      <c r="J128" s="20" t="inlineStr">
        <is>
          <t>Diretor</t>
        </is>
      </c>
      <c r="K128" s="20" t="inlineStr">
        <is>
          <t>(21) 2503-1111</t>
        </is>
      </c>
      <c r="L128" s="20" t="inlineStr"/>
      <c r="M128" s="20" t="inlineStr"/>
      <c r="N128" s="20" t="inlineStr"/>
      <c r="O128" s="20" t="inlineStr"/>
      <c r="P128" s="20" t="inlineStr">
        <is>
          <t>CARLOS ALBERTO IWATA MARINELLI</t>
        </is>
      </c>
      <c r="Q128" s="20" t="inlineStr">
        <is>
          <t>Diretor</t>
        </is>
      </c>
      <c r="R128" s="20" t="inlineStr">
        <is>
          <t>(21) 2503-1111</t>
        </is>
      </c>
      <c r="S128" s="20" t="inlineStr"/>
      <c r="T128" s="21" t="n">
        <v>6917473.54</v>
      </c>
      <c r="U128" s="30" t="inlineStr">
        <is>
          <t>?</t>
        </is>
      </c>
      <c r="V128" s="23">
        <f>IFERROR(VLOOKUP(U128,Assumptions!$A$7:$D$11,2,FALSE),0)</f>
        <v/>
      </c>
      <c r="W128" s="24">
        <f>MAX(0.5,IFERROR(VLOOKUP(U128,Assumptions!$A$7:$D$11,3,FALSE),3)+IFERROR(VLOOKUP(U128,Assumptions!$A$7:$D$11,4,FALSE),8)/2-IF(AN128="",0,YEAR(TODAY())-AN128))</f>
        <v/>
      </c>
      <c r="X128" s="21">
        <f>T128*V128/(1+Assumptions!$B$3)^W128</f>
        <v/>
      </c>
      <c r="Y128" s="25">
        <f>IF(T128=0,"",ROUND(X128/T128*100,1))</f>
        <v/>
      </c>
      <c r="Z128" s="26">
        <f>X128*Assumptions!$B$4</f>
        <v/>
      </c>
      <c r="AA128" s="25">
        <f>IF(T128=0,"",ROUND(Z128/T128*100,1))</f>
        <v/>
      </c>
      <c r="AB128" s="26">
        <f>X128-Z128</f>
        <v/>
      </c>
      <c r="AC128" s="25">
        <f>IF(T128=0,"",ROUND((X128-Z128)/T128*100,1))</f>
        <v/>
      </c>
      <c r="AD128" s="27" t="inlineStr">
        <is>
          <t>UNKNOWN</t>
        </is>
      </c>
      <c r="AE128" s="28" t="inlineStr">
        <is>
          <t>https://scalzilliaj.com.br/sgc/download.php?file=files/processo_documento/processo_documento09514021082025_1_.pdf&amp;nome=04 - Relação de credores das Recuperandas</t>
        </is>
      </c>
      <c r="AF128" s="27" t="inlineStr">
        <is>
          <t>p63 r12</t>
        </is>
      </c>
      <c r="AG128" s="27" t="inlineStr">
        <is>
          <t>p63: R$ 6.917.473,54</t>
        </is>
      </c>
      <c r="AH128" s="27" t="inlineStr">
        <is>
          <t>DEBTOR_LIST</t>
        </is>
      </c>
      <c r="AI128" s="27" t="inlineStr"/>
      <c r="AJ128" s="27" t="inlineStr">
        <is>
          <t>OK</t>
        </is>
      </c>
      <c r="AK128" s="29" t="inlineStr">
        <is>
          <t>(not printed)</t>
        </is>
      </c>
      <c r="AL128" s="29" t="inlineStr"/>
      <c r="AM128" s="29" t="inlineStr"/>
      <c r="AN128" s="29" t="inlineStr"/>
      <c r="AO128" s="29" t="inlineStr">
        <is>
          <t>RJ case number not identified on the document</t>
        </is>
      </c>
      <c r="AP128" s="29" t="inlineStr">
        <is>
          <t>RIO DE JANEIRO</t>
        </is>
      </c>
      <c r="AQ128" s="29" t="inlineStr">
        <is>
          <t>RJ</t>
        </is>
      </c>
      <c r="AR128" s="29" t="inlineStr">
        <is>
          <t>Sociedade seguradora de seguros saúde</t>
        </is>
      </c>
      <c r="AS128" s="29" t="inlineStr">
        <is>
          <t>DEMAIS</t>
        </is>
      </c>
      <c r="AT128" s="29" t="inlineStr">
        <is>
          <t>LARGE CORP</t>
        </is>
      </c>
      <c r="AU128" s="29" t="inlineStr">
        <is>
          <t>92693118</t>
        </is>
      </c>
      <c r="AV128" s="29" t="n">
        <v>1</v>
      </c>
      <c r="AW128" s="29" t="inlineStr">
        <is>
          <t>LIKELY_FINANCIAL_BY_NAME ROWS:p63r12 VALUE_COL:Valor_Atualizado CASE_NUMBER_CORRECTED</t>
        </is>
      </c>
    </row>
    <row r="129">
      <c r="A129" s="15" t="inlineStr">
        <is>
          <t>FAIRFAX BRASIL SEGUROS CORPORATIVOS SA</t>
        </is>
      </c>
      <c r="B129" s="16" t="n">
        <v>3663129.51</v>
      </c>
      <c r="C129" s="17" t="inlineStr"/>
      <c r="D129" s="18" t="inlineStr">
        <is>
          <t>NEW</t>
        </is>
      </c>
      <c r="E129" s="19" t="inlineStr"/>
      <c r="F129" s="18" t="inlineStr"/>
      <c r="G129" s="19" t="inlineStr"/>
      <c r="H129" s="18" t="inlineStr"/>
      <c r="I129" s="20" t="inlineStr">
        <is>
          <t>BRUNO DE ALMEIDA CAMARGO</t>
        </is>
      </c>
      <c r="J129" s="20" t="inlineStr">
        <is>
          <t>Presidente</t>
        </is>
      </c>
      <c r="K129" s="20" t="inlineStr">
        <is>
          <t>(11) 3041-3023</t>
        </is>
      </c>
      <c r="L129" s="20" t="inlineStr">
        <is>
          <t>(11) 3041-3023</t>
        </is>
      </c>
      <c r="M129" s="20" t="inlineStr"/>
      <c r="N129" s="20" t="inlineStr"/>
      <c r="O129" s="20" t="inlineStr"/>
      <c r="P129" s="20" t="inlineStr">
        <is>
          <t>HERON RICARDO PARRON</t>
        </is>
      </c>
      <c r="Q129" s="20" t="inlineStr">
        <is>
          <t>Diretor</t>
        </is>
      </c>
      <c r="R129" s="20" t="inlineStr">
        <is>
          <t>(11) 3041-3023</t>
        </is>
      </c>
      <c r="S129" s="20" t="inlineStr"/>
      <c r="T129" s="21" t="n">
        <v>3663129.51</v>
      </c>
      <c r="U129" s="22" t="inlineStr">
        <is>
          <t>B</t>
        </is>
      </c>
      <c r="V129" s="23">
        <f>IFERROR(VLOOKUP(U129,Assumptions!$A$7:$D$11,2,FALSE),0)</f>
        <v/>
      </c>
      <c r="W129" s="24">
        <f>MAX(0.5,IFERROR(VLOOKUP(U129,Assumptions!$A$7:$D$11,3,FALSE),3)+IFERROR(VLOOKUP(U129,Assumptions!$A$7:$D$11,4,FALSE),8)/2-IF(AN129="",0,YEAR(TODAY())-AN129))</f>
        <v/>
      </c>
      <c r="X129" s="21">
        <f>T129*V129/(1+Assumptions!$B$3)^W129</f>
        <v/>
      </c>
      <c r="Y129" s="25">
        <f>IF(T129=0,"",ROUND(X129/T129*100,1))</f>
        <v/>
      </c>
      <c r="Z129" s="26">
        <f>X129*Assumptions!$B$4</f>
        <v/>
      </c>
      <c r="AA129" s="25">
        <f>IF(T129=0,"",ROUND(Z129/T129*100,1))</f>
        <v/>
      </c>
      <c r="AB129" s="26">
        <f>X129-Z129</f>
        <v/>
      </c>
      <c r="AC129" s="25">
        <f>IF(T129=0,"",ROUND((X129-Z129)/T129*100,1))</f>
        <v/>
      </c>
      <c r="AD129" s="27" t="inlineStr">
        <is>
          <t>UNKNOWN</t>
        </is>
      </c>
      <c r="AE129" s="28" t="inlineStr">
        <is>
          <t>https://credibilita.com.br/wp-content/uploads/2025/09/Relacao-Credores-29.04.2026.pdf</t>
        </is>
      </c>
      <c r="AF129" s="27" t="inlineStr">
        <is>
          <t>p1 r22</t>
        </is>
      </c>
      <c r="AG129" s="27" t="inlineStr">
        <is>
          <t>p1: R$ 3.663.129,51</t>
        </is>
      </c>
      <c r="AH129" s="27" t="inlineStr">
        <is>
          <t>UNKNOWN</t>
        </is>
      </c>
      <c r="AI129" s="27" t="inlineStr"/>
      <c r="AJ129" s="27" t="inlineStr">
        <is>
          <t>OK_NO_TOTALS</t>
        </is>
      </c>
      <c r="AK129" s="29" t="inlineStr">
        <is>
          <t>5057720-48.2025.8.24.0023</t>
        </is>
      </c>
      <c r="AL129" s="29" t="inlineStr">
        <is>
          <t>TJ</t>
        </is>
      </c>
      <c r="AM129" s="29" t="inlineStr"/>
      <c r="AN129" s="29" t="n">
        <v>2025</v>
      </c>
      <c r="AO129" s="29" t="inlineStr">
        <is>
          <t>live case, no plan document yet</t>
        </is>
      </c>
      <c r="AP129" s="29" t="inlineStr">
        <is>
          <t>SAO PAULO</t>
        </is>
      </c>
      <c r="AQ129" s="29" t="inlineStr">
        <is>
          <t>SP</t>
        </is>
      </c>
      <c r="AR129" s="29" t="inlineStr">
        <is>
          <t>Sociedade seguradora de seguros não vida</t>
        </is>
      </c>
      <c r="AS129" s="29" t="inlineStr">
        <is>
          <t>DEMAIS</t>
        </is>
      </c>
      <c r="AT129" s="29" t="inlineStr">
        <is>
          <t>LARGE CORP</t>
        </is>
      </c>
      <c r="AU129" s="29" t="inlineStr">
        <is>
          <t>10793428</t>
        </is>
      </c>
      <c r="AV129" s="29" t="n">
        <v>1</v>
      </c>
      <c r="AW129" s="29" t="inlineStr">
        <is>
          <t>ROWS:p1r22 UNRECONCILED_SOURCE VALUE_COL:Valor_Após_Analise</t>
        </is>
      </c>
    </row>
    <row r="130">
      <c r="A130" s="15" t="inlineStr">
        <is>
          <t>GAVEA FIDC</t>
        </is>
      </c>
      <c r="B130" s="16" t="n">
        <v>2327494.5</v>
      </c>
      <c r="C130" s="17" t="inlineStr">
        <is>
          <t>Conduscabos Brasil Indústria Comércio de</t>
        </is>
      </c>
      <c r="D130" s="18" t="inlineStr">
        <is>
          <t>NEW</t>
        </is>
      </c>
      <c r="E130" s="19" t="inlineStr"/>
      <c r="F130" s="18" t="inlineStr"/>
      <c r="G130" s="19" t="inlineStr"/>
      <c r="H130" s="18" t="inlineStr"/>
      <c r="I130" s="20" t="inlineStr"/>
      <c r="J130" s="20" t="inlineStr"/>
      <c r="K130" s="20" t="inlineStr"/>
      <c r="L130" s="20" t="inlineStr"/>
      <c r="M130" s="20" t="inlineStr"/>
      <c r="N130" s="20" t="inlineStr"/>
      <c r="O130" s="20" t="inlineStr"/>
      <c r="P130" s="20" t="inlineStr"/>
      <c r="Q130" s="20" t="inlineStr"/>
      <c r="R130" s="20" t="inlineStr"/>
      <c r="S130" s="20" t="inlineStr"/>
      <c r="T130" s="21" t="n">
        <v>2327494.5</v>
      </c>
      <c r="U130" s="22" t="inlineStr">
        <is>
          <t>B</t>
        </is>
      </c>
      <c r="V130" s="23">
        <f>IFERROR(VLOOKUP(U130,Assumptions!$A$7:$D$11,2,FALSE),0)</f>
        <v/>
      </c>
      <c r="W130" s="24">
        <f>MAX(0.5,IFERROR(VLOOKUP(U130,Assumptions!$A$7:$D$11,3,FALSE),3)+IFERROR(VLOOKUP(U130,Assumptions!$A$7:$D$11,4,FALSE),8)/2-IF(AN130="",0,YEAR(TODAY())-AN130))</f>
        <v/>
      </c>
      <c r="X130" s="21">
        <f>T130*V130/(1+Assumptions!$B$3)^W130</f>
        <v/>
      </c>
      <c r="Y130" s="25">
        <f>IF(T130=0,"",ROUND(X130/T130*100,1))</f>
        <v/>
      </c>
      <c r="Z130" s="26">
        <f>X130*Assumptions!$B$4</f>
        <v/>
      </c>
      <c r="AA130" s="25">
        <f>IF(T130=0,"",ROUND(Z130/T130*100,1))</f>
        <v/>
      </c>
      <c r="AB130" s="26">
        <f>X130-Z130</f>
        <v/>
      </c>
      <c r="AC130" s="25">
        <f>IF(T130=0,"",ROUND((X130-Z130)/T130*100,1))</f>
        <v/>
      </c>
      <c r="AD130" s="27" t="inlineStr">
        <is>
          <t>ESTIMATED</t>
        </is>
      </c>
      <c r="AE130" s="28" t="inlineStr">
        <is>
          <t>https://assistjud.com.br/wp-content/uploads/elementor/forms/65098c80a5824.pdf</t>
        </is>
      </c>
      <c r="AF130" s="27" t="inlineStr">
        <is>
          <t>p7 r9; p8 r18; p9 r15</t>
        </is>
      </c>
      <c r="AG130" s="27" t="inlineStr">
        <is>
          <t>p7: R$ 775.620,94; p8: R$ 462.653,52; p9: R$ 1.089.220,04</t>
        </is>
      </c>
      <c r="AH130" s="27" t="inlineStr">
        <is>
          <t>AJ_LIST</t>
        </is>
      </c>
      <c r="AI130" s="27" t="inlineStr">
        <is>
          <t>2023-09-18</t>
        </is>
      </c>
      <c r="AJ130" s="27" t="inlineStr">
        <is>
          <t>OK_NO_TOTALS</t>
        </is>
      </c>
      <c r="AK130" s="29" t="inlineStr">
        <is>
          <t>8005129-09.2023.8.05.0039</t>
        </is>
      </c>
      <c r="AL130" s="29" t="inlineStr">
        <is>
          <t>TJBA</t>
        </is>
      </c>
      <c r="AM130" s="29" t="inlineStr">
        <is>
          <t>ACTIVE</t>
        </is>
      </c>
      <c r="AN130" s="29" t="n">
        <v>2023</v>
      </c>
      <c r="AO130" s="29" t="inlineStr">
        <is>
          <t>live case, no plan document yet</t>
        </is>
      </c>
      <c r="AP130" s="29" t="inlineStr"/>
      <c r="AQ130" s="29" t="inlineStr"/>
      <c r="AR130" s="29" t="inlineStr"/>
      <c r="AS130" s="29" t="inlineStr"/>
      <c r="AT130" s="29" t="inlineStr">
        <is>
          <t>MID-MARKET</t>
        </is>
      </c>
      <c r="AU130" s="29" t="inlineStr">
        <is>
          <t>12910431</t>
        </is>
      </c>
      <c r="AV130" s="29" t="n">
        <v>3</v>
      </c>
      <c r="AW130" s="29" t="inlineStr">
        <is>
          <t>LIKELY_FINANCIAL_BY_NAME ROWS:p7r9,p8r18,p9r15 UNRECONCILED_SOURCE</t>
        </is>
      </c>
    </row>
    <row r="131">
      <c r="A131" s="15" t="inlineStr">
        <is>
          <t>BANCO DO BRASIL SA</t>
        </is>
      </c>
      <c r="B131" s="16" t="n">
        <v>2869597.33</v>
      </c>
      <c r="C131" s="17" t="inlineStr">
        <is>
          <t>Reu, registrado civilmente como José Renaldo dos</t>
        </is>
      </c>
      <c r="D131" s="18" t="inlineStr">
        <is>
          <t>NEW</t>
        </is>
      </c>
      <c r="E131" s="19" t="inlineStr"/>
      <c r="F131" s="18" t="inlineStr"/>
      <c r="G131" s="19" t="inlineStr"/>
      <c r="H131" s="18" t="inlineStr"/>
      <c r="I131" s="20" t="inlineStr">
        <is>
          <t>TARCIANA PAULA GOMES MEDEIROS</t>
        </is>
      </c>
      <c r="J131" s="20" t="inlineStr">
        <is>
          <t>Presidente</t>
        </is>
      </c>
      <c r="K131" s="20" t="inlineStr">
        <is>
          <t>(61) 3493-9002</t>
        </is>
      </c>
      <c r="L131" s="20" t="inlineStr"/>
      <c r="M131" s="20" t="inlineStr"/>
      <c r="N131" s="20" t="inlineStr"/>
      <c r="O131" s="20" t="inlineStr"/>
      <c r="P131" s="20" t="inlineStr">
        <is>
          <t>ALAN CARLOS GUEDES DE OLIVEIRA</t>
        </is>
      </c>
      <c r="Q131" s="20" t="inlineStr">
        <is>
          <t>Diretor</t>
        </is>
      </c>
      <c r="R131" s="20" t="inlineStr">
        <is>
          <t>(61) 3493-9002</t>
        </is>
      </c>
      <c r="S131" s="20" t="inlineStr"/>
      <c r="T131" s="21" t="n">
        <v>2869597.33</v>
      </c>
      <c r="U131" s="22" t="inlineStr">
        <is>
          <t>B</t>
        </is>
      </c>
      <c r="V131" s="23">
        <f>IFERROR(VLOOKUP(U131,Assumptions!$A$7:$D$11,2,FALSE),0)</f>
        <v/>
      </c>
      <c r="W131" s="24">
        <f>MAX(0.5,IFERROR(VLOOKUP(U131,Assumptions!$A$7:$D$11,3,FALSE),3)+IFERROR(VLOOKUP(U131,Assumptions!$A$7:$D$11,4,FALSE),8)/2-IF(AN131="",0,YEAR(TODAY())-AN131))</f>
        <v/>
      </c>
      <c r="X131" s="21">
        <f>T131*V131/(1+Assumptions!$B$3)^W131</f>
        <v/>
      </c>
      <c r="Y131" s="25">
        <f>IF(T131=0,"",ROUND(X131/T131*100,1))</f>
        <v/>
      </c>
      <c r="Z131" s="26">
        <f>X131*Assumptions!$B$4</f>
        <v/>
      </c>
      <c r="AA131" s="25">
        <f>IF(T131=0,"",ROUND(Z131/T131*100,1))</f>
        <v/>
      </c>
      <c r="AB131" s="26">
        <f>X131-Z131</f>
        <v/>
      </c>
      <c r="AC131" s="25">
        <f>IF(T131=0,"",ROUND((X131-Z131)/T131*100,1))</f>
        <v/>
      </c>
      <c r="AD131" s="27" t="inlineStr">
        <is>
          <t>UNKNOWN</t>
        </is>
      </c>
      <c r="AE131" s="28" t="inlineStr">
        <is>
          <t>https://recuperacaojudicial.squarespace.com/s/EDITAL-COM-A-2-LISTA-DE-CREDORES-E-INFORMANDO-A-APRESENTACO-DO-PRJ_1532.pdf</t>
        </is>
      </c>
      <c r="AF131" s="27" t="inlineStr">
        <is>
          <t>p2 r4</t>
        </is>
      </c>
      <c r="AG131" s="27" t="inlineStr">
        <is>
          <t>p2: R$ 2.869.597,33</t>
        </is>
      </c>
      <c r="AH131" s="27" t="inlineStr">
        <is>
          <t>AJ_LIST</t>
        </is>
      </c>
      <c r="AI131" s="27" t="inlineStr"/>
      <c r="AJ131" s="27" t="inlineStr">
        <is>
          <t>OK_NO_TOTALS</t>
        </is>
      </c>
      <c r="AK131" s="29" t="inlineStr">
        <is>
          <t>0700536-67.2024.8.02.0043</t>
        </is>
      </c>
      <c r="AL131" s="29" t="inlineStr">
        <is>
          <t>TJ</t>
        </is>
      </c>
      <c r="AM131" s="29" t="inlineStr"/>
      <c r="AN131" s="29" t="n">
        <v>2024</v>
      </c>
      <c r="AO131" s="29" t="inlineStr">
        <is>
          <t>live case, no plan document yet</t>
        </is>
      </c>
      <c r="AP131" s="29" t="inlineStr">
        <is>
          <t>BRASILIA</t>
        </is>
      </c>
      <c r="AQ131" s="29" t="inlineStr">
        <is>
          <t>DF</t>
        </is>
      </c>
      <c r="AR131" s="29" t="inlineStr">
        <is>
          <t>Bancos múltiplos, com carteira comercial</t>
        </is>
      </c>
      <c r="AS131" s="29" t="inlineStr">
        <is>
          <t>DEMAIS</t>
        </is>
      </c>
      <c r="AT131" s="29" t="inlineStr">
        <is>
          <t>LARGE CORP</t>
        </is>
      </c>
      <c r="AU131" s="29" t="inlineStr">
        <is>
          <t>00000000</t>
        </is>
      </c>
      <c r="AV131" s="29" t="n">
        <v>1</v>
      </c>
      <c r="AW131" s="29" t="inlineStr">
        <is>
          <t>LIKELY_FINANCIAL_BY_NAME ROWS:p2r4 UNRECONCILED_SOURCE</t>
        </is>
      </c>
    </row>
    <row r="132">
      <c r="A132" s="15" t="inlineStr">
        <is>
          <t>BANCO SAFRA S A</t>
        </is>
      </c>
      <c r="B132" s="16" t="n">
        <v>2224584.09</v>
      </c>
      <c r="C132" s="17" t="inlineStr"/>
      <c r="D132" s="18" t="inlineStr">
        <is>
          <t>NEW</t>
        </is>
      </c>
      <c r="E132" s="19" t="inlineStr"/>
      <c r="F132" s="18" t="inlineStr"/>
      <c r="G132" s="19" t="inlineStr"/>
      <c r="H132" s="18" t="inlineStr"/>
      <c r="I132" s="20" t="inlineStr">
        <is>
          <t>RAFAEL BORDALO QUINTAS</t>
        </is>
      </c>
      <c r="J132" s="20" t="inlineStr">
        <is>
          <t>Administrador</t>
        </is>
      </c>
      <c r="K132" s="20" t="inlineStr">
        <is>
          <t>(11) 3175-7575</t>
        </is>
      </c>
      <c r="L132" s="20" t="inlineStr"/>
      <c r="M132" s="20" t="inlineStr"/>
      <c r="N132" s="20" t="inlineStr"/>
      <c r="O132" s="20" t="inlineStr"/>
      <c r="P132" s="20" t="inlineStr">
        <is>
          <t>ADRIANO MACIEL PEDROTI</t>
        </is>
      </c>
      <c r="Q132" s="20" t="inlineStr">
        <is>
          <t>Diretor</t>
        </is>
      </c>
      <c r="R132" s="20" t="inlineStr">
        <is>
          <t>(11) 3175-7575</t>
        </is>
      </c>
      <c r="S132" s="20" t="inlineStr"/>
      <c r="T132" s="21" t="n">
        <v>2224584.09</v>
      </c>
      <c r="U132" s="22" t="inlineStr">
        <is>
          <t>B</t>
        </is>
      </c>
      <c r="V132" s="23">
        <f>IFERROR(VLOOKUP(U132,Assumptions!$A$7:$D$11,2,FALSE),0)</f>
        <v/>
      </c>
      <c r="W132" s="24">
        <f>MAX(0.5,IFERROR(VLOOKUP(U132,Assumptions!$A$7:$D$11,3,FALSE),3)+IFERROR(VLOOKUP(U132,Assumptions!$A$7:$D$11,4,FALSE),8)/2-IF(AN132="",0,YEAR(TODAY())-AN132))</f>
        <v/>
      </c>
      <c r="X132" s="21">
        <f>T132*V132/(1+Assumptions!$B$3)^W132</f>
        <v/>
      </c>
      <c r="Y132" s="25">
        <f>IF(T132=0,"",ROUND(X132/T132*100,1))</f>
        <v/>
      </c>
      <c r="Z132" s="26">
        <f>X132*Assumptions!$B$4</f>
        <v/>
      </c>
      <c r="AA132" s="25">
        <f>IF(T132=0,"",ROUND(Z132/T132*100,1))</f>
        <v/>
      </c>
      <c r="AB132" s="26">
        <f>X132-Z132</f>
        <v/>
      </c>
      <c r="AC132" s="25">
        <f>IF(T132=0,"",ROUND((X132-Z132)/T132*100,1))</f>
        <v/>
      </c>
      <c r="AD132" s="27" t="inlineStr">
        <is>
          <t>ESTIMATED</t>
        </is>
      </c>
      <c r="AE132" s="28" t="inlineStr">
        <is>
          <t>https://cataliseaj.com.br/sgc/download.php?file=files/processo_documento/processo_documento15092204102024_1_.pdf&amp;nome=02. RELAÇÃO DE CREDORES</t>
        </is>
      </c>
      <c r="AF132" s="27" t="inlineStr">
        <is>
          <t>p2 r15</t>
        </is>
      </c>
      <c r="AG132" s="27" t="inlineStr">
        <is>
          <t>p2: R$ 2.224.584,09</t>
        </is>
      </c>
      <c r="AH132" s="27" t="inlineStr">
        <is>
          <t>DEBTOR_LIST</t>
        </is>
      </c>
      <c r="AI132" s="27" t="inlineStr"/>
      <c r="AJ132" s="27" t="inlineStr">
        <is>
          <t>OK_NO_TOTALS</t>
        </is>
      </c>
      <c r="AK132" s="29" t="inlineStr">
        <is>
          <t>5011460-87.2023.8.24.0020</t>
        </is>
      </c>
      <c r="AL132" s="29" t="inlineStr">
        <is>
          <t>TJSC</t>
        </is>
      </c>
      <c r="AM132" s="29" t="inlineStr">
        <is>
          <t>ACTIVE</t>
        </is>
      </c>
      <c r="AN132" s="29" t="n">
        <v>2023</v>
      </c>
      <c r="AO132" s="29" t="inlineStr">
        <is>
          <t>live case, no plan document yet</t>
        </is>
      </c>
      <c r="AP132" s="29" t="inlineStr">
        <is>
          <t>SAO PAULO</t>
        </is>
      </c>
      <c r="AQ132" s="29" t="inlineStr">
        <is>
          <t>SP</t>
        </is>
      </c>
      <c r="AR132" s="29" t="inlineStr">
        <is>
          <t>Bancos múltiplos, com carteira comercial</t>
        </is>
      </c>
      <c r="AS132" s="29" t="inlineStr">
        <is>
          <t>DEMAIS</t>
        </is>
      </c>
      <c r="AT132" s="29" t="inlineStr">
        <is>
          <t>LARGE CORP</t>
        </is>
      </c>
      <c r="AU132" s="29" t="inlineStr">
        <is>
          <t>58160789</t>
        </is>
      </c>
      <c r="AV132" s="29" t="n">
        <v>1</v>
      </c>
      <c r="AW132" s="29" t="inlineStr">
        <is>
          <t>ROWS:p2r15 UNRECONCILED_SOURCE</t>
        </is>
      </c>
    </row>
    <row r="133">
      <c r="A133" s="15" t="inlineStr">
        <is>
          <t>BANCO SAFRA S A</t>
        </is>
      </c>
      <c r="B133" s="16" t="n">
        <v>2771401.44</v>
      </c>
      <c r="C133" s="17" t="inlineStr">
        <is>
          <t>GRUPO ADLIM – LRF Líderes em Recuperação Judicial e Falência</t>
        </is>
      </c>
      <c r="D133" s="18" t="inlineStr">
        <is>
          <t>NEW</t>
        </is>
      </c>
      <c r="E133" s="19" t="inlineStr"/>
      <c r="F133" s="18" t="inlineStr"/>
      <c r="G133" s="19" t="inlineStr"/>
      <c r="H133" s="18" t="inlineStr"/>
      <c r="I133" s="20" t="inlineStr">
        <is>
          <t>RAFAEL BORDALO QUINTAS</t>
        </is>
      </c>
      <c r="J133" s="20" t="inlineStr">
        <is>
          <t>Administrador</t>
        </is>
      </c>
      <c r="K133" s="20" t="inlineStr">
        <is>
          <t>(11) 3175-7575</t>
        </is>
      </c>
      <c r="L133" s="20" t="inlineStr"/>
      <c r="M133" s="20" t="inlineStr"/>
      <c r="N133" s="20" t="inlineStr"/>
      <c r="O133" s="20" t="inlineStr"/>
      <c r="P133" s="20" t="inlineStr">
        <is>
          <t>ADRIANO MACIEL PEDROTI</t>
        </is>
      </c>
      <c r="Q133" s="20" t="inlineStr">
        <is>
          <t>Diretor</t>
        </is>
      </c>
      <c r="R133" s="20" t="inlineStr">
        <is>
          <t>(11) 3175-7575</t>
        </is>
      </c>
      <c r="S133" s="20" t="inlineStr"/>
      <c r="T133" s="21" t="n">
        <v>2771401.44</v>
      </c>
      <c r="U133" s="22" t="inlineStr">
        <is>
          <t>B</t>
        </is>
      </c>
      <c r="V133" s="23">
        <f>IFERROR(VLOOKUP(U133,Assumptions!$A$7:$D$11,2,FALSE),0)</f>
        <v/>
      </c>
      <c r="W133" s="24">
        <f>MAX(0.5,IFERROR(VLOOKUP(U133,Assumptions!$A$7:$D$11,3,FALSE),3)+IFERROR(VLOOKUP(U133,Assumptions!$A$7:$D$11,4,FALSE),8)/2-IF(AN133="",0,YEAR(TODAY())-AN133))</f>
        <v/>
      </c>
      <c r="X133" s="21">
        <f>T133*V133/(1+Assumptions!$B$3)^W133</f>
        <v/>
      </c>
      <c r="Y133" s="25">
        <f>IF(T133=0,"",ROUND(X133/T133*100,1))</f>
        <v/>
      </c>
      <c r="Z133" s="26">
        <f>X133*Assumptions!$B$4</f>
        <v/>
      </c>
      <c r="AA133" s="25">
        <f>IF(T133=0,"",ROUND(Z133/T133*100,1))</f>
        <v/>
      </c>
      <c r="AB133" s="26">
        <f>X133-Z133</f>
        <v/>
      </c>
      <c r="AC133" s="25">
        <f>IF(T133=0,"",ROUND((X133-Z133)/T133*100,1))</f>
        <v/>
      </c>
      <c r="AD133" s="27" t="inlineStr">
        <is>
          <t>ESTIMATED</t>
        </is>
      </c>
      <c r="AE133" s="28" t="inlineStr">
        <is>
          <t>https://lrflideres.com.br/wp-content/plugins/download-attachments/includes/download.php?id=6051</t>
        </is>
      </c>
      <c r="AF133" s="27" t="inlineStr">
        <is>
          <t>p66 r70</t>
        </is>
      </c>
      <c r="AG133" s="27" t="inlineStr">
        <is>
          <t>p66: R$ 2771401,44</t>
        </is>
      </c>
      <c r="AH133" s="27" t="inlineStr">
        <is>
          <t>AJ_LIST</t>
        </is>
      </c>
      <c r="AI133" s="27" t="inlineStr">
        <is>
          <t>2024-08-12</t>
        </is>
      </c>
      <c r="AJ133" s="27" t="inlineStr">
        <is>
          <t>QUARANTINED</t>
        </is>
      </c>
      <c r="AK133" s="29" t="inlineStr">
        <is>
          <t>0019761-43.2024.8.17.2001</t>
        </is>
      </c>
      <c r="AL133" s="29" t="inlineStr">
        <is>
          <t>TJPE</t>
        </is>
      </c>
      <c r="AM133" s="29" t="inlineStr">
        <is>
          <t>ACTIVE</t>
        </is>
      </c>
      <c r="AN133" s="29" t="n">
        <v>2024</v>
      </c>
      <c r="AO133" s="29" t="inlineStr">
        <is>
          <t>live case, no plan document yet</t>
        </is>
      </c>
      <c r="AP133" s="29" t="inlineStr">
        <is>
          <t>SAO PAULO</t>
        </is>
      </c>
      <c r="AQ133" s="29" t="inlineStr">
        <is>
          <t>SP</t>
        </is>
      </c>
      <c r="AR133" s="29" t="inlineStr">
        <is>
          <t>Bancos múltiplos, com carteira comercial</t>
        </is>
      </c>
      <c r="AS133" s="29" t="inlineStr">
        <is>
          <t>DEMAIS</t>
        </is>
      </c>
      <c r="AT133" s="29" t="inlineStr">
        <is>
          <t>LARGE CORP</t>
        </is>
      </c>
      <c r="AU133" s="29" t="inlineStr">
        <is>
          <t>58160789</t>
        </is>
      </c>
      <c r="AV133" s="29" t="n">
        <v>1</v>
      </c>
      <c r="AW133" s="29" t="inlineStr">
        <is>
          <t>LIKELY_FINANCIAL_BY_NAME PARTIAL_DOC_CLASS_III_RECONCILED ROWS:p66r70</t>
        </is>
      </c>
    </row>
    <row r="134">
      <c r="A134" s="15" t="inlineStr">
        <is>
          <t>BANCO ITAUCARD S.A.</t>
        </is>
      </c>
      <c r="B134" s="16" t="n">
        <v>6300000</v>
      </c>
      <c r="C134" s="17" t="inlineStr"/>
      <c r="D134" s="18" t="inlineStr">
        <is>
          <t>NEW</t>
        </is>
      </c>
      <c r="E134" s="19" t="inlineStr"/>
      <c r="F134" s="18" t="inlineStr"/>
      <c r="G134" s="19" t="inlineStr"/>
      <c r="H134" s="18" t="inlineStr"/>
      <c r="I134" s="20" t="inlineStr">
        <is>
          <t>RUBENS FOGLI NETTO</t>
        </is>
      </c>
      <c r="J134" s="20" t="inlineStr">
        <is>
          <t>Presidente</t>
        </is>
      </c>
      <c r="K134" s="20" t="inlineStr">
        <is>
          <t>(11) 3003-4828</t>
        </is>
      </c>
      <c r="L134" s="20" t="inlineStr"/>
      <c r="M134" s="20" t="inlineStr"/>
      <c r="N134" s="20" t="inlineStr"/>
      <c r="O134" s="20" t="inlineStr"/>
      <c r="P134" s="20" t="inlineStr">
        <is>
          <t>ALBANO MANOEL ALMEIDA</t>
        </is>
      </c>
      <c r="Q134" s="20" t="inlineStr">
        <is>
          <t>Diretor</t>
        </is>
      </c>
      <c r="R134" s="20" t="inlineStr">
        <is>
          <t>(11) 3003-4828</t>
        </is>
      </c>
      <c r="S134" s="20" t="inlineStr"/>
      <c r="T134" s="21" t="n">
        <v>6300000</v>
      </c>
      <c r="U134" s="30" t="inlineStr">
        <is>
          <t>?</t>
        </is>
      </c>
      <c r="V134" s="23">
        <f>IFERROR(VLOOKUP(U134,Assumptions!$A$7:$D$11,2,FALSE),0)</f>
        <v/>
      </c>
      <c r="W134" s="24">
        <f>MAX(0.5,IFERROR(VLOOKUP(U134,Assumptions!$A$7:$D$11,3,FALSE),3)+IFERROR(VLOOKUP(U134,Assumptions!$A$7:$D$11,4,FALSE),8)/2-IF(AN134="",0,YEAR(TODAY())-AN134))</f>
        <v/>
      </c>
      <c r="X134" s="21">
        <f>T134*V134/(1+Assumptions!$B$3)^W134</f>
        <v/>
      </c>
      <c r="Y134" s="25">
        <f>IF(T134=0,"",ROUND(X134/T134*100,1))</f>
        <v/>
      </c>
      <c r="Z134" s="26">
        <f>X134*Assumptions!$B$4</f>
        <v/>
      </c>
      <c r="AA134" s="25">
        <f>IF(T134=0,"",ROUND(Z134/T134*100,1))</f>
        <v/>
      </c>
      <c r="AB134" s="26">
        <f>X134-Z134</f>
        <v/>
      </c>
      <c r="AC134" s="25">
        <f>IF(T134=0,"",ROUND((X134-Z134)/T134*100,1))</f>
        <v/>
      </c>
      <c r="AD134" s="27" t="inlineStr">
        <is>
          <t>UNKNOWN</t>
        </is>
      </c>
      <c r="AE134" s="28" t="inlineStr">
        <is>
          <t>https://ajruiz.com.br/sites/default/files/public/arquivos-processos/2023-11/4_relacao_de_credores_analitica_art._51_iii_da_lre.pdf</t>
        </is>
      </c>
      <c r="AF134" s="27" t="inlineStr">
        <is>
          <t>p2 r14</t>
        </is>
      </c>
      <c r="AG134" s="27" t="inlineStr">
        <is>
          <t>p2: R$ 6.300.000,00</t>
        </is>
      </c>
      <c r="AH134" s="27" t="inlineStr">
        <is>
          <t>UNKNOWN</t>
        </is>
      </c>
      <c r="AI134" s="27" t="inlineStr"/>
      <c r="AJ134" s="27" t="inlineStr">
        <is>
          <t>OK</t>
        </is>
      </c>
      <c r="AK134" s="29" t="inlineStr">
        <is>
          <t>(not printed)</t>
        </is>
      </c>
      <c r="AL134" s="29" t="inlineStr"/>
      <c r="AM134" s="29" t="inlineStr"/>
      <c r="AN134" s="29" t="inlineStr"/>
      <c r="AO134" s="29" t="inlineStr">
        <is>
          <t>RJ case number not identified on the document</t>
        </is>
      </c>
      <c r="AP134" s="29" t="inlineStr">
        <is>
          <t>SAO PAULO</t>
        </is>
      </c>
      <c r="AQ134" s="29" t="inlineStr">
        <is>
          <t>SP</t>
        </is>
      </c>
      <c r="AR134" s="29" t="inlineStr">
        <is>
          <t>Bancos múltiplos, sem carteira comercial</t>
        </is>
      </c>
      <c r="AS134" s="29" t="inlineStr">
        <is>
          <t>DEMAIS</t>
        </is>
      </c>
      <c r="AT134" s="29" t="inlineStr">
        <is>
          <t>LARGE CORP</t>
        </is>
      </c>
      <c r="AU134" s="29" t="inlineStr">
        <is>
          <t>17192451</t>
        </is>
      </c>
      <c r="AV134" s="29" t="n">
        <v>1</v>
      </c>
      <c r="AW134" s="29" t="inlineStr">
        <is>
          <t>ALT_VALUE:BANCOS ROWS:p2r14 VALUE_COL:Valor_Do_Crédito CASE_NUMBER_CORRECTED</t>
        </is>
      </c>
    </row>
    <row r="135">
      <c r="A135" s="15" t="inlineStr">
        <is>
          <t>ASTRA SECURITIZADORA S.A.</t>
        </is>
      </c>
      <c r="B135" s="16" t="n">
        <v>2144705.34</v>
      </c>
      <c r="C135" s="17" t="inlineStr">
        <is>
          <t>Conduscabos Brasil Indústria Comércio de</t>
        </is>
      </c>
      <c r="D135" s="18" t="inlineStr">
        <is>
          <t>NEW</t>
        </is>
      </c>
      <c r="E135" s="19" t="inlineStr"/>
      <c r="F135" s="18" t="inlineStr"/>
      <c r="G135" s="19" t="inlineStr"/>
      <c r="H135" s="18" t="inlineStr"/>
      <c r="I135" s="20" t="inlineStr">
        <is>
          <t>ALESSON PADUA TAVARES</t>
        </is>
      </c>
      <c r="J135" s="20" t="inlineStr">
        <is>
          <t>Diretor</t>
        </is>
      </c>
      <c r="K135" s="20" t="inlineStr">
        <is>
          <t>(11) 3995-7800</t>
        </is>
      </c>
      <c r="L135" s="20" t="inlineStr"/>
      <c r="M135" s="20" t="inlineStr"/>
      <c r="N135" s="20" t="inlineStr"/>
      <c r="O135" s="20" t="inlineStr"/>
      <c r="P135" s="20" t="inlineStr">
        <is>
          <t>BRUNO CESCHIN</t>
        </is>
      </c>
      <c r="Q135" s="20" t="inlineStr">
        <is>
          <t>Diretor</t>
        </is>
      </c>
      <c r="R135" s="20" t="inlineStr">
        <is>
          <t>(11) 3995-7800</t>
        </is>
      </c>
      <c r="S135" s="20" t="inlineStr"/>
      <c r="T135" s="21" t="n">
        <v>2144705.34</v>
      </c>
      <c r="U135" s="22" t="inlineStr">
        <is>
          <t>B</t>
        </is>
      </c>
      <c r="V135" s="23">
        <f>IFERROR(VLOOKUP(U135,Assumptions!$A$7:$D$11,2,FALSE),0)</f>
        <v/>
      </c>
      <c r="W135" s="24">
        <f>MAX(0.5,IFERROR(VLOOKUP(U135,Assumptions!$A$7:$D$11,3,FALSE),3)+IFERROR(VLOOKUP(U135,Assumptions!$A$7:$D$11,4,FALSE),8)/2-IF(AN135="",0,YEAR(TODAY())-AN135))</f>
        <v/>
      </c>
      <c r="X135" s="21">
        <f>T135*V135/(1+Assumptions!$B$3)^W135</f>
        <v/>
      </c>
      <c r="Y135" s="25">
        <f>IF(T135=0,"",ROUND(X135/T135*100,1))</f>
        <v/>
      </c>
      <c r="Z135" s="26">
        <f>X135*Assumptions!$B$4</f>
        <v/>
      </c>
      <c r="AA135" s="25">
        <f>IF(T135=0,"",ROUND(Z135/T135*100,1))</f>
        <v/>
      </c>
      <c r="AB135" s="26">
        <f>X135-Z135</f>
        <v/>
      </c>
      <c r="AC135" s="25">
        <f>IF(T135=0,"",ROUND((X135-Z135)/T135*100,1))</f>
        <v/>
      </c>
      <c r="AD135" s="27" t="inlineStr">
        <is>
          <t>ESTIMATED</t>
        </is>
      </c>
      <c r="AE135" s="28" t="inlineStr">
        <is>
          <t>https://assistjud.com.br/wp-content/uploads/elementor/forms/65098c80a5824.pdf</t>
        </is>
      </c>
      <c r="AF135" s="27" t="inlineStr">
        <is>
          <t>p10 r2; p19 r7</t>
        </is>
      </c>
      <c r="AG135" s="27" t="inlineStr">
        <is>
          <t>p10: R$ 684.988,65; p19: R$ 1.459.716,69</t>
        </is>
      </c>
      <c r="AH135" s="27" t="inlineStr">
        <is>
          <t>AJ_LIST</t>
        </is>
      </c>
      <c r="AI135" s="27" t="inlineStr">
        <is>
          <t>2023-09-18</t>
        </is>
      </c>
      <c r="AJ135" s="27" t="inlineStr">
        <is>
          <t>OK_NO_TOTALS</t>
        </is>
      </c>
      <c r="AK135" s="29" t="inlineStr">
        <is>
          <t>8005129-09.2023.8.05.0039</t>
        </is>
      </c>
      <c r="AL135" s="29" t="inlineStr">
        <is>
          <t>TJBA</t>
        </is>
      </c>
      <c r="AM135" s="29" t="inlineStr">
        <is>
          <t>ACTIVE</t>
        </is>
      </c>
      <c r="AN135" s="29" t="n">
        <v>2023</v>
      </c>
      <c r="AO135" s="29" t="inlineStr">
        <is>
          <t>live case, no plan document yet</t>
        </is>
      </c>
      <c r="AP135" s="29" t="inlineStr">
        <is>
          <t>SAO PAULO</t>
        </is>
      </c>
      <c r="AQ135" s="29" t="inlineStr">
        <is>
          <t>SP</t>
        </is>
      </c>
      <c r="AR135" s="29" t="inlineStr">
        <is>
          <t>Securitização de créditos</t>
        </is>
      </c>
      <c r="AS135" s="29" t="inlineStr">
        <is>
          <t>DEMAIS</t>
        </is>
      </c>
      <c r="AT135" s="29" t="inlineStr">
        <is>
          <t>MID-MARKET</t>
        </is>
      </c>
      <c r="AU135" s="29" t="inlineStr">
        <is>
          <t>23360870</t>
        </is>
      </c>
      <c r="AV135" s="29" t="n">
        <v>2</v>
      </c>
      <c r="AW135" s="29" t="inlineStr">
        <is>
          <t>ROWS:p10r2,p19r7 UNRECONCILED_SOURCE</t>
        </is>
      </c>
    </row>
    <row r="136">
      <c r="A136" s="15" t="inlineStr">
        <is>
          <t>Fundo De Investimento Em Direitos Creditorios Multisetorial Daniele Lp</t>
        </is>
      </c>
      <c r="B136" s="16" t="n">
        <v>2137604.8</v>
      </c>
      <c r="C136" s="17" t="inlineStr">
        <is>
          <t>ADVOCACIA WANDERLEI DE PAULA BARRETO</t>
        </is>
      </c>
      <c r="D136" s="18" t="inlineStr">
        <is>
          <t>NEW</t>
        </is>
      </c>
      <c r="E136" s="19" t="inlineStr"/>
      <c r="F136" s="18" t="inlineStr"/>
      <c r="G136" s="19" t="inlineStr"/>
      <c r="H136" s="18" t="inlineStr"/>
      <c r="I136" s="20" t="inlineStr"/>
      <c r="J136" s="20" t="inlineStr"/>
      <c r="K136" s="20" t="inlineStr"/>
      <c r="L136" s="20" t="inlineStr"/>
      <c r="M136" s="20" t="inlineStr"/>
      <c r="N136" s="20" t="inlineStr"/>
      <c r="O136" s="20" t="inlineStr"/>
      <c r="P136" s="20" t="inlineStr"/>
      <c r="Q136" s="20" t="inlineStr"/>
      <c r="R136" s="20" t="inlineStr"/>
      <c r="S136" s="20" t="inlineStr"/>
      <c r="T136" s="21" t="n">
        <v>2137604.8</v>
      </c>
      <c r="U136" s="22" t="inlineStr">
        <is>
          <t>B</t>
        </is>
      </c>
      <c r="V136" s="23">
        <f>IFERROR(VLOOKUP(U136,Assumptions!$A$7:$D$11,2,FALSE),0)</f>
        <v/>
      </c>
      <c r="W136" s="24">
        <f>MAX(0.5,IFERROR(VLOOKUP(U136,Assumptions!$A$7:$D$11,3,FALSE),3)+IFERROR(VLOOKUP(U136,Assumptions!$A$7:$D$11,4,FALSE),8)/2-IF(AN136="",0,YEAR(TODAY())-AN136))</f>
        <v/>
      </c>
      <c r="X136" s="21">
        <f>T136*V136/(1+Assumptions!$B$3)^W136</f>
        <v/>
      </c>
      <c r="Y136" s="25">
        <f>IF(T136=0,"",ROUND(X136/T136*100,1))</f>
        <v/>
      </c>
      <c r="Z136" s="26">
        <f>X136*Assumptions!$B$4</f>
        <v/>
      </c>
      <c r="AA136" s="25">
        <f>IF(T136=0,"",ROUND(Z136/T136*100,1))</f>
        <v/>
      </c>
      <c r="AB136" s="26">
        <f>X136-Z136</f>
        <v/>
      </c>
      <c r="AC136" s="25">
        <f>IF(T136=0,"",ROUND((X136-Z136)/T136*100,1))</f>
        <v/>
      </c>
      <c r="AD136" s="27" t="inlineStr">
        <is>
          <t>ESTIMATED</t>
        </is>
      </c>
      <c r="AE136" s="28" t="inlineStr">
        <is>
          <t>https://marquesadmjudicial.com.br/sgc/download.php?file=files/processo_documento/processo_documento17040729052024_1_.pdf&amp;nome=Relação Nominal de Credores AJ-Sintética</t>
        </is>
      </c>
      <c r="AF136" s="27" t="inlineStr">
        <is>
          <t>p11 r7</t>
        </is>
      </c>
      <c r="AG136" s="27" t="inlineStr">
        <is>
          <t>p11: R$ 2.137.604,80</t>
        </is>
      </c>
      <c r="AH136" s="27" t="inlineStr">
        <is>
          <t>AJ_LIST</t>
        </is>
      </c>
      <c r="AI136" s="27" t="inlineStr">
        <is>
          <t>2024-05-27</t>
        </is>
      </c>
      <c r="AJ136" s="27" t="inlineStr">
        <is>
          <t>QUARANTINED</t>
        </is>
      </c>
      <c r="AK136" s="29" t="inlineStr">
        <is>
          <t>0003971-03.2023.8.16.0119</t>
        </is>
      </c>
      <c r="AL136" s="29" t="inlineStr">
        <is>
          <t>TJPR</t>
        </is>
      </c>
      <c r="AM136" s="29" t="inlineStr">
        <is>
          <t>ACTIVE</t>
        </is>
      </c>
      <c r="AN136" s="29" t="n">
        <v>2023</v>
      </c>
      <c r="AO136" s="29" t="inlineStr">
        <is>
          <t>live case, no plan document yet</t>
        </is>
      </c>
      <c r="AP136" s="29" t="inlineStr"/>
      <c r="AQ136" s="29" t="inlineStr"/>
      <c r="AR136" s="29" t="inlineStr"/>
      <c r="AS136" s="29" t="inlineStr"/>
      <c r="AT136" s="29" t="inlineStr">
        <is>
          <t>MID-MARKET</t>
        </is>
      </c>
      <c r="AU136" s="29" t="inlineStr">
        <is>
          <t>09414255</t>
        </is>
      </c>
      <c r="AV136" s="29" t="n">
        <v>1</v>
      </c>
      <c r="AW136" s="29" t="inlineStr">
        <is>
          <t>LIKELY_FINANCIAL_BY_NAME PARTIAL_DOC_CLASS_III_RECONCILED ROWS:p11r7</t>
        </is>
      </c>
    </row>
    <row r="137">
      <c r="A137" s="15" t="inlineStr">
        <is>
          <t>CARGILL BIOENERGIA LTDA.</t>
        </is>
      </c>
      <c r="B137" s="16" t="n">
        <v>4173329</v>
      </c>
      <c r="C137" s="17" t="inlineStr"/>
      <c r="D137" s="18" t="inlineStr">
        <is>
          <t>NEW</t>
        </is>
      </c>
      <c r="E137" s="19" t="inlineStr"/>
      <c r="F137" s="18" t="inlineStr"/>
      <c r="G137" s="19" t="inlineStr"/>
      <c r="H137" s="18" t="inlineStr"/>
      <c r="I137" s="20" t="inlineStr">
        <is>
          <t>CARLOS RODRIGUES DA CUNHA JUNIOR</t>
        </is>
      </c>
      <c r="J137" s="20" t="inlineStr">
        <is>
          <t>Administrador</t>
        </is>
      </c>
      <c r="K137" s="20" t="inlineStr">
        <is>
          <t>(64) 9999-9415</t>
        </is>
      </c>
      <c r="L137" s="20" t="inlineStr"/>
      <c r="M137" s="20" t="inlineStr"/>
      <c r="N137" s="20" t="inlineStr"/>
      <c r="O137" s="20" t="inlineStr"/>
      <c r="P137" s="20" t="inlineStr">
        <is>
          <t>JOSE WILLAMS DA SILVA LUZ</t>
        </is>
      </c>
      <c r="Q137" s="20" t="inlineStr">
        <is>
          <t>Administrador</t>
        </is>
      </c>
      <c r="R137" s="20" t="inlineStr">
        <is>
          <t>(64) 9999-9415</t>
        </is>
      </c>
      <c r="S137" s="20" t="inlineStr"/>
      <c r="T137" s="21" t="n">
        <v>4173329</v>
      </c>
      <c r="U137" s="22" t="inlineStr">
        <is>
          <t>B</t>
        </is>
      </c>
      <c r="V137" s="23">
        <f>IFERROR(VLOOKUP(U137,Assumptions!$A$7:$D$11,2,FALSE),0)</f>
        <v/>
      </c>
      <c r="W137" s="24">
        <f>MAX(0.5,IFERROR(VLOOKUP(U137,Assumptions!$A$7:$D$11,3,FALSE),3)+IFERROR(VLOOKUP(U137,Assumptions!$A$7:$D$11,4,FALSE),8)/2-IF(AN137="",0,YEAR(TODAY())-AN137))</f>
        <v/>
      </c>
      <c r="X137" s="21">
        <f>T137*V137/(1+Assumptions!$B$3)^W137</f>
        <v/>
      </c>
      <c r="Y137" s="25">
        <f>IF(T137=0,"",ROUND(X137/T137*100,1))</f>
        <v/>
      </c>
      <c r="Z137" s="26">
        <f>X137*Assumptions!$B$4</f>
        <v/>
      </c>
      <c r="AA137" s="25">
        <f>IF(T137=0,"",ROUND(Z137/T137*100,1))</f>
        <v/>
      </c>
      <c r="AB137" s="26">
        <f>X137-Z137</f>
        <v/>
      </c>
      <c r="AC137" s="25">
        <f>IF(T137=0,"",ROUND((X137-Z137)/T137*100,1))</f>
        <v/>
      </c>
      <c r="AD137" s="27" t="inlineStr">
        <is>
          <t>ESTIMATED</t>
        </is>
      </c>
      <c r="AE137" s="28" t="inlineStr">
        <is>
          <t>https://scalzilliaj.com.br/sgc/download.php?file=files/processo_documento/processo_documento11421222052026_1_.pdf&amp;nome=08. Lista de credores do edital do art. 52, §1º da LREF</t>
        </is>
      </c>
      <c r="AF137" s="27" t="inlineStr">
        <is>
          <t>p3 r8</t>
        </is>
      </c>
      <c r="AG137" s="27" t="inlineStr">
        <is>
          <t>p3: R$ 4.173.329,00</t>
        </is>
      </c>
      <c r="AH137" s="27" t="inlineStr">
        <is>
          <t>UNKNOWN</t>
        </is>
      </c>
      <c r="AI137" s="27" t="inlineStr"/>
      <c r="AJ137" s="27" t="inlineStr">
        <is>
          <t>OK_NO_TOTALS</t>
        </is>
      </c>
      <c r="AK137" s="29" t="inlineStr">
        <is>
          <t>5011369-81.2026.8.09.0093</t>
        </is>
      </c>
      <c r="AL137" s="29" t="inlineStr">
        <is>
          <t>TJGO</t>
        </is>
      </c>
      <c r="AM137" s="29" t="inlineStr">
        <is>
          <t>ACTIVE</t>
        </is>
      </c>
      <c r="AN137" s="29" t="n">
        <v>2026</v>
      </c>
      <c r="AO137" s="29" t="inlineStr">
        <is>
          <t>live case, no plan document yet</t>
        </is>
      </c>
      <c r="AP137" s="29" t="inlineStr">
        <is>
          <t>SAO PAULO</t>
        </is>
      </c>
      <c r="AQ137" s="29" t="inlineStr">
        <is>
          <t>SP</t>
        </is>
      </c>
      <c r="AR137" s="29" t="inlineStr">
        <is>
          <t>Holdings de instituições não-financeiras</t>
        </is>
      </c>
      <c r="AS137" s="29" t="inlineStr">
        <is>
          <t>DEMAIS</t>
        </is>
      </c>
      <c r="AT137" s="29" t="inlineStr">
        <is>
          <t>LARGE CORP</t>
        </is>
      </c>
      <c r="AU137" s="29" t="inlineStr">
        <is>
          <t>10249419</t>
        </is>
      </c>
      <c r="AV137" s="29" t="n">
        <v>1</v>
      </c>
      <c r="AW137" s="29" t="inlineStr">
        <is>
          <t>ROWS:p3r8 UNRECONCILED_SOURCE</t>
        </is>
      </c>
    </row>
    <row r="138">
      <c r="A138" s="15" t="inlineStr">
        <is>
          <t>CAIXA ECONOMICA FEDERAL</t>
        </is>
      </c>
      <c r="B138" s="16" t="n">
        <v>3336220</v>
      </c>
      <c r="C138" s="17" t="inlineStr">
        <is>
          <t>ATIVOS ADMINISTRAÇÃO JUDICIA</t>
        </is>
      </c>
      <c r="D138" s="18" t="inlineStr">
        <is>
          <t>NEW</t>
        </is>
      </c>
      <c r="E138" s="19" t="inlineStr"/>
      <c r="F138" s="18" t="inlineStr"/>
      <c r="G138" s="19" t="inlineStr"/>
      <c r="H138" s="18" t="inlineStr"/>
      <c r="I138" s="20" t="inlineStr">
        <is>
          <t>ADRIANO ASSIS MATIAS</t>
        </is>
      </c>
      <c r="J138" s="20" t="inlineStr">
        <is>
          <t>Administrador</t>
        </is>
      </c>
      <c r="K138" s="20" t="inlineStr">
        <is>
          <t>(00) 4004-0104</t>
        </is>
      </c>
      <c r="L138" s="20" t="inlineStr"/>
      <c r="M138" s="20" t="inlineStr"/>
      <c r="N138" s="20" t="inlineStr"/>
      <c r="O138" s="20" t="inlineStr"/>
      <c r="P138" s="20" t="inlineStr">
        <is>
          <t>HENRIETE ALEXANDRA SARTORI BERNABE</t>
        </is>
      </c>
      <c r="Q138" s="20" t="inlineStr">
        <is>
          <t>Administrador</t>
        </is>
      </c>
      <c r="R138" s="20" t="inlineStr">
        <is>
          <t>(00) 4004-0104</t>
        </is>
      </c>
      <c r="S138" s="20" t="inlineStr"/>
      <c r="T138" s="21" t="n">
        <v>3336220</v>
      </c>
      <c r="U138" s="22" t="inlineStr">
        <is>
          <t>B</t>
        </is>
      </c>
      <c r="V138" s="23">
        <f>IFERROR(VLOOKUP(U138,Assumptions!$A$7:$D$11,2,FALSE),0)</f>
        <v/>
      </c>
      <c r="W138" s="24">
        <f>MAX(0.5,IFERROR(VLOOKUP(U138,Assumptions!$A$7:$D$11,3,FALSE),3)+IFERROR(VLOOKUP(U138,Assumptions!$A$7:$D$11,4,FALSE),8)/2-IF(AN138="",0,YEAR(TODAY())-AN138))</f>
        <v/>
      </c>
      <c r="X138" s="21">
        <f>T138*V138/(1+Assumptions!$B$3)^W138</f>
        <v/>
      </c>
      <c r="Y138" s="25">
        <f>IF(T138=0,"",ROUND(X138/T138*100,1))</f>
        <v/>
      </c>
      <c r="Z138" s="26">
        <f>X138*Assumptions!$B$4</f>
        <v/>
      </c>
      <c r="AA138" s="25">
        <f>IF(T138=0,"",ROUND(Z138/T138*100,1))</f>
        <v/>
      </c>
      <c r="AB138" s="26">
        <f>X138-Z138</f>
        <v/>
      </c>
      <c r="AC138" s="25">
        <f>IF(T138=0,"",ROUND((X138-Z138)/T138*100,1))</f>
        <v/>
      </c>
      <c r="AD138" s="27" t="inlineStr">
        <is>
          <t>ESTIMATED</t>
        </is>
      </c>
      <c r="AE138" s="28" t="inlineStr">
        <is>
          <t>https://ativosajce.com.br/admin/download.php?file=files/processo_documento/processo_documento13422625032025_1_.pdf&amp;nome=Relação de Credores - Art. 52º § 1º, da Lei nº 11.101/2005 - 25/02/2025</t>
        </is>
      </c>
      <c r="AF138" s="27" t="inlineStr">
        <is>
          <t>p3 r32</t>
        </is>
      </c>
      <c r="AG138" s="27" t="inlineStr">
        <is>
          <t>p3: R$ 3.336.220,00</t>
        </is>
      </c>
      <c r="AH138" s="27" t="inlineStr">
        <is>
          <t>UNKNOWN</t>
        </is>
      </c>
      <c r="AI138" s="27" t="inlineStr">
        <is>
          <t>2025-02-28</t>
        </is>
      </c>
      <c r="AJ138" s="27" t="inlineStr">
        <is>
          <t>OK_NO_TOTALS</t>
        </is>
      </c>
      <c r="AK138" s="29" t="inlineStr">
        <is>
          <t>1000119-75.2025.8.26.0354</t>
        </is>
      </c>
      <c r="AL138" s="29" t="inlineStr">
        <is>
          <t>TJSP</t>
        </is>
      </c>
      <c r="AM138" s="29" t="inlineStr">
        <is>
          <t>ACTIVE</t>
        </is>
      </c>
      <c r="AN138" s="29" t="n">
        <v>2025</v>
      </c>
      <c r="AO138" s="29" t="inlineStr">
        <is>
          <t>live case, no plan document yet</t>
        </is>
      </c>
      <c r="AP138" s="29" t="inlineStr">
        <is>
          <t>BRASILIA</t>
        </is>
      </c>
      <c r="AQ138" s="29" t="inlineStr">
        <is>
          <t>DF</t>
        </is>
      </c>
      <c r="AR138" s="29" t="inlineStr">
        <is>
          <t>Caixas econômicas</t>
        </is>
      </c>
      <c r="AS138" s="29" t="inlineStr">
        <is>
          <t>DEMAIS</t>
        </is>
      </c>
      <c r="AT138" s="29" t="inlineStr">
        <is>
          <t>LARGE CORP</t>
        </is>
      </c>
      <c r="AU138" s="29" t="inlineStr">
        <is>
          <t>00360305</t>
        </is>
      </c>
      <c r="AV138" s="29" t="n">
        <v>1</v>
      </c>
      <c r="AW138" s="29" t="inlineStr">
        <is>
          <t>LIKELY_FINANCIAL_BY_NAME ROWS:p3r32 UNRECONCILED_SOURCE</t>
        </is>
      </c>
    </row>
    <row r="139">
      <c r="A139" s="15" t="inlineStr">
        <is>
          <t>BANCO SANTANDER (BRASIL) S.A.</t>
        </is>
      </c>
      <c r="B139" s="16" t="n">
        <v>2126885.97</v>
      </c>
      <c r="C139" s="17" t="inlineStr"/>
      <c r="D139" s="18" t="inlineStr">
        <is>
          <t>NEW</t>
        </is>
      </c>
      <c r="E139" s="19" t="inlineStr"/>
      <c r="F139" s="18" t="inlineStr"/>
      <c r="G139" s="19" t="inlineStr"/>
      <c r="H139" s="18" t="inlineStr"/>
      <c r="I139" s="20" t="inlineStr">
        <is>
          <t>GILSON FINKELSZTAIN</t>
        </is>
      </c>
      <c r="J139" s="20" t="inlineStr">
        <is>
          <t>Presidente</t>
        </is>
      </c>
      <c r="K139" s="20" t="inlineStr">
        <is>
          <t>(11) 4004-3535</t>
        </is>
      </c>
      <c r="L139" s="20" t="inlineStr"/>
      <c r="M139" s="20" t="inlineStr"/>
      <c r="N139" s="20" t="inlineStr"/>
      <c r="O139" s="20" t="inlineStr"/>
      <c r="P139" s="20" t="inlineStr">
        <is>
          <t>ALESSANDRO CHAGAS FARIAS</t>
        </is>
      </c>
      <c r="Q139" s="20" t="inlineStr">
        <is>
          <t>Diretor</t>
        </is>
      </c>
      <c r="R139" s="20" t="inlineStr">
        <is>
          <t>(11) 4004-3535</t>
        </is>
      </c>
      <c r="S139" s="20" t="inlineStr"/>
      <c r="T139" s="21" t="n">
        <v>2126885.97</v>
      </c>
      <c r="U139" s="22" t="inlineStr">
        <is>
          <t>B</t>
        </is>
      </c>
      <c r="V139" s="23">
        <f>IFERROR(VLOOKUP(U139,Assumptions!$A$7:$D$11,2,FALSE),0)</f>
        <v/>
      </c>
      <c r="W139" s="24">
        <f>MAX(0.5,IFERROR(VLOOKUP(U139,Assumptions!$A$7:$D$11,3,FALSE),3)+IFERROR(VLOOKUP(U139,Assumptions!$A$7:$D$11,4,FALSE),8)/2-IF(AN139="",0,YEAR(TODAY())-AN139))</f>
        <v/>
      </c>
      <c r="X139" s="21">
        <f>T139*V139/(1+Assumptions!$B$3)^W139</f>
        <v/>
      </c>
      <c r="Y139" s="25">
        <f>IF(T139=0,"",ROUND(X139/T139*100,1))</f>
        <v/>
      </c>
      <c r="Z139" s="26">
        <f>X139*Assumptions!$B$4</f>
        <v/>
      </c>
      <c r="AA139" s="25">
        <f>IF(T139=0,"",ROUND(Z139/T139*100,1))</f>
        <v/>
      </c>
      <c r="AB139" s="26">
        <f>X139-Z139</f>
        <v/>
      </c>
      <c r="AC139" s="25">
        <f>IF(T139=0,"",ROUND((X139-Z139)/T139*100,1))</f>
        <v/>
      </c>
      <c r="AD139" s="27" t="inlineStr">
        <is>
          <t>UNKNOWN</t>
        </is>
      </c>
      <c r="AE139" s="28" t="inlineStr">
        <is>
          <t>https://bbsadvogados.com.br/wp-content/uploads/2025/04/Equipseg-Edital-Relacao-de-Credores-da-Administradora-Judicial-art.-7o2o-da-LRF.pdf</t>
        </is>
      </c>
      <c r="AF139" s="27" t="inlineStr">
        <is>
          <t>p38 r8</t>
        </is>
      </c>
      <c r="AG139" s="27" t="inlineStr">
        <is>
          <t>p38: R$ 2.126.885,97</t>
        </is>
      </c>
      <c r="AH139" s="27" t="inlineStr">
        <is>
          <t>AJ_LIST</t>
        </is>
      </c>
      <c r="AI139" s="27" t="inlineStr">
        <is>
          <t>2025-04-08</t>
        </is>
      </c>
      <c r="AJ139" s="27" t="inlineStr">
        <is>
          <t>OK_NO_TOTALS</t>
        </is>
      </c>
      <c r="AK139" s="29" t="inlineStr">
        <is>
          <t>0033736-15.2023.8.16.0185</t>
        </is>
      </c>
      <c r="AL139" s="29" t="inlineStr">
        <is>
          <t>TJ</t>
        </is>
      </c>
      <c r="AM139" s="29" t="inlineStr"/>
      <c r="AN139" s="29" t="n">
        <v>2023</v>
      </c>
      <c r="AO139" s="29" t="inlineStr">
        <is>
          <t>live case, no plan document yet</t>
        </is>
      </c>
      <c r="AP139" s="29" t="inlineStr">
        <is>
          <t>SAO PAULO</t>
        </is>
      </c>
      <c r="AQ139" s="29" t="inlineStr">
        <is>
          <t>SP</t>
        </is>
      </c>
      <c r="AR139" s="29" t="inlineStr">
        <is>
          <t>Bancos múltiplos, com carteira comercial</t>
        </is>
      </c>
      <c r="AS139" s="29" t="inlineStr">
        <is>
          <t>DEMAIS</t>
        </is>
      </c>
      <c r="AT139" s="29" t="inlineStr">
        <is>
          <t>LARGE CORP</t>
        </is>
      </c>
      <c r="AU139" s="29" t="inlineStr">
        <is>
          <t>90400888</t>
        </is>
      </c>
      <c r="AV139" s="29" t="n">
        <v>1</v>
      </c>
      <c r="AW139" s="29" t="inlineStr">
        <is>
          <t>LIKELY_FINANCIAL_BY_NAME ROWS:p38r8 UNRECONCILED_SOURCE</t>
        </is>
      </c>
    </row>
    <row r="140">
      <c r="A140" s="15" t="inlineStr">
        <is>
          <t>BANCO SAFRA S A</t>
        </is>
      </c>
      <c r="B140" s="16" t="n">
        <v>2110421.08</v>
      </c>
      <c r="C140" s="17" t="inlineStr">
        <is>
          <t>civilmente LTDA</t>
        </is>
      </c>
      <c r="D140" s="18" t="inlineStr">
        <is>
          <t>NEW</t>
        </is>
      </c>
      <c r="E140" s="19" t="inlineStr"/>
      <c r="F140" s="18" t="inlineStr"/>
      <c r="G140" s="19" t="inlineStr"/>
      <c r="H140" s="18" t="inlineStr"/>
      <c r="I140" s="20" t="inlineStr">
        <is>
          <t>RAFAEL BORDALO QUINTAS</t>
        </is>
      </c>
      <c r="J140" s="20" t="inlineStr">
        <is>
          <t>Administrador</t>
        </is>
      </c>
      <c r="K140" s="20" t="inlineStr">
        <is>
          <t>(11) 3175-7575</t>
        </is>
      </c>
      <c r="L140" s="20" t="inlineStr"/>
      <c r="M140" s="20" t="inlineStr"/>
      <c r="N140" s="20" t="inlineStr"/>
      <c r="O140" s="20" t="inlineStr"/>
      <c r="P140" s="20" t="inlineStr">
        <is>
          <t>ADRIANO MACIEL PEDROTI</t>
        </is>
      </c>
      <c r="Q140" s="20" t="inlineStr">
        <is>
          <t>Diretor</t>
        </is>
      </c>
      <c r="R140" s="20" t="inlineStr">
        <is>
          <t>(11) 3175-7575</t>
        </is>
      </c>
      <c r="S140" s="20" t="inlineStr"/>
      <c r="T140" s="21" t="n">
        <v>2110421.08</v>
      </c>
      <c r="U140" s="22" t="inlineStr">
        <is>
          <t>B</t>
        </is>
      </c>
      <c r="V140" s="23">
        <f>IFERROR(VLOOKUP(U140,Assumptions!$A$7:$D$11,2,FALSE),0)</f>
        <v/>
      </c>
      <c r="W140" s="24">
        <f>MAX(0.5,IFERROR(VLOOKUP(U140,Assumptions!$A$7:$D$11,3,FALSE),3)+IFERROR(VLOOKUP(U140,Assumptions!$A$7:$D$11,4,FALSE),8)/2-IF(AN140="",0,YEAR(TODAY())-AN140))</f>
        <v/>
      </c>
      <c r="X140" s="21">
        <f>T140*V140/(1+Assumptions!$B$3)^W140</f>
        <v/>
      </c>
      <c r="Y140" s="25">
        <f>IF(T140=0,"",ROUND(X140/T140*100,1))</f>
        <v/>
      </c>
      <c r="Z140" s="26">
        <f>X140*Assumptions!$B$4</f>
        <v/>
      </c>
      <c r="AA140" s="25">
        <f>IF(T140=0,"",ROUND(Z140/T140*100,1))</f>
        <v/>
      </c>
      <c r="AB140" s="26">
        <f>X140-Z140</f>
        <v/>
      </c>
      <c r="AC140" s="25">
        <f>IF(T140=0,"",ROUND((X140-Z140)/T140*100,1))</f>
        <v/>
      </c>
      <c r="AD140" s="27" t="inlineStr">
        <is>
          <t>ESTIMATED</t>
        </is>
      </c>
      <c r="AE140" s="28" t="inlineStr">
        <is>
          <t>http://recuperacaojudicial.squarespace.com/s/LISTA-DE-CREDORES-CONSOLIDADA-ATE-04102024.pdf</t>
        </is>
      </c>
      <c r="AF140" s="27" t="inlineStr">
        <is>
          <t>p6 r6</t>
        </is>
      </c>
      <c r="AG140" s="27" t="inlineStr">
        <is>
          <t>p6: R$ 2.110.421,08</t>
        </is>
      </c>
      <c r="AH140" s="27" t="inlineStr">
        <is>
          <t>AJ_LIST</t>
        </is>
      </c>
      <c r="AI140" s="27" t="inlineStr">
        <is>
          <t>2024-10-04</t>
        </is>
      </c>
      <c r="AJ140" s="27" t="inlineStr">
        <is>
          <t>OK</t>
        </is>
      </c>
      <c r="AK140" s="29" t="inlineStr">
        <is>
          <t>0800778-16.2023.8.20.5104</t>
        </is>
      </c>
      <c r="AL140" s="29" t="inlineStr">
        <is>
          <t>TJRN</t>
        </is>
      </c>
      <c r="AM140" s="29" t="inlineStr">
        <is>
          <t>ACTIVE</t>
        </is>
      </c>
      <c r="AN140" s="29" t="n">
        <v>2023</v>
      </c>
      <c r="AO140" s="29" t="inlineStr">
        <is>
          <t>live case, no plan document yet</t>
        </is>
      </c>
      <c r="AP140" s="29" t="inlineStr">
        <is>
          <t>SAO PAULO</t>
        </is>
      </c>
      <c r="AQ140" s="29" t="inlineStr">
        <is>
          <t>SP</t>
        </is>
      </c>
      <c r="AR140" s="29" t="inlineStr">
        <is>
          <t>Bancos múltiplos, com carteira comercial</t>
        </is>
      </c>
      <c r="AS140" s="29" t="inlineStr">
        <is>
          <t>DEMAIS</t>
        </is>
      </c>
      <c r="AT140" s="29" t="inlineStr">
        <is>
          <t>LARGE CORP</t>
        </is>
      </c>
      <c r="AU140" s="29" t="inlineStr">
        <is>
          <t>58160789</t>
        </is>
      </c>
      <c r="AV140" s="29" t="n">
        <v>1</v>
      </c>
      <c r="AW140" s="29" t="inlineStr">
        <is>
          <t>LIKELY_FINANCIAL_BY_NAME ROWS:p6r6 VALUE_COL:Valor_Do_Crédito</t>
        </is>
      </c>
    </row>
    <row r="141">
      <c r="A141" s="15" t="inlineStr">
        <is>
          <t>BANCO INDUSTRIAL DO BRASIL S/A</t>
        </is>
      </c>
      <c r="B141" s="16" t="n">
        <v>2056998.2</v>
      </c>
      <c r="C141" s="17" t="inlineStr">
        <is>
          <t>Conduscabos Brasil Indústria Comércio de</t>
        </is>
      </c>
      <c r="D141" s="18" t="inlineStr">
        <is>
          <t>NEW</t>
        </is>
      </c>
      <c r="E141" s="19" t="inlineStr"/>
      <c r="F141" s="18" t="inlineStr"/>
      <c r="G141" s="19" t="inlineStr"/>
      <c r="H141" s="18" t="inlineStr"/>
      <c r="I141" s="20" t="inlineStr"/>
      <c r="J141" s="20" t="inlineStr"/>
      <c r="K141" s="20" t="inlineStr"/>
      <c r="L141" s="20" t="inlineStr"/>
      <c r="M141" s="20" t="inlineStr"/>
      <c r="N141" s="20" t="inlineStr"/>
      <c r="O141" s="20" t="inlineStr"/>
      <c r="P141" s="20" t="inlineStr"/>
      <c r="Q141" s="20" t="inlineStr"/>
      <c r="R141" s="20" t="inlineStr"/>
      <c r="S141" s="20" t="inlineStr"/>
      <c r="T141" s="21" t="n">
        <v>2056998.2</v>
      </c>
      <c r="U141" s="22" t="inlineStr">
        <is>
          <t>B</t>
        </is>
      </c>
      <c r="V141" s="23">
        <f>IFERROR(VLOOKUP(U141,Assumptions!$A$7:$D$11,2,FALSE),0)</f>
        <v/>
      </c>
      <c r="W141" s="24">
        <f>MAX(0.5,IFERROR(VLOOKUP(U141,Assumptions!$A$7:$D$11,3,FALSE),3)+IFERROR(VLOOKUP(U141,Assumptions!$A$7:$D$11,4,FALSE),8)/2-IF(AN141="",0,YEAR(TODAY())-AN141))</f>
        <v/>
      </c>
      <c r="X141" s="21">
        <f>T141*V141/(1+Assumptions!$B$3)^W141</f>
        <v/>
      </c>
      <c r="Y141" s="25">
        <f>IF(T141=0,"",ROUND(X141/T141*100,1))</f>
        <v/>
      </c>
      <c r="Z141" s="26">
        <f>X141*Assumptions!$B$4</f>
        <v/>
      </c>
      <c r="AA141" s="25">
        <f>IF(T141=0,"",ROUND(Z141/T141*100,1))</f>
        <v/>
      </c>
      <c r="AB141" s="26">
        <f>X141-Z141</f>
        <v/>
      </c>
      <c r="AC141" s="25">
        <f>IF(T141=0,"",ROUND((X141-Z141)/T141*100,1))</f>
        <v/>
      </c>
      <c r="AD141" s="27" t="inlineStr">
        <is>
          <t>ESTIMATED</t>
        </is>
      </c>
      <c r="AE141" s="28" t="inlineStr">
        <is>
          <t>https://assistjud.com.br/wp-content/uploads/elementor/forms/65098c80a5824.pdf</t>
        </is>
      </c>
      <c r="AF141" s="27" t="inlineStr">
        <is>
          <t>p5 r11; p17 r5</t>
        </is>
      </c>
      <c r="AG141" s="27" t="inlineStr">
        <is>
          <t>p5: R$ 1.047.741,53; p17: R$ 1.009.256,67</t>
        </is>
      </c>
      <c r="AH141" s="27" t="inlineStr">
        <is>
          <t>AJ_LIST</t>
        </is>
      </c>
      <c r="AI141" s="27" t="inlineStr">
        <is>
          <t>2023-09-18</t>
        </is>
      </c>
      <c r="AJ141" s="27" t="inlineStr">
        <is>
          <t>OK_NO_TOTALS</t>
        </is>
      </c>
      <c r="AK141" s="29" t="inlineStr">
        <is>
          <t>8005129-09.2023.8.05.0039</t>
        </is>
      </c>
      <c r="AL141" s="29" t="inlineStr">
        <is>
          <t>TJBA</t>
        </is>
      </c>
      <c r="AM141" s="29" t="inlineStr">
        <is>
          <t>ACTIVE</t>
        </is>
      </c>
      <c r="AN141" s="29" t="n">
        <v>2023</v>
      </c>
      <c r="AO141" s="29" t="inlineStr">
        <is>
          <t>live case, no plan document yet</t>
        </is>
      </c>
      <c r="AP141" s="29" t="inlineStr"/>
      <c r="AQ141" s="29" t="inlineStr"/>
      <c r="AR141" s="29" t="inlineStr"/>
      <c r="AS141" s="29" t="inlineStr"/>
      <c r="AT141" s="29" t="inlineStr">
        <is>
          <t>MID-MARKET</t>
        </is>
      </c>
      <c r="AU141" s="29" t="inlineStr">
        <is>
          <t>31895683</t>
        </is>
      </c>
      <c r="AV141" s="29" t="n">
        <v>2</v>
      </c>
      <c r="AW141" s="29" t="inlineStr">
        <is>
          <t>LIKELY_FINANCIAL_BY_NAME ROWS:p5r11,p17r5 UNRECONCILED_SOURCE VALUE_COL:Valor_Do_Crédito_2º_Edital_De_Credores</t>
        </is>
      </c>
    </row>
    <row r="142">
      <c r="A142" s="15" t="inlineStr">
        <is>
          <t>ITAU UNIBANCO S.A.</t>
        </is>
      </c>
      <c r="B142" s="16" t="n">
        <v>3183929.48</v>
      </c>
      <c r="C142" s="17" t="inlineStr">
        <is>
          <t>Cerealista Sa</t>
        </is>
      </c>
      <c r="D142" s="18" t="inlineStr">
        <is>
          <t>NEW</t>
        </is>
      </c>
      <c r="E142" s="19" t="inlineStr"/>
      <c r="F142" s="18" t="inlineStr"/>
      <c r="G142" s="19" t="inlineStr"/>
      <c r="H142" s="18" t="inlineStr"/>
      <c r="I142" s="20" t="inlineStr">
        <is>
          <t>FELIPE SAMPAIO NABUCO</t>
        </is>
      </c>
      <c r="J142" s="20" t="inlineStr">
        <is>
          <t>Administrador</t>
        </is>
      </c>
      <c r="K142" s="20" t="inlineStr">
        <is>
          <t>(11) 3003-4828</t>
        </is>
      </c>
      <c r="L142" s="20" t="inlineStr"/>
      <c r="M142" s="20" t="inlineStr"/>
      <c r="N142" s="20" t="inlineStr"/>
      <c r="O142" s="20" t="inlineStr"/>
      <c r="P142" s="20" t="inlineStr">
        <is>
          <t>MILTON MALUHY FILHO</t>
        </is>
      </c>
      <c r="Q142" s="20" t="inlineStr">
        <is>
          <t>Presidente</t>
        </is>
      </c>
      <c r="R142" s="20" t="inlineStr">
        <is>
          <t>(11) 3003-4828</t>
        </is>
      </c>
      <c r="S142" s="20" t="inlineStr"/>
      <c r="T142" s="21" t="n">
        <v>3183929.48</v>
      </c>
      <c r="U142" s="22" t="inlineStr">
        <is>
          <t>B</t>
        </is>
      </c>
      <c r="V142" s="23">
        <f>IFERROR(VLOOKUP(U142,Assumptions!$A$7:$D$11,2,FALSE),0)</f>
        <v/>
      </c>
      <c r="W142" s="24">
        <f>MAX(0.5,IFERROR(VLOOKUP(U142,Assumptions!$A$7:$D$11,3,FALSE),3)+IFERROR(VLOOKUP(U142,Assumptions!$A$7:$D$11,4,FALSE),8)/2-IF(AN142="",0,YEAR(TODAY())-AN142))</f>
        <v/>
      </c>
      <c r="X142" s="21">
        <f>T142*V142/(1+Assumptions!$B$3)^W142</f>
        <v/>
      </c>
      <c r="Y142" s="25">
        <f>IF(T142=0,"",ROUND(X142/T142*100,1))</f>
        <v/>
      </c>
      <c r="Z142" s="26">
        <f>X142*Assumptions!$B$4</f>
        <v/>
      </c>
      <c r="AA142" s="25">
        <f>IF(T142=0,"",ROUND(Z142/T142*100,1))</f>
        <v/>
      </c>
      <c r="AB142" s="26">
        <f>X142-Z142</f>
        <v/>
      </c>
      <c r="AC142" s="25">
        <f>IF(T142=0,"",ROUND((X142-Z142)/T142*100,1))</f>
        <v/>
      </c>
      <c r="AD142" s="27" t="inlineStr">
        <is>
          <t>ESTIMATED</t>
        </is>
      </c>
      <c r="AE142" s="28" t="inlineStr">
        <is>
          <t>https://ajruiz.com.br/sites/default/files/public/arquivos-processos/2026-01/safrasul_relacao_de_credores_recuperanda.pdf</t>
        </is>
      </c>
      <c r="AF142" s="27" t="inlineStr">
        <is>
          <t>p8 r21; p8 r22; p8 r23; p8 r24</t>
        </is>
      </c>
      <c r="AG142" s="27" t="inlineStr">
        <is>
          <t>p8: R$ 500.000,00; p8: R$ 2.322.330,48; p8: R$ 100.000,00; p8: R$ 261.599,00</t>
        </is>
      </c>
      <c r="AH142" s="27" t="inlineStr">
        <is>
          <t>AJ_LIST</t>
        </is>
      </c>
      <c r="AI142" s="27" t="inlineStr">
        <is>
          <t>2026-01-14</t>
        </is>
      </c>
      <c r="AJ142" s="27" t="inlineStr">
        <is>
          <t>OK_NO_TOTALS</t>
        </is>
      </c>
      <c r="AK142" s="29" t="inlineStr">
        <is>
          <t>4000167-23.2025.8.26.0373</t>
        </is>
      </c>
      <c r="AL142" s="29" t="inlineStr">
        <is>
          <t>TJSP</t>
        </is>
      </c>
      <c r="AM142" s="29" t="inlineStr">
        <is>
          <t>ACTIVE</t>
        </is>
      </c>
      <c r="AN142" s="29" t="n">
        <v>2025</v>
      </c>
      <c r="AO142" s="29" t="inlineStr">
        <is>
          <t>live case, no plan document yet</t>
        </is>
      </c>
      <c r="AP142" s="29" t="inlineStr">
        <is>
          <t>SAO PAULO</t>
        </is>
      </c>
      <c r="AQ142" s="29" t="inlineStr">
        <is>
          <t>SP</t>
        </is>
      </c>
      <c r="AR142" s="29" t="inlineStr">
        <is>
          <t>Bancos comerciais</t>
        </is>
      </c>
      <c r="AS142" s="29" t="inlineStr">
        <is>
          <t>DEMAIS</t>
        </is>
      </c>
      <c r="AT142" s="29" t="inlineStr">
        <is>
          <t>LARGE CORP</t>
        </is>
      </c>
      <c r="AU142" s="29" t="inlineStr">
        <is>
          <t>60701190</t>
        </is>
      </c>
      <c r="AV142" s="29" t="n">
        <v>4</v>
      </c>
      <c r="AW142" s="29" t="inlineStr">
        <is>
          <t>LIKELY_FINANCIAL_BY_NAME ROWS:p8r21,p8r22,p8r23,p8r24 UNRECONCILED_SOURCE</t>
        </is>
      </c>
    </row>
    <row r="143">
      <c r="A143" s="15" t="inlineStr">
        <is>
          <t>2.1 SICOOB TRANSCREDI</t>
        </is>
      </c>
      <c r="B143" s="16" t="n">
        <v>2542689.55</v>
      </c>
      <c r="C143" s="17" t="inlineStr"/>
      <c r="D143" s="18" t="inlineStr">
        <is>
          <t>NEW</t>
        </is>
      </c>
      <c r="E143" s="19" t="inlineStr"/>
      <c r="F143" s="18" t="inlineStr"/>
      <c r="G143" s="19" t="inlineStr"/>
      <c r="H143" s="18" t="inlineStr"/>
      <c r="I143" s="20" t="inlineStr"/>
      <c r="J143" s="20" t="inlineStr"/>
      <c r="K143" s="20" t="inlineStr"/>
      <c r="L143" s="20" t="inlineStr"/>
      <c r="M143" s="20" t="inlineStr"/>
      <c r="N143" s="20" t="inlineStr"/>
      <c r="O143" s="20" t="inlineStr"/>
      <c r="P143" s="20" t="inlineStr"/>
      <c r="Q143" s="20" t="inlineStr"/>
      <c r="R143" s="20" t="inlineStr"/>
      <c r="S143" s="20" t="inlineStr"/>
      <c r="T143" s="21" t="n">
        <v>2542689.55</v>
      </c>
      <c r="U143" s="22" t="inlineStr">
        <is>
          <t>B</t>
        </is>
      </c>
      <c r="V143" s="23">
        <f>IFERROR(VLOOKUP(U143,Assumptions!$A$7:$D$11,2,FALSE),0)</f>
        <v/>
      </c>
      <c r="W143" s="24">
        <f>MAX(0.5,IFERROR(VLOOKUP(U143,Assumptions!$A$7:$D$11,3,FALSE),3)+IFERROR(VLOOKUP(U143,Assumptions!$A$7:$D$11,4,FALSE),8)/2-IF(AN143="",0,YEAR(TODAY())-AN143))</f>
        <v/>
      </c>
      <c r="X143" s="21">
        <f>T143*V143/(1+Assumptions!$B$3)^W143</f>
        <v/>
      </c>
      <c r="Y143" s="25">
        <f>IF(T143=0,"",ROUND(X143/T143*100,1))</f>
        <v/>
      </c>
      <c r="Z143" s="26">
        <f>X143*Assumptions!$B$4</f>
        <v/>
      </c>
      <c r="AA143" s="25">
        <f>IF(T143=0,"",ROUND(Z143/T143*100,1))</f>
        <v/>
      </c>
      <c r="AB143" s="26">
        <f>X143-Z143</f>
        <v/>
      </c>
      <c r="AC143" s="25">
        <f>IF(T143=0,"",ROUND((X143-Z143)/T143*100,1))</f>
        <v/>
      </c>
      <c r="AD143" s="27" t="inlineStr">
        <is>
          <t>ESTIMATED</t>
        </is>
      </c>
      <c r="AE143" s="28" t="inlineStr">
        <is>
          <t>https://rlg-aj.com.br/wp-content/uploads/2024/11/07.-Relação-de-credores.pdf</t>
        </is>
      </c>
      <c r="AF143" s="27" t="inlineStr">
        <is>
          <t>p1 r7; p1 r8; p1 r9; p1 r10; p1 r11; p1 r12</t>
        </is>
      </c>
      <c r="AG143" s="27" t="inlineStr">
        <is>
          <t>p1: R$ 1.926.007,07; p1: R$ 272.765,83; p1: R$ 68.170,82; p1: R$ 76.302,83; p1: R$ 96.085,17; p1: R$ 103.357,83</t>
        </is>
      </c>
      <c r="AH143" s="27" t="inlineStr">
        <is>
          <t>UNKNOWN</t>
        </is>
      </c>
      <c r="AI143" s="27" t="inlineStr"/>
      <c r="AJ143" s="27" t="inlineStr">
        <is>
          <t>OK_NO_TOTALS</t>
        </is>
      </c>
      <c r="AK143" s="29" t="inlineStr">
        <is>
          <t>5009149-92.2024.8.24.0019</t>
        </is>
      </c>
      <c r="AL143" s="29" t="inlineStr">
        <is>
          <t>TJSC</t>
        </is>
      </c>
      <c r="AM143" s="29" t="inlineStr">
        <is>
          <t>ACTIVE</t>
        </is>
      </c>
      <c r="AN143" s="29" t="n">
        <v>2024</v>
      </c>
      <c r="AO143" s="29" t="inlineStr">
        <is>
          <t>live case, no plan document yet</t>
        </is>
      </c>
      <c r="AP143" s="29" t="inlineStr"/>
      <c r="AQ143" s="29" t="inlineStr"/>
      <c r="AR143" s="29" t="inlineStr"/>
      <c r="AS143" s="29" t="inlineStr"/>
      <c r="AT143" s="29" t="inlineStr">
        <is>
          <t>MID-MARKET</t>
        </is>
      </c>
      <c r="AU143" s="29" t="inlineStr">
        <is>
          <t>04247370</t>
        </is>
      </c>
      <c r="AV143" s="29" t="n">
        <v>6</v>
      </c>
      <c r="AW143" s="29" t="inlineStr">
        <is>
          <t>LIKELY_FINANCIAL_BY_NAME ROWS:p1r7,p1r8,p1r9,p1r10,p1r11,p1r12 UNRECONCILED_SOURCE</t>
        </is>
      </c>
    </row>
    <row r="144">
      <c r="A144" s="15" t="inlineStr">
        <is>
          <t>BANCO DO BRASIL SA</t>
        </is>
      </c>
      <c r="B144" s="16" t="n">
        <v>2023755.17</v>
      </c>
      <c r="C144" s="17" t="inlineStr">
        <is>
          <t>VEV COMERCIO DE MEDICAMENTOS LTDA EM RECUPERACAO JUDICIAL</t>
        </is>
      </c>
      <c r="D144" s="18" t="inlineStr">
        <is>
          <t>NEW</t>
        </is>
      </c>
      <c r="E144" s="19" t="inlineStr"/>
      <c r="F144" s="18" t="inlineStr"/>
      <c r="G144" s="19" t="inlineStr"/>
      <c r="H144" s="18" t="inlineStr"/>
      <c r="I144" s="20" t="inlineStr">
        <is>
          <t>TARCIANA PAULA GOMES MEDEIROS</t>
        </is>
      </c>
      <c r="J144" s="20" t="inlineStr">
        <is>
          <t>Presidente</t>
        </is>
      </c>
      <c r="K144" s="20" t="inlineStr">
        <is>
          <t>(61) 3493-9002</t>
        </is>
      </c>
      <c r="L144" s="20" t="inlineStr"/>
      <c r="M144" s="20" t="inlineStr"/>
      <c r="N144" s="20" t="inlineStr"/>
      <c r="O144" s="20" t="inlineStr"/>
      <c r="P144" s="20" t="inlineStr">
        <is>
          <t>ALAN CARLOS GUEDES DE OLIVEIRA</t>
        </is>
      </c>
      <c r="Q144" s="20" t="inlineStr">
        <is>
          <t>Diretor</t>
        </is>
      </c>
      <c r="R144" s="20" t="inlineStr">
        <is>
          <t>(61) 3493-9002</t>
        </is>
      </c>
      <c r="S144" s="20" t="inlineStr"/>
      <c r="T144" s="21" t="n">
        <v>2023755.17</v>
      </c>
      <c r="U144" s="22" t="inlineStr">
        <is>
          <t>B</t>
        </is>
      </c>
      <c r="V144" s="23">
        <f>IFERROR(VLOOKUP(U144,Assumptions!$A$7:$D$11,2,FALSE),0)</f>
        <v/>
      </c>
      <c r="W144" s="24">
        <f>MAX(0.5,IFERROR(VLOOKUP(U144,Assumptions!$A$7:$D$11,3,FALSE),3)+IFERROR(VLOOKUP(U144,Assumptions!$A$7:$D$11,4,FALSE),8)/2-IF(AN144="",0,YEAR(TODAY())-AN144))</f>
        <v/>
      </c>
      <c r="X144" s="21">
        <f>T144*V144/(1+Assumptions!$B$3)^W144</f>
        <v/>
      </c>
      <c r="Y144" s="25">
        <f>IF(T144=0,"",ROUND(X144/T144*100,1))</f>
        <v/>
      </c>
      <c r="Z144" s="26">
        <f>X144*Assumptions!$B$4</f>
        <v/>
      </c>
      <c r="AA144" s="25">
        <f>IF(T144=0,"",ROUND(Z144/T144*100,1))</f>
        <v/>
      </c>
      <c r="AB144" s="26">
        <f>X144-Z144</f>
        <v/>
      </c>
      <c r="AC144" s="25">
        <f>IF(T144=0,"",ROUND((X144-Z144)/T144*100,1))</f>
        <v/>
      </c>
      <c r="AD144" s="27" t="inlineStr">
        <is>
          <t>ESTIMATED</t>
        </is>
      </c>
      <c r="AE144" s="28" t="inlineStr">
        <is>
          <t>https://marquesadmjudicial.com.br/sgc/download.php?file=files/processo_documento/processo_documento15293208032024_1_.pdf&amp;nome=Relação Nominal de Credores da AJ-Sintética</t>
        </is>
      </c>
      <c r="AF144" s="27" t="inlineStr">
        <is>
          <t>p20 r10</t>
        </is>
      </c>
      <c r="AG144" s="27" t="inlineStr">
        <is>
          <t>p20: R$ 2.023.755,17</t>
        </is>
      </c>
      <c r="AH144" s="27" t="inlineStr">
        <is>
          <t>AJ_LIST</t>
        </is>
      </c>
      <c r="AI144" s="27" t="inlineStr">
        <is>
          <t>2023-03-02</t>
        </is>
      </c>
      <c r="AJ144" s="27" t="inlineStr">
        <is>
          <t>QUARANTINED</t>
        </is>
      </c>
      <c r="AK144" s="29" t="inlineStr">
        <is>
          <t>0005010-98.2023.8.16.0001</t>
        </is>
      </c>
      <c r="AL144" s="29" t="inlineStr">
        <is>
          <t>TJPR</t>
        </is>
      </c>
      <c r="AM144" s="29" t="inlineStr">
        <is>
          <t>ACTIVE</t>
        </is>
      </c>
      <c r="AN144" s="29" t="n">
        <v>2023</v>
      </c>
      <c r="AO144" s="29" t="inlineStr">
        <is>
          <t>live case, no plan document yet</t>
        </is>
      </c>
      <c r="AP144" s="29" t="inlineStr">
        <is>
          <t>BRASILIA</t>
        </is>
      </c>
      <c r="AQ144" s="29" t="inlineStr">
        <is>
          <t>DF</t>
        </is>
      </c>
      <c r="AR144" s="29" t="inlineStr">
        <is>
          <t>Bancos múltiplos, com carteira comercial</t>
        </is>
      </c>
      <c r="AS144" s="29" t="inlineStr">
        <is>
          <t>DEMAIS</t>
        </is>
      </c>
      <c r="AT144" s="29" t="inlineStr">
        <is>
          <t>LARGE CORP</t>
        </is>
      </c>
      <c r="AU144" s="29" t="inlineStr">
        <is>
          <t>00000000</t>
        </is>
      </c>
      <c r="AV144" s="29" t="n">
        <v>1</v>
      </c>
      <c r="AW144" s="29" t="inlineStr">
        <is>
          <t>LIKELY_FINANCIAL_BY_NAME PARTIAL_DOC_CLASS_III_RECONCILED ROWS:p20r10</t>
        </is>
      </c>
    </row>
    <row r="145">
      <c r="A145" s="15" t="inlineStr">
        <is>
          <t>BANCO SAFRA S A</t>
        </is>
      </c>
      <c r="B145" s="16" t="n">
        <v>2014067.89</v>
      </c>
      <c r="C145" s="17" t="inlineStr">
        <is>
          <t>CRISTAL MASTER INDUSTRIA E COMERCIO LTDA</t>
        </is>
      </c>
      <c r="D145" s="18" t="inlineStr">
        <is>
          <t>NEW</t>
        </is>
      </c>
      <c r="E145" s="19" t="inlineStr"/>
      <c r="F145" s="18" t="inlineStr"/>
      <c r="G145" s="19" t="inlineStr"/>
      <c r="H145" s="18" t="inlineStr"/>
      <c r="I145" s="20" t="inlineStr">
        <is>
          <t>RAFAEL BORDALO QUINTAS</t>
        </is>
      </c>
      <c r="J145" s="20" t="inlineStr">
        <is>
          <t>Administrador</t>
        </is>
      </c>
      <c r="K145" s="20" t="inlineStr">
        <is>
          <t>(11) 3175-7575</t>
        </is>
      </c>
      <c r="L145" s="20" t="inlineStr"/>
      <c r="M145" s="20" t="inlineStr"/>
      <c r="N145" s="20" t="inlineStr"/>
      <c r="O145" s="20" t="inlineStr"/>
      <c r="P145" s="20" t="inlineStr">
        <is>
          <t>ADRIANO MACIEL PEDROTI</t>
        </is>
      </c>
      <c r="Q145" s="20" t="inlineStr">
        <is>
          <t>Diretor</t>
        </is>
      </c>
      <c r="R145" s="20" t="inlineStr">
        <is>
          <t>(11) 3175-7575</t>
        </is>
      </c>
      <c r="S145" s="20" t="inlineStr"/>
      <c r="T145" s="21" t="n">
        <v>2014067.89</v>
      </c>
      <c r="U145" s="22" t="inlineStr">
        <is>
          <t>B</t>
        </is>
      </c>
      <c r="V145" s="23">
        <f>IFERROR(VLOOKUP(U145,Assumptions!$A$7:$D$11,2,FALSE),0)</f>
        <v/>
      </c>
      <c r="W145" s="24">
        <f>MAX(0.5,IFERROR(VLOOKUP(U145,Assumptions!$A$7:$D$11,3,FALSE),3)+IFERROR(VLOOKUP(U145,Assumptions!$A$7:$D$11,4,FALSE),8)/2-IF(AN145="",0,YEAR(TODAY())-AN145))</f>
        <v/>
      </c>
      <c r="X145" s="21">
        <f>T145*V145/(1+Assumptions!$B$3)^W145</f>
        <v/>
      </c>
      <c r="Y145" s="25">
        <f>IF(T145=0,"",ROUND(X145/T145*100,1))</f>
        <v/>
      </c>
      <c r="Z145" s="26">
        <f>X145*Assumptions!$B$4</f>
        <v/>
      </c>
      <c r="AA145" s="25">
        <f>IF(T145=0,"",ROUND(Z145/T145*100,1))</f>
        <v/>
      </c>
      <c r="AB145" s="26">
        <f>X145-Z145</f>
        <v/>
      </c>
      <c r="AC145" s="25">
        <f>IF(T145=0,"",ROUND((X145-Z145)/T145*100,1))</f>
        <v/>
      </c>
      <c r="AD145" s="27" t="inlineStr">
        <is>
          <t>ESTIMATED</t>
        </is>
      </c>
      <c r="AE145" s="28" t="inlineStr">
        <is>
          <t>https://ajruiz.com.br/sites/default/files/public/arquivos-processos/2026-08/qgc_azeplast_julho_2026.pdf</t>
        </is>
      </c>
      <c r="AF145" s="27" t="inlineStr">
        <is>
          <t>p1 r8</t>
        </is>
      </c>
      <c r="AG145" s="27" t="inlineStr">
        <is>
          <t>p1: R$ 2.014.067,89</t>
        </is>
      </c>
      <c r="AH145" s="27" t="inlineStr">
        <is>
          <t>QGC</t>
        </is>
      </c>
      <c r="AI145" s="27" t="inlineStr"/>
      <c r="AJ145" s="27" t="inlineStr">
        <is>
          <t>QUARANTINED</t>
        </is>
      </c>
      <c r="AK145" s="29" t="inlineStr">
        <is>
          <t>5008793-34.2023.8.24.0019</t>
        </is>
      </c>
      <c r="AL145" s="29" t="inlineStr">
        <is>
          <t>TJSC</t>
        </is>
      </c>
      <c r="AM145" s="29" t="inlineStr">
        <is>
          <t>ACTIVE</t>
        </is>
      </c>
      <c r="AN145" s="29" t="n">
        <v>2023</v>
      </c>
      <c r="AO145" s="29" t="inlineStr">
        <is>
          <t>live case, no plan document yet</t>
        </is>
      </c>
      <c r="AP145" s="29" t="inlineStr">
        <is>
          <t>SAO PAULO</t>
        </is>
      </c>
      <c r="AQ145" s="29" t="inlineStr">
        <is>
          <t>SP</t>
        </is>
      </c>
      <c r="AR145" s="29" t="inlineStr">
        <is>
          <t>Bancos múltiplos, com carteira comercial</t>
        </is>
      </c>
      <c r="AS145" s="29" t="inlineStr">
        <is>
          <t>DEMAIS</t>
        </is>
      </c>
      <c r="AT145" s="29" t="inlineStr">
        <is>
          <t>LARGE CORP</t>
        </is>
      </c>
      <c r="AU145" s="29" t="inlineStr">
        <is>
          <t>58160789</t>
        </is>
      </c>
      <c r="AV145" s="29" t="n">
        <v>1</v>
      </c>
      <c r="AW145" s="29" t="inlineStr">
        <is>
          <t>LIKELY_FINANCIAL_BY_NAME PARTIAL_DOC_CLASS_III_RECONCILED ROWS:p1r8</t>
        </is>
      </c>
    </row>
    <row r="146">
      <c r="A146" s="15" t="inlineStr">
        <is>
          <t>CAIXA ECONOMICA FEDERAL</t>
        </is>
      </c>
      <c r="B146" s="16" t="n">
        <v>2299818.75</v>
      </c>
      <c r="C146" s="17" t="inlineStr"/>
      <c r="D146" s="18" t="inlineStr">
        <is>
          <t>NEW</t>
        </is>
      </c>
      <c r="E146" s="19" t="inlineStr"/>
      <c r="F146" s="18" t="inlineStr"/>
      <c r="G146" s="19" t="inlineStr"/>
      <c r="H146" s="18" t="inlineStr"/>
      <c r="I146" s="20" t="inlineStr">
        <is>
          <t>ADRIANO ASSIS MATIAS</t>
        </is>
      </c>
      <c r="J146" s="20" t="inlineStr">
        <is>
          <t>Administrador</t>
        </is>
      </c>
      <c r="K146" s="20" t="inlineStr">
        <is>
          <t>(00) 4004-0104</t>
        </is>
      </c>
      <c r="L146" s="20" t="inlineStr"/>
      <c r="M146" s="20" t="inlineStr"/>
      <c r="N146" s="20" t="inlineStr"/>
      <c r="O146" s="20" t="inlineStr"/>
      <c r="P146" s="20" t="inlineStr">
        <is>
          <t>HENRIETE ALEXANDRA SARTORI BERNABE</t>
        </is>
      </c>
      <c r="Q146" s="20" t="inlineStr">
        <is>
          <t>Administrador</t>
        </is>
      </c>
      <c r="R146" s="20" t="inlineStr">
        <is>
          <t>(00) 4004-0104</t>
        </is>
      </c>
      <c r="S146" s="20" t="inlineStr"/>
      <c r="T146" s="21" t="n">
        <v>2299818.75</v>
      </c>
      <c r="U146" s="31" t="inlineStr">
        <is>
          <t>C</t>
        </is>
      </c>
      <c r="V146" s="23">
        <f>IFERROR(VLOOKUP(U146,Assumptions!$A$7:$D$11,2,FALSE),0)</f>
        <v/>
      </c>
      <c r="W146" s="24">
        <f>MAX(0.5,IFERROR(VLOOKUP(U146,Assumptions!$A$7:$D$11,3,FALSE),3)+IFERROR(VLOOKUP(U146,Assumptions!$A$7:$D$11,4,FALSE),8)/2-IF(AN146="",0,YEAR(TODAY())-AN146))</f>
        <v/>
      </c>
      <c r="X146" s="21">
        <f>T146*V146/(1+Assumptions!$B$3)^W146</f>
        <v/>
      </c>
      <c r="Y146" s="25">
        <f>IF(T146=0,"",ROUND(X146/T146*100,1))</f>
        <v/>
      </c>
      <c r="Z146" s="26">
        <f>X146*Assumptions!$B$4</f>
        <v/>
      </c>
      <c r="AA146" s="25">
        <f>IF(T146=0,"",ROUND(Z146/T146*100,1))</f>
        <v/>
      </c>
      <c r="AB146" s="26">
        <f>X146-Z146</f>
        <v/>
      </c>
      <c r="AC146" s="25">
        <f>IF(T146=0,"",ROUND((X146-Z146)/T146*100,1))</f>
        <v/>
      </c>
      <c r="AD146" s="27" t="inlineStr">
        <is>
          <t>UNKNOWN</t>
        </is>
      </c>
      <c r="AE146" s="28" t="inlineStr">
        <is>
          <t>https://administradorajudicialgs.com.br/wp-content/uploads/2024/12/relacao-de-credores-da-falida.pdf</t>
        </is>
      </c>
      <c r="AF146" s="27" t="inlineStr">
        <is>
          <t>p13 r32</t>
        </is>
      </c>
      <c r="AG146" s="27" t="inlineStr">
        <is>
          <t>p13: R$ 2.299.818,75</t>
        </is>
      </c>
      <c r="AH146" s="27" t="inlineStr">
        <is>
          <t>UNKNOWN</t>
        </is>
      </c>
      <c r="AI146" s="27" t="inlineStr">
        <is>
          <t>2025-03-25</t>
        </is>
      </c>
      <c r="AJ146" s="27" t="inlineStr">
        <is>
          <t>OK_NO_TOTALS</t>
        </is>
      </c>
      <c r="AK146" s="29" t="inlineStr">
        <is>
          <t>0005010-50.2013.8.24.0026</t>
        </is>
      </c>
      <c r="AL146" s="29" t="inlineStr">
        <is>
          <t>TJ</t>
        </is>
      </c>
      <c r="AM146" s="29" t="inlineStr"/>
      <c r="AN146" s="29" t="n">
        <v>2013</v>
      </c>
      <c r="AO146" s="29" t="inlineStr">
        <is>
          <t>13y since filing, no plan document</t>
        </is>
      </c>
      <c r="AP146" s="29" t="inlineStr">
        <is>
          <t>BRASILIA</t>
        </is>
      </c>
      <c r="AQ146" s="29" t="inlineStr">
        <is>
          <t>DF</t>
        </is>
      </c>
      <c r="AR146" s="29" t="inlineStr">
        <is>
          <t>Caixas econômicas</t>
        </is>
      </c>
      <c r="AS146" s="29" t="inlineStr">
        <is>
          <t>DEMAIS</t>
        </is>
      </c>
      <c r="AT146" s="29" t="inlineStr">
        <is>
          <t>LARGE CORP</t>
        </is>
      </c>
      <c r="AU146" s="29" t="inlineStr">
        <is>
          <t>00360305</t>
        </is>
      </c>
      <c r="AV146" s="29" t="n">
        <v>1</v>
      </c>
      <c r="AW146" s="29" t="inlineStr">
        <is>
          <t>LIKELY_FINANCIAL_BY_NAME ROWS:p13r32 UNRECONCILED_SOURCE</t>
        </is>
      </c>
    </row>
    <row r="147">
      <c r="A147" s="15" t="inlineStr">
        <is>
          <t>PROSPERE SECURITIZADORA S.A.</t>
        </is>
      </c>
      <c r="B147" s="16" t="n">
        <v>1941127.48</v>
      </c>
      <c r="C147" s="17" t="inlineStr">
        <is>
          <t>ADVOCACIA WANDERLEI DE PAULA BARRETO</t>
        </is>
      </c>
      <c r="D147" s="18" t="inlineStr">
        <is>
          <t>NEW</t>
        </is>
      </c>
      <c r="E147" s="19" t="inlineStr"/>
      <c r="F147" s="18" t="inlineStr"/>
      <c r="G147" s="19" t="inlineStr"/>
      <c r="H147" s="18" t="inlineStr"/>
      <c r="I147" s="20" t="inlineStr">
        <is>
          <t>RODRIGO DE OLIVEIRA KATAYOSE</t>
        </is>
      </c>
      <c r="J147" s="20" t="inlineStr">
        <is>
          <t>Presidente</t>
        </is>
      </c>
      <c r="K147" s="20" t="inlineStr">
        <is>
          <t>(43) 9682-3443</t>
        </is>
      </c>
      <c r="L147" s="20" t="inlineStr">
        <is>
          <t>(43) 9826-5258</t>
        </is>
      </c>
      <c r="M147" s="20" t="inlineStr"/>
      <c r="N147" s="20" t="inlineStr"/>
      <c r="O147" s="20" t="inlineStr"/>
      <c r="P147" s="20" t="inlineStr">
        <is>
          <t>JOYCE PRISCILA TERTO SARTORI KATAYOSE</t>
        </is>
      </c>
      <c r="Q147" s="20" t="inlineStr">
        <is>
          <t>Diretor</t>
        </is>
      </c>
      <c r="R147" s="20" t="inlineStr">
        <is>
          <t>(43) 9826-5258</t>
        </is>
      </c>
      <c r="S147" s="20" t="inlineStr"/>
      <c r="T147" s="21" t="n">
        <v>1941127.48</v>
      </c>
      <c r="U147" s="22" t="inlineStr">
        <is>
          <t>B</t>
        </is>
      </c>
      <c r="V147" s="23">
        <f>IFERROR(VLOOKUP(U147,Assumptions!$A$7:$D$11,2,FALSE),0)</f>
        <v/>
      </c>
      <c r="W147" s="24">
        <f>MAX(0.5,IFERROR(VLOOKUP(U147,Assumptions!$A$7:$D$11,3,FALSE),3)+IFERROR(VLOOKUP(U147,Assumptions!$A$7:$D$11,4,FALSE),8)/2-IF(AN147="",0,YEAR(TODAY())-AN147))</f>
        <v/>
      </c>
      <c r="X147" s="21">
        <f>T147*V147/(1+Assumptions!$B$3)^W147</f>
        <v/>
      </c>
      <c r="Y147" s="25">
        <f>IF(T147=0,"",ROUND(X147/T147*100,1))</f>
        <v/>
      </c>
      <c r="Z147" s="26">
        <f>X147*Assumptions!$B$4</f>
        <v/>
      </c>
      <c r="AA147" s="25">
        <f>IF(T147=0,"",ROUND(Z147/T147*100,1))</f>
        <v/>
      </c>
      <c r="AB147" s="26">
        <f>X147-Z147</f>
        <v/>
      </c>
      <c r="AC147" s="25">
        <f>IF(T147=0,"",ROUND((X147-Z147)/T147*100,1))</f>
        <v/>
      </c>
      <c r="AD147" s="27" t="inlineStr">
        <is>
          <t>ESTIMATED</t>
        </is>
      </c>
      <c r="AE147" s="28" t="inlineStr">
        <is>
          <t>https://marquesadmjudicial.com.br/sgc/download.php?file=files/processo_documento/processo_documento17040729052024_1_.pdf&amp;nome=Relação Nominal de Credores AJ-Sintética</t>
        </is>
      </c>
      <c r="AF147" s="27" t="inlineStr">
        <is>
          <t>p12 r9</t>
        </is>
      </c>
      <c r="AG147" s="27" t="inlineStr">
        <is>
          <t>p12: R$ 1.941.127,48</t>
        </is>
      </c>
      <c r="AH147" s="27" t="inlineStr">
        <is>
          <t>AJ_LIST</t>
        </is>
      </c>
      <c r="AI147" s="27" t="inlineStr">
        <is>
          <t>2024-05-27</t>
        </is>
      </c>
      <c r="AJ147" s="27" t="inlineStr">
        <is>
          <t>QUARANTINED</t>
        </is>
      </c>
      <c r="AK147" s="29" t="inlineStr">
        <is>
          <t>0003971-03.2023.8.16.0119</t>
        </is>
      </c>
      <c r="AL147" s="29" t="inlineStr">
        <is>
          <t>TJPR</t>
        </is>
      </c>
      <c r="AM147" s="29" t="inlineStr">
        <is>
          <t>ACTIVE</t>
        </is>
      </c>
      <c r="AN147" s="29" t="n">
        <v>2023</v>
      </c>
      <c r="AO147" s="29" t="inlineStr">
        <is>
          <t>live case, no plan document yet</t>
        </is>
      </c>
      <c r="AP147" s="29" t="inlineStr">
        <is>
          <t>LONDRINA</t>
        </is>
      </c>
      <c r="AQ147" s="29" t="inlineStr">
        <is>
          <t>PR</t>
        </is>
      </c>
      <c r="AR147" s="29" t="inlineStr">
        <is>
          <t>Securitização de créditos</t>
        </is>
      </c>
      <c r="AS147" s="29" t="inlineStr">
        <is>
          <t>DEMAIS</t>
        </is>
      </c>
      <c r="AT147" s="29" t="inlineStr">
        <is>
          <t>MID-MARKET</t>
        </is>
      </c>
      <c r="AU147" s="29" t="inlineStr">
        <is>
          <t>01489979</t>
        </is>
      </c>
      <c r="AV147" s="29" t="n">
        <v>1</v>
      </c>
      <c r="AW147" s="29" t="inlineStr">
        <is>
          <t>PARTIAL_DOC_CLASS_III_RECONCILED ROWS:p12r9</t>
        </is>
      </c>
    </row>
    <row r="148">
      <c r="A148" s="15" t="inlineStr">
        <is>
          <t>SICREDI RECIFE - COOPERATIVA DE CREDITO, POUPANCA E INVESTIMENTO SICREDI RECIFE</t>
        </is>
      </c>
      <c r="B148" s="16" t="n">
        <v>2386846.42</v>
      </c>
      <c r="C148" s="17" t="inlineStr">
        <is>
          <t>CEAM NUCLEO ESPECIALIZADO EM APOIO MULTIDISCIPLINAR LTDA - EM RECUPERACAO JUDICIAL</t>
        </is>
      </c>
      <c r="D148" s="18" t="inlineStr">
        <is>
          <t>NEW</t>
        </is>
      </c>
      <c r="E148" s="19" t="inlineStr"/>
      <c r="F148" s="18" t="inlineStr"/>
      <c r="G148" s="19" t="inlineStr"/>
      <c r="H148" s="18" t="inlineStr"/>
      <c r="I148" s="20" t="inlineStr"/>
      <c r="J148" s="20" t="inlineStr"/>
      <c r="K148" s="20" t="inlineStr"/>
      <c r="L148" s="20" t="inlineStr"/>
      <c r="M148" s="20" t="inlineStr"/>
      <c r="N148" s="20" t="inlineStr"/>
      <c r="O148" s="20" t="inlineStr"/>
      <c r="P148" s="20" t="inlineStr"/>
      <c r="Q148" s="20" t="inlineStr"/>
      <c r="R148" s="20" t="inlineStr"/>
      <c r="S148" s="20" t="inlineStr"/>
      <c r="T148" s="21" t="n">
        <v>2386846.42</v>
      </c>
      <c r="U148" s="22" t="inlineStr">
        <is>
          <t>B</t>
        </is>
      </c>
      <c r="V148" s="23">
        <f>IFERROR(VLOOKUP(U148,Assumptions!$A$7:$D$11,2,FALSE),0)</f>
        <v/>
      </c>
      <c r="W148" s="24">
        <f>MAX(0.5,IFERROR(VLOOKUP(U148,Assumptions!$A$7:$D$11,3,FALSE),3)+IFERROR(VLOOKUP(U148,Assumptions!$A$7:$D$11,4,FALSE),8)/2-IF(AN148="",0,YEAR(TODAY())-AN148))</f>
        <v/>
      </c>
      <c r="X148" s="21">
        <f>T148*V148/(1+Assumptions!$B$3)^W148</f>
        <v/>
      </c>
      <c r="Y148" s="25">
        <f>IF(T148=0,"",ROUND(X148/T148*100,1))</f>
        <v/>
      </c>
      <c r="Z148" s="26">
        <f>X148*Assumptions!$B$4</f>
        <v/>
      </c>
      <c r="AA148" s="25">
        <f>IF(T148=0,"",ROUND(Z148/T148*100,1))</f>
        <v/>
      </c>
      <c r="AB148" s="26">
        <f>X148-Z148</f>
        <v/>
      </c>
      <c r="AC148" s="25">
        <f>IF(T148=0,"",ROUND((X148-Z148)/T148*100,1))</f>
        <v/>
      </c>
      <c r="AD148" s="27" t="inlineStr">
        <is>
          <t>ESTIMATED</t>
        </is>
      </c>
      <c r="AE148" s="28" t="inlineStr">
        <is>
          <t>https://recuperasolucoes.com/wp-content/plugins/download-attachments/includes/download.php?id=1492</t>
        </is>
      </c>
      <c r="AF148" s="27" t="inlineStr">
        <is>
          <t>p5 r68</t>
        </is>
      </c>
      <c r="AG148" s="27" t="inlineStr">
        <is>
          <t>p5: R$ 2.386.846,42</t>
        </is>
      </c>
      <c r="AH148" s="27" t="inlineStr">
        <is>
          <t>AJ_LIST</t>
        </is>
      </c>
      <c r="AI148" s="27" t="inlineStr">
        <is>
          <t>2025-09-12</t>
        </is>
      </c>
      <c r="AJ148" s="27" t="inlineStr">
        <is>
          <t>OK</t>
        </is>
      </c>
      <c r="AK148" s="29" t="inlineStr">
        <is>
          <t>0133628-14.2024.8.17.2001</t>
        </is>
      </c>
      <c r="AL148" s="29" t="inlineStr">
        <is>
          <t>TJPE</t>
        </is>
      </c>
      <c r="AM148" s="29" t="inlineStr">
        <is>
          <t>ACTIVE</t>
        </is>
      </c>
      <c r="AN148" s="29" t="n">
        <v>2024</v>
      </c>
      <c r="AO148" s="29" t="inlineStr">
        <is>
          <t>live case, no plan document yet</t>
        </is>
      </c>
      <c r="AP148" s="29" t="inlineStr"/>
      <c r="AQ148" s="29" t="inlineStr"/>
      <c r="AR148" s="29" t="inlineStr"/>
      <c r="AS148" s="29" t="inlineStr"/>
      <c r="AT148" s="29" t="inlineStr">
        <is>
          <t>MID-MARKET</t>
        </is>
      </c>
      <c r="AU148" s="29" t="inlineStr">
        <is>
          <t>70241658</t>
        </is>
      </c>
      <c r="AV148" s="29" t="n">
        <v>1</v>
      </c>
      <c r="AW148" s="29" t="inlineStr">
        <is>
          <t>LIKELY_FINANCIAL_BY_NAME ROWS:p5r68</t>
        </is>
      </c>
    </row>
    <row r="149">
      <c r="A149" s="15" t="inlineStr">
        <is>
          <t>BANCO SANTANDER (BRASIL) S.A.</t>
        </is>
      </c>
      <c r="B149" s="16" t="n">
        <v>3015539.04</v>
      </c>
      <c r="C149" s="17" t="inlineStr">
        <is>
          <t>CONSTRUTORA ANDRADE GUEDES LDTA – Diligence Administração em Recuperação Judicial e Falência</t>
        </is>
      </c>
      <c r="D149" s="18" t="inlineStr">
        <is>
          <t>NEW</t>
        </is>
      </c>
      <c r="E149" s="19" t="inlineStr"/>
      <c r="F149" s="18" t="inlineStr"/>
      <c r="G149" s="19" t="inlineStr"/>
      <c r="H149" s="18" t="inlineStr"/>
      <c r="I149" s="20" t="inlineStr">
        <is>
          <t>GILSON FINKELSZTAIN</t>
        </is>
      </c>
      <c r="J149" s="20" t="inlineStr">
        <is>
          <t>Presidente</t>
        </is>
      </c>
      <c r="K149" s="20" t="inlineStr">
        <is>
          <t>(11) 4004-3535</t>
        </is>
      </c>
      <c r="L149" s="20" t="inlineStr"/>
      <c r="M149" s="20" t="inlineStr"/>
      <c r="N149" s="20" t="inlineStr"/>
      <c r="O149" s="20" t="inlineStr"/>
      <c r="P149" s="20" t="inlineStr">
        <is>
          <t>ALESSANDRO CHAGAS FARIAS</t>
        </is>
      </c>
      <c r="Q149" s="20" t="inlineStr">
        <is>
          <t>Diretor</t>
        </is>
      </c>
      <c r="R149" s="20" t="inlineStr">
        <is>
          <t>(11) 4004-3535</t>
        </is>
      </c>
      <c r="S149" s="20" t="inlineStr"/>
      <c r="T149" s="21" t="n">
        <v>3015539.04</v>
      </c>
      <c r="U149" s="31" t="inlineStr">
        <is>
          <t>C</t>
        </is>
      </c>
      <c r="V149" s="23">
        <f>IFERROR(VLOOKUP(U149,Assumptions!$A$7:$D$11,2,FALSE),0)</f>
        <v/>
      </c>
      <c r="W149" s="24">
        <f>MAX(0.5,IFERROR(VLOOKUP(U149,Assumptions!$A$7:$D$11,3,FALSE),3)+IFERROR(VLOOKUP(U149,Assumptions!$A$7:$D$11,4,FALSE),8)/2-IF(AN149="",0,YEAR(TODAY())-AN149))</f>
        <v/>
      </c>
      <c r="X149" s="21">
        <f>T149*V149/(1+Assumptions!$B$3)^W149</f>
        <v/>
      </c>
      <c r="Y149" s="25">
        <f>IF(T149=0,"",ROUND(X149/T149*100,1))</f>
        <v/>
      </c>
      <c r="Z149" s="26">
        <f>X149*Assumptions!$B$4</f>
        <v/>
      </c>
      <c r="AA149" s="25">
        <f>IF(T149=0,"",ROUND(Z149/T149*100,1))</f>
        <v/>
      </c>
      <c r="AB149" s="26">
        <f>X149-Z149</f>
        <v/>
      </c>
      <c r="AC149" s="25">
        <f>IF(T149=0,"",ROUND((X149-Z149)/T149*100,1))</f>
        <v/>
      </c>
      <c r="AD149" s="27" t="inlineStr">
        <is>
          <t>ESTIMATED</t>
        </is>
      </c>
      <c r="AE149" s="28" t="inlineStr">
        <is>
          <t>https://diligence.adm.br/wp-content/plugins/download-attachments/includes/download.php?id=4599</t>
        </is>
      </c>
      <c r="AF149" s="27" t="inlineStr">
        <is>
          <t>p10 r8</t>
        </is>
      </c>
      <c r="AG149" s="27" t="inlineStr">
        <is>
          <t>p10: R$ 3.015.539,04</t>
        </is>
      </c>
      <c r="AH149" s="27" t="inlineStr">
        <is>
          <t>AJ_LIST</t>
        </is>
      </c>
      <c r="AI149" s="27" t="inlineStr">
        <is>
          <t>2024-06-25</t>
        </is>
      </c>
      <c r="AJ149" s="27" t="inlineStr">
        <is>
          <t>OK_NO_TOTALS</t>
        </is>
      </c>
      <c r="AK149" s="29" t="inlineStr">
        <is>
          <t>0000880-57.2020.8.17.2001</t>
        </is>
      </c>
      <c r="AL149" s="29" t="inlineStr">
        <is>
          <t>TJPE</t>
        </is>
      </c>
      <c r="AM149" s="29" t="inlineStr">
        <is>
          <t>ACTIVE</t>
        </is>
      </c>
      <c r="AN149" s="29" t="n">
        <v>2020</v>
      </c>
      <c r="AO149" s="29" t="inlineStr">
        <is>
          <t>6y since filing, no plan document</t>
        </is>
      </c>
      <c r="AP149" s="29" t="inlineStr">
        <is>
          <t>SAO PAULO</t>
        </is>
      </c>
      <c r="AQ149" s="29" t="inlineStr">
        <is>
          <t>SP</t>
        </is>
      </c>
      <c r="AR149" s="29" t="inlineStr">
        <is>
          <t>Bancos múltiplos, com carteira comercial</t>
        </is>
      </c>
      <c r="AS149" s="29" t="inlineStr">
        <is>
          <t>DEMAIS</t>
        </is>
      </c>
      <c r="AT149" s="29" t="inlineStr">
        <is>
          <t>LARGE CORP</t>
        </is>
      </c>
      <c r="AU149" s="29" t="inlineStr">
        <is>
          <t>90400888</t>
        </is>
      </c>
      <c r="AV149" s="29" t="n">
        <v>1</v>
      </c>
      <c r="AW149" s="29" t="inlineStr">
        <is>
          <t>ALT_VALUE:R$15.539,04 ALT_VALUE:R$3.000.000,00 LIKELY_FINANCIAL_BY_NAME ROWS:p10r8 UNRECONCILED_SOURCE VALUE_COL:2ª_Lista</t>
        </is>
      </c>
    </row>
    <row r="150">
      <c r="A150" s="15" t="inlineStr">
        <is>
          <t>BANCO SAFRA S A</t>
        </is>
      </c>
      <c r="B150" s="16" t="n">
        <v>2921565.37</v>
      </c>
      <c r="C150" s="17" t="inlineStr">
        <is>
          <t>ARRUDA &amp; MELO COMERCIO E DISTRIBUICAO DE ALIMENTOS E BEBIDAS LTDA</t>
        </is>
      </c>
      <c r="D150" s="18" t="inlineStr">
        <is>
          <t>NEW</t>
        </is>
      </c>
      <c r="E150" s="19" t="inlineStr"/>
      <c r="F150" s="18" t="inlineStr"/>
      <c r="G150" s="19" t="inlineStr"/>
      <c r="H150" s="18" t="inlineStr"/>
      <c r="I150" s="20" t="inlineStr">
        <is>
          <t>RAFAEL BORDALO QUINTAS</t>
        </is>
      </c>
      <c r="J150" s="20" t="inlineStr">
        <is>
          <t>Administrador</t>
        </is>
      </c>
      <c r="K150" s="20" t="inlineStr">
        <is>
          <t>(11) 3175-7575</t>
        </is>
      </c>
      <c r="L150" s="20" t="inlineStr"/>
      <c r="M150" s="20" t="inlineStr"/>
      <c r="N150" s="20" t="inlineStr"/>
      <c r="O150" s="20" t="inlineStr"/>
      <c r="P150" s="20" t="inlineStr">
        <is>
          <t>ADRIANO MACIEL PEDROTI</t>
        </is>
      </c>
      <c r="Q150" s="20" t="inlineStr">
        <is>
          <t>Diretor</t>
        </is>
      </c>
      <c r="R150" s="20" t="inlineStr">
        <is>
          <t>(11) 3175-7575</t>
        </is>
      </c>
      <c r="S150" s="20" t="inlineStr"/>
      <c r="T150" s="21" t="n">
        <v>2921565.37</v>
      </c>
      <c r="U150" s="22" t="inlineStr">
        <is>
          <t>B</t>
        </is>
      </c>
      <c r="V150" s="23">
        <f>IFERROR(VLOOKUP(U150,Assumptions!$A$7:$D$11,2,FALSE),0)</f>
        <v/>
      </c>
      <c r="W150" s="24">
        <f>MAX(0.5,IFERROR(VLOOKUP(U150,Assumptions!$A$7:$D$11,3,FALSE),3)+IFERROR(VLOOKUP(U150,Assumptions!$A$7:$D$11,4,FALSE),8)/2-IF(AN150="",0,YEAR(TODAY())-AN150))</f>
        <v/>
      </c>
      <c r="X150" s="21">
        <f>T150*V150/(1+Assumptions!$B$3)^W150</f>
        <v/>
      </c>
      <c r="Y150" s="25">
        <f>IF(T150=0,"",ROUND(X150/T150*100,1))</f>
        <v/>
      </c>
      <c r="Z150" s="26">
        <f>X150*Assumptions!$B$4</f>
        <v/>
      </c>
      <c r="AA150" s="25">
        <f>IF(T150=0,"",ROUND(Z150/T150*100,1))</f>
        <v/>
      </c>
      <c r="AB150" s="26">
        <f>X150-Z150</f>
        <v/>
      </c>
      <c r="AC150" s="25">
        <f>IF(T150=0,"",ROUND((X150-Z150)/T150*100,1))</f>
        <v/>
      </c>
      <c r="AD150" s="27" t="inlineStr">
        <is>
          <t>ESTIMATED</t>
        </is>
      </c>
      <c r="AE150" s="28" t="inlineStr">
        <is>
          <t>https://diligence.adm.br/wp-content/uploads/2025/06/Edital-1a-Lista-de-Credores.pdf</t>
        </is>
      </c>
      <c r="AF150" s="27" t="inlineStr">
        <is>
          <t>p5 r52</t>
        </is>
      </c>
      <c r="AG150" s="27" t="inlineStr">
        <is>
          <t>p5: R$ 2.921.565,37</t>
        </is>
      </c>
      <c r="AH150" s="27" t="inlineStr">
        <is>
          <t>DEBTOR_LIST</t>
        </is>
      </c>
      <c r="AI150" s="27" t="inlineStr">
        <is>
          <t>2025-06-10</t>
        </is>
      </c>
      <c r="AJ150" s="27" t="inlineStr">
        <is>
          <t>OK</t>
        </is>
      </c>
      <c r="AK150" s="29" t="inlineStr">
        <is>
          <t>0008526-45.2025.8.17.2001</t>
        </is>
      </c>
      <c r="AL150" s="29" t="inlineStr">
        <is>
          <t>TJPE</t>
        </is>
      </c>
      <c r="AM150" s="29" t="inlineStr">
        <is>
          <t>ACTIVE</t>
        </is>
      </c>
      <c r="AN150" s="29" t="n">
        <v>2025</v>
      </c>
      <c r="AO150" s="29" t="inlineStr">
        <is>
          <t>live case, no plan document yet</t>
        </is>
      </c>
      <c r="AP150" s="29" t="inlineStr">
        <is>
          <t>SAO PAULO</t>
        </is>
      </c>
      <c r="AQ150" s="29" t="inlineStr">
        <is>
          <t>SP</t>
        </is>
      </c>
      <c r="AR150" s="29" t="inlineStr">
        <is>
          <t>Bancos múltiplos, com carteira comercial</t>
        </is>
      </c>
      <c r="AS150" s="29" t="inlineStr">
        <is>
          <t>DEMAIS</t>
        </is>
      </c>
      <c r="AT150" s="29" t="inlineStr">
        <is>
          <t>LARGE CORP</t>
        </is>
      </c>
      <c r="AU150" s="29" t="inlineStr">
        <is>
          <t>58160789</t>
        </is>
      </c>
      <c r="AV150" s="29" t="n">
        <v>1</v>
      </c>
      <c r="AW150" s="29" t="inlineStr">
        <is>
          <t>LIKELY_FINANCIAL_BY_NAME ROWS:p5r52</t>
        </is>
      </c>
    </row>
    <row r="151">
      <c r="A151" s="15" t="inlineStr">
        <is>
          <t>RED FIDC</t>
        </is>
      </c>
      <c r="B151" s="16" t="n">
        <v>1841469.99</v>
      </c>
      <c r="C151" s="17" t="inlineStr">
        <is>
          <t>Conduscabos Brasil Indústria Comércio de</t>
        </is>
      </c>
      <c r="D151" s="18" t="inlineStr">
        <is>
          <t>NEW</t>
        </is>
      </c>
      <c r="E151" s="19" t="inlineStr"/>
      <c r="F151" s="18" t="inlineStr"/>
      <c r="G151" s="19" t="inlineStr"/>
      <c r="H151" s="18" t="inlineStr"/>
      <c r="I151" s="20" t="inlineStr"/>
      <c r="J151" s="20" t="inlineStr"/>
      <c r="K151" s="20" t="inlineStr"/>
      <c r="L151" s="20" t="inlineStr"/>
      <c r="M151" s="20" t="inlineStr"/>
      <c r="N151" s="20" t="inlineStr"/>
      <c r="O151" s="20" t="inlineStr"/>
      <c r="P151" s="20" t="inlineStr"/>
      <c r="Q151" s="20" t="inlineStr"/>
      <c r="R151" s="20" t="inlineStr"/>
      <c r="S151" s="20" t="inlineStr"/>
      <c r="T151" s="21" t="n">
        <v>1841469.99</v>
      </c>
      <c r="U151" s="22" t="inlineStr">
        <is>
          <t>B</t>
        </is>
      </c>
      <c r="V151" s="23">
        <f>IFERROR(VLOOKUP(U151,Assumptions!$A$7:$D$11,2,FALSE),0)</f>
        <v/>
      </c>
      <c r="W151" s="24">
        <f>MAX(0.5,IFERROR(VLOOKUP(U151,Assumptions!$A$7:$D$11,3,FALSE),3)+IFERROR(VLOOKUP(U151,Assumptions!$A$7:$D$11,4,FALSE),8)/2-IF(AN151="",0,YEAR(TODAY())-AN151))</f>
        <v/>
      </c>
      <c r="X151" s="21">
        <f>T151*V151/(1+Assumptions!$B$3)^W151</f>
        <v/>
      </c>
      <c r="Y151" s="25">
        <f>IF(T151=0,"",ROUND(X151/T151*100,1))</f>
        <v/>
      </c>
      <c r="Z151" s="26">
        <f>X151*Assumptions!$B$4</f>
        <v/>
      </c>
      <c r="AA151" s="25">
        <f>IF(T151=0,"",ROUND(Z151/T151*100,1))</f>
        <v/>
      </c>
      <c r="AB151" s="26">
        <f>X151-Z151</f>
        <v/>
      </c>
      <c r="AC151" s="25">
        <f>IF(T151=0,"",ROUND((X151-Z151)/T151*100,1))</f>
        <v/>
      </c>
      <c r="AD151" s="27" t="inlineStr">
        <is>
          <t>ESTIMATED</t>
        </is>
      </c>
      <c r="AE151" s="28" t="inlineStr">
        <is>
          <t>https://assistjud.com.br/wp-content/uploads/elementor/forms/65098c80a5824.pdf</t>
        </is>
      </c>
      <c r="AF151" s="27" t="inlineStr">
        <is>
          <t>p9 r10; p19 r5</t>
        </is>
      </c>
      <c r="AG151" s="27" t="inlineStr">
        <is>
          <t>p9: R$ 1.565.337,07; p19: R$ 276.132,92</t>
        </is>
      </c>
      <c r="AH151" s="27" t="inlineStr">
        <is>
          <t>AJ_LIST</t>
        </is>
      </c>
      <c r="AI151" s="27" t="inlineStr">
        <is>
          <t>2023-09-18</t>
        </is>
      </c>
      <c r="AJ151" s="27" t="inlineStr">
        <is>
          <t>OK_NO_TOTALS</t>
        </is>
      </c>
      <c r="AK151" s="29" t="inlineStr">
        <is>
          <t>8005129-09.2023.8.05.0039</t>
        </is>
      </c>
      <c r="AL151" s="29" t="inlineStr">
        <is>
          <t>TJBA</t>
        </is>
      </c>
      <c r="AM151" s="29" t="inlineStr">
        <is>
          <t>ACTIVE</t>
        </is>
      </c>
      <c r="AN151" s="29" t="n">
        <v>2023</v>
      </c>
      <c r="AO151" s="29" t="inlineStr">
        <is>
          <t>live case, no plan document yet</t>
        </is>
      </c>
      <c r="AP151" s="29" t="inlineStr"/>
      <c r="AQ151" s="29" t="inlineStr"/>
      <c r="AR151" s="29" t="inlineStr"/>
      <c r="AS151" s="29" t="inlineStr"/>
      <c r="AT151" s="29" t="inlineStr">
        <is>
          <t>MID-MARKET</t>
        </is>
      </c>
      <c r="AU151" s="29" t="inlineStr">
        <is>
          <t>08632394</t>
        </is>
      </c>
      <c r="AV151" s="29" t="n">
        <v>2</v>
      </c>
      <c r="AW151" s="29" t="inlineStr">
        <is>
          <t>LIKELY_FINANCIAL_BY_NAME ROWS:p9r10,p19r5 UNRECONCILED_SOURCE</t>
        </is>
      </c>
    </row>
    <row r="152">
      <c r="A152" s="15" t="inlineStr">
        <is>
          <t>BANCO DO BRASIL SA</t>
        </is>
      </c>
      <c r="B152" s="16" t="n">
        <v>2864591.61</v>
      </c>
      <c r="C152" s="17" t="inlineStr">
        <is>
          <t>ARRUDA &amp; MELO COMERCIO E DISTRIBUICAO DE ALIMENTOS E BEBIDAS LTDA</t>
        </is>
      </c>
      <c r="D152" s="18" t="inlineStr">
        <is>
          <t>NEW</t>
        </is>
      </c>
      <c r="E152" s="19" t="inlineStr"/>
      <c r="F152" s="18" t="inlineStr"/>
      <c r="G152" s="19" t="inlineStr"/>
      <c r="H152" s="18" t="inlineStr"/>
      <c r="I152" s="20" t="inlineStr">
        <is>
          <t>TARCIANA PAULA GOMES MEDEIROS</t>
        </is>
      </c>
      <c r="J152" s="20" t="inlineStr">
        <is>
          <t>Presidente</t>
        </is>
      </c>
      <c r="K152" s="20" t="inlineStr">
        <is>
          <t>(61) 3493-9002</t>
        </is>
      </c>
      <c r="L152" s="20" t="inlineStr"/>
      <c r="M152" s="20" t="inlineStr"/>
      <c r="N152" s="20" t="inlineStr"/>
      <c r="O152" s="20" t="inlineStr"/>
      <c r="P152" s="20" t="inlineStr">
        <is>
          <t>ALAN CARLOS GUEDES DE OLIVEIRA</t>
        </is>
      </c>
      <c r="Q152" s="20" t="inlineStr">
        <is>
          <t>Diretor</t>
        </is>
      </c>
      <c r="R152" s="20" t="inlineStr">
        <is>
          <t>(61) 3493-9002</t>
        </is>
      </c>
      <c r="S152" s="20" t="inlineStr"/>
      <c r="T152" s="21" t="n">
        <v>2864591.61</v>
      </c>
      <c r="U152" s="22" t="inlineStr">
        <is>
          <t>B</t>
        </is>
      </c>
      <c r="V152" s="23">
        <f>IFERROR(VLOOKUP(U152,Assumptions!$A$7:$D$11,2,FALSE),0)</f>
        <v/>
      </c>
      <c r="W152" s="24">
        <f>MAX(0.5,IFERROR(VLOOKUP(U152,Assumptions!$A$7:$D$11,3,FALSE),3)+IFERROR(VLOOKUP(U152,Assumptions!$A$7:$D$11,4,FALSE),8)/2-IF(AN152="",0,YEAR(TODAY())-AN152))</f>
        <v/>
      </c>
      <c r="X152" s="21">
        <f>T152*V152/(1+Assumptions!$B$3)^W152</f>
        <v/>
      </c>
      <c r="Y152" s="25">
        <f>IF(T152=0,"",ROUND(X152/T152*100,1))</f>
        <v/>
      </c>
      <c r="Z152" s="26">
        <f>X152*Assumptions!$B$4</f>
        <v/>
      </c>
      <c r="AA152" s="25">
        <f>IF(T152=0,"",ROUND(Z152/T152*100,1))</f>
        <v/>
      </c>
      <c r="AB152" s="26">
        <f>X152-Z152</f>
        <v/>
      </c>
      <c r="AC152" s="25">
        <f>IF(T152=0,"",ROUND((X152-Z152)/T152*100,1))</f>
        <v/>
      </c>
      <c r="AD152" s="27" t="inlineStr">
        <is>
          <t>ESTIMATED</t>
        </is>
      </c>
      <c r="AE152" s="28" t="inlineStr">
        <is>
          <t>https://diligence.adm.br/wp-content/uploads/2025/06/Edital-1a-Lista-de-Credores.pdf</t>
        </is>
      </c>
      <c r="AF152" s="27" t="inlineStr">
        <is>
          <t>p5 r51</t>
        </is>
      </c>
      <c r="AG152" s="27" t="inlineStr">
        <is>
          <t>p5: R$ 2.864.591,61</t>
        </is>
      </c>
      <c r="AH152" s="27" t="inlineStr">
        <is>
          <t>DEBTOR_LIST</t>
        </is>
      </c>
      <c r="AI152" s="27" t="inlineStr">
        <is>
          <t>2025-06-10</t>
        </is>
      </c>
      <c r="AJ152" s="27" t="inlineStr">
        <is>
          <t>OK</t>
        </is>
      </c>
      <c r="AK152" s="29" t="inlineStr">
        <is>
          <t>0008526-45.2025.8.17.2001</t>
        </is>
      </c>
      <c r="AL152" s="29" t="inlineStr">
        <is>
          <t>TJPE</t>
        </is>
      </c>
      <c r="AM152" s="29" t="inlineStr">
        <is>
          <t>ACTIVE</t>
        </is>
      </c>
      <c r="AN152" s="29" t="n">
        <v>2025</v>
      </c>
      <c r="AO152" s="29" t="inlineStr">
        <is>
          <t>live case, no plan document yet</t>
        </is>
      </c>
      <c r="AP152" s="29" t="inlineStr">
        <is>
          <t>BRASILIA</t>
        </is>
      </c>
      <c r="AQ152" s="29" t="inlineStr">
        <is>
          <t>DF</t>
        </is>
      </c>
      <c r="AR152" s="29" t="inlineStr">
        <is>
          <t>Bancos múltiplos, com carteira comercial</t>
        </is>
      </c>
      <c r="AS152" s="29" t="inlineStr">
        <is>
          <t>DEMAIS</t>
        </is>
      </c>
      <c r="AT152" s="29" t="inlineStr">
        <is>
          <t>LARGE CORP</t>
        </is>
      </c>
      <c r="AU152" s="29" t="inlineStr">
        <is>
          <t>00000000</t>
        </is>
      </c>
      <c r="AV152" s="29" t="n">
        <v>1</v>
      </c>
      <c r="AW152" s="29" t="inlineStr">
        <is>
          <t>LIKELY_FINANCIAL_BY_NAME ROWS:p5r51</t>
        </is>
      </c>
    </row>
    <row r="153">
      <c r="A153" s="15" t="inlineStr">
        <is>
          <t>OPHIR FUNDO DE INVESTIMENTO EM DIREITOS CREDITORIOS</t>
        </is>
      </c>
      <c r="B153" s="16" t="n">
        <v>1832792.2</v>
      </c>
      <c r="C153" s="17" t="inlineStr">
        <is>
          <t>ADVOCACIA WANDERLEI DE PAULA BARRETO</t>
        </is>
      </c>
      <c r="D153" s="18" t="inlineStr">
        <is>
          <t>NEW</t>
        </is>
      </c>
      <c r="E153" s="19" t="inlineStr"/>
      <c r="F153" s="18" t="inlineStr"/>
      <c r="G153" s="19" t="inlineStr"/>
      <c r="H153" s="18" t="inlineStr"/>
      <c r="I153" s="20" t="inlineStr"/>
      <c r="J153" s="20" t="inlineStr"/>
      <c r="K153" s="20" t="inlineStr">
        <is>
          <t>(11) 2827-3500</t>
        </is>
      </c>
      <c r="L153" s="20" t="inlineStr"/>
      <c r="M153" s="20" t="inlineStr"/>
      <c r="N153" s="20" t="inlineStr"/>
      <c r="O153" s="20" t="inlineStr"/>
      <c r="P153" s="20" t="inlineStr"/>
      <c r="Q153" s="20" t="inlineStr"/>
      <c r="R153" s="20" t="inlineStr"/>
      <c r="S153" s="20" t="inlineStr"/>
      <c r="T153" s="21" t="n">
        <v>1832792.2</v>
      </c>
      <c r="U153" s="22" t="inlineStr">
        <is>
          <t>B</t>
        </is>
      </c>
      <c r="V153" s="23">
        <f>IFERROR(VLOOKUP(U153,Assumptions!$A$7:$D$11,2,FALSE),0)</f>
        <v/>
      </c>
      <c r="W153" s="24">
        <f>MAX(0.5,IFERROR(VLOOKUP(U153,Assumptions!$A$7:$D$11,3,FALSE),3)+IFERROR(VLOOKUP(U153,Assumptions!$A$7:$D$11,4,FALSE),8)/2-IF(AN153="",0,YEAR(TODAY())-AN153))</f>
        <v/>
      </c>
      <c r="X153" s="21">
        <f>T153*V153/(1+Assumptions!$B$3)^W153</f>
        <v/>
      </c>
      <c r="Y153" s="25">
        <f>IF(T153=0,"",ROUND(X153/T153*100,1))</f>
        <v/>
      </c>
      <c r="Z153" s="26">
        <f>X153*Assumptions!$B$4</f>
        <v/>
      </c>
      <c r="AA153" s="25">
        <f>IF(T153=0,"",ROUND(Z153/T153*100,1))</f>
        <v/>
      </c>
      <c r="AB153" s="26">
        <f>X153-Z153</f>
        <v/>
      </c>
      <c r="AC153" s="25">
        <f>IF(T153=0,"",ROUND((X153-Z153)/T153*100,1))</f>
        <v/>
      </c>
      <c r="AD153" s="27" t="inlineStr">
        <is>
          <t>ESTIMATED</t>
        </is>
      </c>
      <c r="AE153" s="28" t="inlineStr">
        <is>
          <t>https://marquesadmjudicial.com.br/sgc/download.php?file=files/processo_documento/processo_documento17040729052024_1_.pdf&amp;nome=Relação Nominal de Credores AJ-Sintética</t>
        </is>
      </c>
      <c r="AF153" s="27" t="inlineStr">
        <is>
          <t>p12 r11</t>
        </is>
      </c>
      <c r="AG153" s="27" t="inlineStr">
        <is>
          <t>p12: R$ 1.832.792,20</t>
        </is>
      </c>
      <c r="AH153" s="27" t="inlineStr">
        <is>
          <t>AJ_LIST</t>
        </is>
      </c>
      <c r="AI153" s="27" t="inlineStr">
        <is>
          <t>2024-05-27</t>
        </is>
      </c>
      <c r="AJ153" s="27" t="inlineStr">
        <is>
          <t>QUARANTINED</t>
        </is>
      </c>
      <c r="AK153" s="29" t="inlineStr">
        <is>
          <t>0003971-03.2023.8.16.0119</t>
        </is>
      </c>
      <c r="AL153" s="29" t="inlineStr">
        <is>
          <t>TJPR</t>
        </is>
      </c>
      <c r="AM153" s="29" t="inlineStr">
        <is>
          <t>ACTIVE</t>
        </is>
      </c>
      <c r="AN153" s="29" t="n">
        <v>2023</v>
      </c>
      <c r="AO153" s="29" t="inlineStr">
        <is>
          <t>live case, no plan document yet</t>
        </is>
      </c>
      <c r="AP153" s="29" t="inlineStr">
        <is>
          <t>SAO PAULO</t>
        </is>
      </c>
      <c r="AQ153" s="29" t="inlineStr">
        <is>
          <t>SP</t>
        </is>
      </c>
      <c r="AR153" s="29" t="inlineStr">
        <is>
          <t>Fundos de investimento, exceto previdenciários e imobiliários</t>
        </is>
      </c>
      <c r="AS153" s="29" t="inlineStr">
        <is>
          <t>DEMAIS</t>
        </is>
      </c>
      <c r="AT153" s="29" t="inlineStr">
        <is>
          <t>MID-MARKET</t>
        </is>
      </c>
      <c r="AU153" s="29" t="inlineStr">
        <is>
          <t>42605322</t>
        </is>
      </c>
      <c r="AV153" s="29" t="n">
        <v>1</v>
      </c>
      <c r="AW153" s="29" t="inlineStr">
        <is>
          <t>LIKELY_FINANCIAL_BY_NAME PARTIAL_DOC_CLASS_III_RECONCILED ROWS:p12r11</t>
        </is>
      </c>
    </row>
    <row r="154">
      <c r="A154" s="15" t="inlineStr">
        <is>
          <t>BANCO DA AMAZONIA SA</t>
        </is>
      </c>
      <c r="B154" s="16" t="n">
        <v>2320767.17</v>
      </c>
      <c r="C154" s="17" t="inlineStr"/>
      <c r="D154" s="18" t="inlineStr">
        <is>
          <t>NEW</t>
        </is>
      </c>
      <c r="E154" s="19" t="inlineStr"/>
      <c r="F154" s="18" t="inlineStr"/>
      <c r="G154" s="19" t="inlineStr"/>
      <c r="H154" s="18" t="inlineStr"/>
      <c r="I154" s="20" t="inlineStr">
        <is>
          <t>LUIZ CLAUDIO MOREIRA LESSA</t>
        </is>
      </c>
      <c r="J154" s="20" t="inlineStr">
        <is>
          <t>Presidente</t>
        </is>
      </c>
      <c r="K154" s="20" t="inlineStr">
        <is>
          <t>(91) 4008-3316</t>
        </is>
      </c>
      <c r="L154" s="20" t="inlineStr">
        <is>
          <t>(91) 4008-2409</t>
        </is>
      </c>
      <c r="M154" s="20" t="inlineStr"/>
      <c r="N154" s="20" t="inlineStr"/>
      <c r="O154" s="20" t="inlineStr"/>
      <c r="P154" s="20" t="inlineStr">
        <is>
          <t>DIEGO SANTOS LIMA</t>
        </is>
      </c>
      <c r="Q154" s="20" t="inlineStr">
        <is>
          <t>Diretor</t>
        </is>
      </c>
      <c r="R154" s="20" t="inlineStr">
        <is>
          <t>(91) 4008-2409</t>
        </is>
      </c>
      <c r="S154" s="20" t="inlineStr"/>
      <c r="T154" s="21" t="n">
        <v>2320767.17</v>
      </c>
      <c r="U154" s="31" t="inlineStr">
        <is>
          <t>C</t>
        </is>
      </c>
      <c r="V154" s="23">
        <f>IFERROR(VLOOKUP(U154,Assumptions!$A$7:$D$11,2,FALSE),0)</f>
        <v/>
      </c>
      <c r="W154" s="24">
        <f>MAX(0.5,IFERROR(VLOOKUP(U154,Assumptions!$A$7:$D$11,3,FALSE),3)+IFERROR(VLOOKUP(U154,Assumptions!$A$7:$D$11,4,FALSE),8)/2-IF(AN154="",0,YEAR(TODAY())-AN154))</f>
        <v/>
      </c>
      <c r="X154" s="21">
        <f>T154*V154/(1+Assumptions!$B$3)^W154</f>
        <v/>
      </c>
      <c r="Y154" s="25">
        <f>IF(T154=0,"",ROUND(X154/T154*100,1))</f>
        <v/>
      </c>
      <c r="Z154" s="26">
        <f>X154*Assumptions!$B$4</f>
        <v/>
      </c>
      <c r="AA154" s="25">
        <f>IF(T154=0,"",ROUND(Z154/T154*100,1))</f>
        <v/>
      </c>
      <c r="AB154" s="26">
        <f>X154-Z154</f>
        <v/>
      </c>
      <c r="AC154" s="25">
        <f>IF(T154=0,"",ROUND((X154-Z154)/T154*100,1))</f>
        <v/>
      </c>
      <c r="AD154" s="27" t="inlineStr">
        <is>
          <t>UNKNOWN</t>
        </is>
      </c>
      <c r="AE154" s="28" t="inlineStr">
        <is>
          <t>https://realbrasil.com.br/wp-content/uploads/2018/06/2_LISTA-DE-CREDORES-DA-RECUPERANDA_ROQUE.pdf</t>
        </is>
      </c>
      <c r="AF154" s="27" t="inlineStr">
        <is>
          <t>p2 r2</t>
        </is>
      </c>
      <c r="AG154" s="27" t="inlineStr">
        <is>
          <t>p2: R$ 2.320.767,17</t>
        </is>
      </c>
      <c r="AH154" s="27" t="inlineStr">
        <is>
          <t>UNKNOWN</t>
        </is>
      </c>
      <c r="AI154" s="27" t="inlineStr"/>
      <c r="AJ154" s="27" t="inlineStr">
        <is>
          <t>OK</t>
        </is>
      </c>
      <c r="AK154" s="29" t="inlineStr">
        <is>
          <t>0802426-35.2019.8.10.0000</t>
        </is>
      </c>
      <c r="AL154" s="29" t="inlineStr">
        <is>
          <t>TJ</t>
        </is>
      </c>
      <c r="AM154" s="29" t="inlineStr"/>
      <c r="AN154" s="29" t="n">
        <v>2019</v>
      </c>
      <c r="AO154" s="29" t="inlineStr">
        <is>
          <t>7y since filing, no plan document</t>
        </is>
      </c>
      <c r="AP154" s="29" t="inlineStr">
        <is>
          <t>BELEM</t>
        </is>
      </c>
      <c r="AQ154" s="29" t="inlineStr">
        <is>
          <t>PA</t>
        </is>
      </c>
      <c r="AR154" s="29" t="inlineStr">
        <is>
          <t>Bancos comerciais</t>
        </is>
      </c>
      <c r="AS154" s="29" t="inlineStr">
        <is>
          <t>DEMAIS</t>
        </is>
      </c>
      <c r="AT154" s="29" t="inlineStr">
        <is>
          <t>LARGE CORP</t>
        </is>
      </c>
      <c r="AU154" s="29" t="inlineStr">
        <is>
          <t>04902979</t>
        </is>
      </c>
      <c r="AV154" s="29" t="n">
        <v>1</v>
      </c>
      <c r="AW154" s="29" t="inlineStr">
        <is>
          <t>ROWS:p2r2 VALUE_COL:Saldo_Total</t>
        </is>
      </c>
    </row>
    <row r="155">
      <c r="A155" s="15" t="inlineStr">
        <is>
          <t>BANCO DO NORDESTE DO BRASIL SA</t>
        </is>
      </c>
      <c r="B155" s="16" t="n">
        <v>1794937.22</v>
      </c>
      <c r="C155" s="17" t="inlineStr">
        <is>
          <t>Conduscabos Brasil Indústria Comércio de</t>
        </is>
      </c>
      <c r="D155" s="18" t="inlineStr">
        <is>
          <t>NEW</t>
        </is>
      </c>
      <c r="E155" s="19" t="inlineStr"/>
      <c r="F155" s="18" t="inlineStr"/>
      <c r="G155" s="19" t="inlineStr"/>
      <c r="H155" s="18" t="inlineStr"/>
      <c r="I155" s="20" t="inlineStr">
        <is>
          <t>PAULO HENRIQUE SARAIVA CAMARA</t>
        </is>
      </c>
      <c r="J155" s="20" t="inlineStr">
        <is>
          <t>Presidente</t>
        </is>
      </c>
      <c r="K155" s="20" t="inlineStr">
        <is>
          <t>(85) 3299-3000</t>
        </is>
      </c>
      <c r="L155" s="20" t="inlineStr"/>
      <c r="M155" s="20" t="inlineStr"/>
      <c r="N155" s="20" t="inlineStr"/>
      <c r="O155" s="20" t="inlineStr"/>
      <c r="P155" s="20" t="inlineStr">
        <is>
          <t>ANA TERESA BARBOSA DE CARVALHO</t>
        </is>
      </c>
      <c r="Q155" s="20" t="inlineStr">
        <is>
          <t>Diretor</t>
        </is>
      </c>
      <c r="R155" s="20" t="inlineStr">
        <is>
          <t>(85) 3299-3000</t>
        </is>
      </c>
      <c r="S155" s="20" t="inlineStr"/>
      <c r="T155" s="21" t="n">
        <v>1794937.22</v>
      </c>
      <c r="U155" s="22" t="inlineStr">
        <is>
          <t>B</t>
        </is>
      </c>
      <c r="V155" s="23">
        <f>IFERROR(VLOOKUP(U155,Assumptions!$A$7:$D$11,2,FALSE),0)</f>
        <v/>
      </c>
      <c r="W155" s="24">
        <f>MAX(0.5,IFERROR(VLOOKUP(U155,Assumptions!$A$7:$D$11,3,FALSE),3)+IFERROR(VLOOKUP(U155,Assumptions!$A$7:$D$11,4,FALSE),8)/2-IF(AN155="",0,YEAR(TODAY())-AN155))</f>
        <v/>
      </c>
      <c r="X155" s="21">
        <f>T155*V155/(1+Assumptions!$B$3)^W155</f>
        <v/>
      </c>
      <c r="Y155" s="25">
        <f>IF(T155=0,"",ROUND(X155/T155*100,1))</f>
        <v/>
      </c>
      <c r="Z155" s="26">
        <f>X155*Assumptions!$B$4</f>
        <v/>
      </c>
      <c r="AA155" s="25">
        <f>IF(T155=0,"",ROUND(Z155/T155*100,1))</f>
        <v/>
      </c>
      <c r="AB155" s="26">
        <f>X155-Z155</f>
        <v/>
      </c>
      <c r="AC155" s="25">
        <f>IF(T155=0,"",ROUND((X155-Z155)/T155*100,1))</f>
        <v/>
      </c>
      <c r="AD155" s="27" t="inlineStr">
        <is>
          <t>ESTIMATED</t>
        </is>
      </c>
      <c r="AE155" s="28" t="inlineStr">
        <is>
          <t>https://assistjud.com.br/wp-content/uploads/elementor/forms/65098c80a5824.pdf</t>
        </is>
      </c>
      <c r="AF155" s="27" t="inlineStr">
        <is>
          <t>p5 r10; p17 r4</t>
        </is>
      </c>
      <c r="AG155" s="27" t="inlineStr">
        <is>
          <t>p5: R$ 1.144.942,86; p17: R$ 649.994,36</t>
        </is>
      </c>
      <c r="AH155" s="27" t="inlineStr">
        <is>
          <t>AJ_LIST</t>
        </is>
      </c>
      <c r="AI155" s="27" t="inlineStr">
        <is>
          <t>2023-09-18</t>
        </is>
      </c>
      <c r="AJ155" s="27" t="inlineStr">
        <is>
          <t>OK_NO_TOTALS</t>
        </is>
      </c>
      <c r="AK155" s="29" t="inlineStr">
        <is>
          <t>8005129-09.2023.8.05.0039</t>
        </is>
      </c>
      <c r="AL155" s="29" t="inlineStr">
        <is>
          <t>TJBA</t>
        </is>
      </c>
      <c r="AM155" s="29" t="inlineStr">
        <is>
          <t>ACTIVE</t>
        </is>
      </c>
      <c r="AN155" s="29" t="n">
        <v>2023</v>
      </c>
      <c r="AO155" s="29" t="inlineStr">
        <is>
          <t>live case, no plan document yet</t>
        </is>
      </c>
      <c r="AP155" s="29" t="inlineStr">
        <is>
          <t>FORTALEZA</t>
        </is>
      </c>
      <c r="AQ155" s="29" t="inlineStr">
        <is>
          <t>CE</t>
        </is>
      </c>
      <c r="AR155" s="29" t="inlineStr">
        <is>
          <t>Bancos múltiplos, com carteira comercial</t>
        </is>
      </c>
      <c r="AS155" s="29" t="inlineStr">
        <is>
          <t>DEMAIS</t>
        </is>
      </c>
      <c r="AT155" s="29" t="inlineStr">
        <is>
          <t>LARGE CORP</t>
        </is>
      </c>
      <c r="AU155" s="29" t="inlineStr">
        <is>
          <t>07237373</t>
        </is>
      </c>
      <c r="AV155" s="29" t="n">
        <v>2</v>
      </c>
      <c r="AW155" s="29" t="inlineStr">
        <is>
          <t>LIKELY_FINANCIAL_BY_NAME ROWS:p5r10,p17r4 UNRECONCILED_SOURCE VALUE_COL:Valor_Do_Crédito_2º_Edital_De_Credores</t>
        </is>
      </c>
    </row>
    <row r="156">
      <c r="A156" s="15" t="inlineStr">
        <is>
          <t>BANCO SAFRA S A</t>
        </is>
      </c>
      <c r="B156" s="16" t="n">
        <v>3576397.17</v>
      </c>
      <c r="C156" s="17" t="inlineStr">
        <is>
          <t>FORMAPLAN FORMAS PLANEJADAS INDUSTRIA E COMERCIO LTDA EM RECUPERACAO JUDICIAL</t>
        </is>
      </c>
      <c r="D156" s="18" t="inlineStr">
        <is>
          <t>NEW</t>
        </is>
      </c>
      <c r="E156" s="19" t="inlineStr"/>
      <c r="F156" s="18" t="inlineStr"/>
      <c r="G156" s="19" t="inlineStr"/>
      <c r="H156" s="18" t="inlineStr"/>
      <c r="I156" s="20" t="inlineStr">
        <is>
          <t>RAFAEL BORDALO QUINTAS</t>
        </is>
      </c>
      <c r="J156" s="20" t="inlineStr">
        <is>
          <t>Administrador</t>
        </is>
      </c>
      <c r="K156" s="20" t="inlineStr">
        <is>
          <t>(11) 3175-7575</t>
        </is>
      </c>
      <c r="L156" s="20" t="inlineStr"/>
      <c r="M156" s="20" t="inlineStr"/>
      <c r="N156" s="20" t="inlineStr"/>
      <c r="O156" s="20" t="inlineStr"/>
      <c r="P156" s="20" t="inlineStr">
        <is>
          <t>ADRIANO MACIEL PEDROTI</t>
        </is>
      </c>
      <c r="Q156" s="20" t="inlineStr">
        <is>
          <t>Diretor</t>
        </is>
      </c>
      <c r="R156" s="20" t="inlineStr">
        <is>
          <t>(11) 3175-7575</t>
        </is>
      </c>
      <c r="S156" s="20" t="inlineStr"/>
      <c r="T156" s="21" t="n">
        <v>3576397.17</v>
      </c>
      <c r="U156" s="31" t="inlineStr">
        <is>
          <t>C</t>
        </is>
      </c>
      <c r="V156" s="23">
        <f>IFERROR(VLOOKUP(U156,Assumptions!$A$7:$D$11,2,FALSE),0)</f>
        <v/>
      </c>
      <c r="W156" s="24">
        <f>MAX(0.5,IFERROR(VLOOKUP(U156,Assumptions!$A$7:$D$11,3,FALSE),3)+IFERROR(VLOOKUP(U156,Assumptions!$A$7:$D$11,4,FALSE),8)/2-IF(AN156="",0,YEAR(TODAY())-AN156))</f>
        <v/>
      </c>
      <c r="X156" s="21">
        <f>T156*V156/(1+Assumptions!$B$3)^W156</f>
        <v/>
      </c>
      <c r="Y156" s="25">
        <f>IF(T156=0,"",ROUND(X156/T156*100,1))</f>
        <v/>
      </c>
      <c r="Z156" s="26">
        <f>X156*Assumptions!$B$4</f>
        <v/>
      </c>
      <c r="AA156" s="25">
        <f>IF(T156=0,"",ROUND(Z156/T156*100,1))</f>
        <v/>
      </c>
      <c r="AB156" s="26">
        <f>X156-Z156</f>
        <v/>
      </c>
      <c r="AC156" s="25">
        <f>IF(T156=0,"",ROUND((X156-Z156)/T156*100,1))</f>
        <v/>
      </c>
      <c r="AD156" s="27" t="inlineStr">
        <is>
          <t>ESTIMATED</t>
        </is>
      </c>
      <c r="AE156" s="28" t="inlineStr">
        <is>
          <t>https://marquesadmjudicial.com.br/sgc/download.php?file=files/processo_documento/processo_documento15232121112024_1_.pdf&amp;nome=Relação de Credores</t>
        </is>
      </c>
      <c r="AF156" s="27" t="inlineStr">
        <is>
          <t>p13 r9</t>
        </is>
      </c>
      <c r="AG156" s="27" t="inlineStr">
        <is>
          <t>p13: R$ 3.576.397,17</t>
        </is>
      </c>
      <c r="AH156" s="27" t="inlineStr">
        <is>
          <t>AJ_LIST</t>
        </is>
      </c>
      <c r="AI156" s="27" t="inlineStr">
        <is>
          <t>2021-01-22</t>
        </is>
      </c>
      <c r="AJ156" s="27" t="inlineStr">
        <is>
          <t>QUARANTINED</t>
        </is>
      </c>
      <c r="AK156" s="29" t="inlineStr">
        <is>
          <t>0000410-68.2021.8.16.0174</t>
        </is>
      </c>
      <c r="AL156" s="29" t="inlineStr">
        <is>
          <t>TJPR</t>
        </is>
      </c>
      <c r="AM156" s="29" t="inlineStr">
        <is>
          <t>ACTIVE</t>
        </is>
      </c>
      <c r="AN156" s="29" t="n">
        <v>2021</v>
      </c>
      <c r="AO156" s="29" t="inlineStr">
        <is>
          <t>5y since filing, no plan document</t>
        </is>
      </c>
      <c r="AP156" s="29" t="inlineStr">
        <is>
          <t>SAO PAULO</t>
        </is>
      </c>
      <c r="AQ156" s="29" t="inlineStr">
        <is>
          <t>SP</t>
        </is>
      </c>
      <c r="AR156" s="29" t="inlineStr">
        <is>
          <t>Bancos múltiplos, com carteira comercial</t>
        </is>
      </c>
      <c r="AS156" s="29" t="inlineStr">
        <is>
          <t>DEMAIS</t>
        </is>
      </c>
      <c r="AT156" s="29" t="inlineStr">
        <is>
          <t>LARGE CORP</t>
        </is>
      </c>
      <c r="AU156" s="29" t="inlineStr">
        <is>
          <t>58160789</t>
        </is>
      </c>
      <c r="AV156" s="29" t="n">
        <v>1</v>
      </c>
      <c r="AW156" s="29" t="inlineStr">
        <is>
          <t>LIKELY_FINANCIAL_BY_NAME PARTIAL_DOC_CLASS_III_RECONCILED ROWS:p13r9</t>
        </is>
      </c>
    </row>
    <row r="157">
      <c r="A157" s="15" t="inlineStr">
        <is>
          <t>CAIXA ECONOMICA FEDERAL</t>
        </is>
      </c>
      <c r="B157" s="16" t="n">
        <v>1776656.29</v>
      </c>
      <c r="C157" s="17" t="inlineStr"/>
      <c r="D157" s="18" t="inlineStr">
        <is>
          <t>NEW</t>
        </is>
      </c>
      <c r="E157" s="19" t="inlineStr"/>
      <c r="F157" s="18" t="inlineStr"/>
      <c r="G157" s="19" t="inlineStr"/>
      <c r="H157" s="18" t="inlineStr"/>
      <c r="I157" s="20" t="inlineStr">
        <is>
          <t>ADRIANO ASSIS MATIAS</t>
        </is>
      </c>
      <c r="J157" s="20" t="inlineStr">
        <is>
          <t>Administrador</t>
        </is>
      </c>
      <c r="K157" s="20" t="inlineStr">
        <is>
          <t>(00) 4004-0104</t>
        </is>
      </c>
      <c r="L157" s="20" t="inlineStr"/>
      <c r="M157" s="20" t="inlineStr"/>
      <c r="N157" s="20" t="inlineStr"/>
      <c r="O157" s="20" t="inlineStr"/>
      <c r="P157" s="20" t="inlineStr">
        <is>
          <t>HENRIETE ALEXANDRA SARTORI BERNABE</t>
        </is>
      </c>
      <c r="Q157" s="20" t="inlineStr">
        <is>
          <t>Administrador</t>
        </is>
      </c>
      <c r="R157" s="20" t="inlineStr">
        <is>
          <t>(00) 4004-0104</t>
        </is>
      </c>
      <c r="S157" s="20" t="inlineStr"/>
      <c r="T157" s="21" t="n">
        <v>1776656.29</v>
      </c>
      <c r="U157" s="22" t="inlineStr">
        <is>
          <t>B</t>
        </is>
      </c>
      <c r="V157" s="23">
        <f>IFERROR(VLOOKUP(U157,Assumptions!$A$7:$D$11,2,FALSE),0)</f>
        <v/>
      </c>
      <c r="W157" s="24">
        <f>MAX(0.5,IFERROR(VLOOKUP(U157,Assumptions!$A$7:$D$11,3,FALSE),3)+IFERROR(VLOOKUP(U157,Assumptions!$A$7:$D$11,4,FALSE),8)/2-IF(AN157="",0,YEAR(TODAY())-AN157))</f>
        <v/>
      </c>
      <c r="X157" s="21">
        <f>T157*V157/(1+Assumptions!$B$3)^W157</f>
        <v/>
      </c>
      <c r="Y157" s="25">
        <f>IF(T157=0,"",ROUND(X157/T157*100,1))</f>
        <v/>
      </c>
      <c r="Z157" s="26">
        <f>X157*Assumptions!$B$4</f>
        <v/>
      </c>
      <c r="AA157" s="25">
        <f>IF(T157=0,"",ROUND(Z157/T157*100,1))</f>
        <v/>
      </c>
      <c r="AB157" s="26">
        <f>X157-Z157</f>
        <v/>
      </c>
      <c r="AC157" s="25">
        <f>IF(T157=0,"",ROUND((X157-Z157)/T157*100,1))</f>
        <v/>
      </c>
      <c r="AD157" s="27" t="inlineStr">
        <is>
          <t>UNKNOWN</t>
        </is>
      </c>
      <c r="AE157" s="28" t="inlineStr">
        <is>
          <t>https://bbsadvogados.com.br/wp-content/uploads/2025/04/Equipseg-Edital-Relacao-de-Credores-da-Administradora-Judicial-art.-7o2o-da-LRF.pdf</t>
        </is>
      </c>
      <c r="AF157" s="27" t="inlineStr">
        <is>
          <t>p38 r11; p38 r12</t>
        </is>
      </c>
      <c r="AG157" s="27" t="inlineStr">
        <is>
          <t>p38: R$ 1.716.417,28; p38: R$ 60.239,01</t>
        </is>
      </c>
      <c r="AH157" s="27" t="inlineStr">
        <is>
          <t>AJ_LIST</t>
        </is>
      </c>
      <c r="AI157" s="27" t="inlineStr">
        <is>
          <t>2025-04-08</t>
        </is>
      </c>
      <c r="AJ157" s="27" t="inlineStr">
        <is>
          <t>OK_NO_TOTALS</t>
        </is>
      </c>
      <c r="AK157" s="29" t="inlineStr">
        <is>
          <t>0033736-15.2023.8.16.0185</t>
        </is>
      </c>
      <c r="AL157" s="29" t="inlineStr">
        <is>
          <t>TJ</t>
        </is>
      </c>
      <c r="AM157" s="29" t="inlineStr"/>
      <c r="AN157" s="29" t="n">
        <v>2023</v>
      </c>
      <c r="AO157" s="29" t="inlineStr">
        <is>
          <t>live case, no plan document yet</t>
        </is>
      </c>
      <c r="AP157" s="29" t="inlineStr">
        <is>
          <t>BRASILIA</t>
        </is>
      </c>
      <c r="AQ157" s="29" t="inlineStr">
        <is>
          <t>DF</t>
        </is>
      </c>
      <c r="AR157" s="29" t="inlineStr">
        <is>
          <t>Caixas econômicas</t>
        </is>
      </c>
      <c r="AS157" s="29" t="inlineStr">
        <is>
          <t>DEMAIS</t>
        </is>
      </c>
      <c r="AT157" s="29" t="inlineStr">
        <is>
          <t>LARGE CORP</t>
        </is>
      </c>
      <c r="AU157" s="29" t="inlineStr">
        <is>
          <t>00360305</t>
        </is>
      </c>
      <c r="AV157" s="29" t="n">
        <v>2</v>
      </c>
      <c r="AW157" s="29" t="inlineStr">
        <is>
          <t>ROWS:p38r11,p38r12 UNRECONCILED_SOURCE</t>
        </is>
      </c>
    </row>
    <row r="158">
      <c r="A158" s="15" t="inlineStr">
        <is>
          <t>BOA VISTA FUNDO DE INVESTIMENTO EM DIREITOS CREDITORIOS - NAO PADRONIZADO</t>
        </is>
      </c>
      <c r="B158" s="16" t="n">
        <v>2172949.97</v>
      </c>
      <c r="C158" s="17" t="inlineStr">
        <is>
          <t>IMOBI DESENVOLVIMENTO URBANO LTDA - EM RECUPERACAO JUDICIAL</t>
        </is>
      </c>
      <c r="D158" s="18" t="inlineStr">
        <is>
          <t>NEW</t>
        </is>
      </c>
      <c r="E158" s="19" t="inlineStr"/>
      <c r="F158" s="18" t="inlineStr"/>
      <c r="G158" s="19" t="inlineStr"/>
      <c r="H158" s="18" t="inlineStr"/>
      <c r="I158" s="20" t="inlineStr"/>
      <c r="J158" s="20" t="inlineStr"/>
      <c r="K158" s="20" t="inlineStr"/>
      <c r="L158" s="20" t="inlineStr"/>
      <c r="M158" s="20" t="inlineStr"/>
      <c r="N158" s="20" t="inlineStr"/>
      <c r="O158" s="20" t="inlineStr"/>
      <c r="P158" s="20" t="inlineStr"/>
      <c r="Q158" s="20" t="inlineStr"/>
      <c r="R158" s="20" t="inlineStr"/>
      <c r="S158" s="20" t="inlineStr"/>
      <c r="T158" s="21" t="n">
        <v>2172949.97</v>
      </c>
      <c r="U158" s="22" t="inlineStr">
        <is>
          <t>B</t>
        </is>
      </c>
      <c r="V158" s="23">
        <f>IFERROR(VLOOKUP(U158,Assumptions!$A$7:$D$11,2,FALSE),0)</f>
        <v/>
      </c>
      <c r="W158" s="24">
        <f>MAX(0.5,IFERROR(VLOOKUP(U158,Assumptions!$A$7:$D$11,3,FALSE),3)+IFERROR(VLOOKUP(U158,Assumptions!$A$7:$D$11,4,FALSE),8)/2-IF(AN158="",0,YEAR(TODAY())-AN158))</f>
        <v/>
      </c>
      <c r="X158" s="21">
        <f>T158*V158/(1+Assumptions!$B$3)^W158</f>
        <v/>
      </c>
      <c r="Y158" s="25">
        <f>IF(T158=0,"",ROUND(X158/T158*100,1))</f>
        <v/>
      </c>
      <c r="Z158" s="26">
        <f>X158*Assumptions!$B$4</f>
        <v/>
      </c>
      <c r="AA158" s="25">
        <f>IF(T158=0,"",ROUND(Z158/T158*100,1))</f>
        <v/>
      </c>
      <c r="AB158" s="26">
        <f>X158-Z158</f>
        <v/>
      </c>
      <c r="AC158" s="25">
        <f>IF(T158=0,"",ROUND((X158-Z158)/T158*100,1))</f>
        <v/>
      </c>
      <c r="AD158" s="27" t="inlineStr">
        <is>
          <t>ESTIMATED</t>
        </is>
      </c>
      <c r="AE158" s="28" t="inlineStr">
        <is>
          <t>https://lrflideres.com.br/wp-content/plugins/download-attachments/includes/download.php?id=6273</t>
        </is>
      </c>
      <c r="AF158" s="27" t="inlineStr">
        <is>
          <t>p4 r2</t>
        </is>
      </c>
      <c r="AG158" s="27" t="inlineStr">
        <is>
          <t>p4: R$ 2.172.949,97</t>
        </is>
      </c>
      <c r="AH158" s="27" t="inlineStr">
        <is>
          <t>AJ_LIST</t>
        </is>
      </c>
      <c r="AI158" s="27" t="inlineStr">
        <is>
          <t>2024-11-14</t>
        </is>
      </c>
      <c r="AJ158" s="27" t="inlineStr">
        <is>
          <t>OK</t>
        </is>
      </c>
      <c r="AK158" s="29" t="inlineStr">
        <is>
          <t>0074500-63.2024.8.17.2001</t>
        </is>
      </c>
      <c r="AL158" s="29" t="inlineStr">
        <is>
          <t>TJPE</t>
        </is>
      </c>
      <c r="AM158" s="29" t="inlineStr">
        <is>
          <t>ACTIVE</t>
        </is>
      </c>
      <c r="AN158" s="29" t="n">
        <v>2024</v>
      </c>
      <c r="AO158" s="29" t="inlineStr">
        <is>
          <t>live case, no plan document yet</t>
        </is>
      </c>
      <c r="AP158" s="29" t="inlineStr"/>
      <c r="AQ158" s="29" t="inlineStr"/>
      <c r="AR158" s="29" t="inlineStr"/>
      <c r="AS158" s="29" t="inlineStr"/>
      <c r="AT158" s="29" t="inlineStr">
        <is>
          <t>MID-MARKET</t>
        </is>
      </c>
      <c r="AU158" s="29" t="inlineStr">
        <is>
          <t>12592411</t>
        </is>
      </c>
      <c r="AV158" s="29" t="n">
        <v>1</v>
      </c>
      <c r="AW158" s="29" t="inlineStr">
        <is>
          <t>LIKELY_FINANCIAL_BY_NAME ROWS:p4r2</t>
        </is>
      </c>
    </row>
    <row r="159">
      <c r="A159" s="15" t="inlineStr">
        <is>
          <t>BANCO DAYCOVAL S.A.</t>
        </is>
      </c>
      <c r="B159" s="16" t="n">
        <v>2710655.64</v>
      </c>
      <c r="C159" s="17" t="inlineStr">
        <is>
          <t>ARRUDA &amp; MELO COMERCIO E DISTRIBUICAO DE ALIMENTOS E BEBIDAS LTDA</t>
        </is>
      </c>
      <c r="D159" s="18" t="inlineStr">
        <is>
          <t>NEW</t>
        </is>
      </c>
      <c r="E159" s="19" t="inlineStr"/>
      <c r="F159" s="18" t="inlineStr"/>
      <c r="G159" s="19" t="inlineStr"/>
      <c r="H159" s="18" t="inlineStr"/>
      <c r="I159" s="20" t="inlineStr">
        <is>
          <t>ADELY DAYAN HAMOUI</t>
        </is>
      </c>
      <c r="J159" s="20" t="inlineStr">
        <is>
          <t>Diretor</t>
        </is>
      </c>
      <c r="K159" s="20" t="inlineStr">
        <is>
          <t>(11) 3138-0500</t>
        </is>
      </c>
      <c r="L159" s="20" t="inlineStr"/>
      <c r="M159" s="20" t="inlineStr"/>
      <c r="N159" s="20" t="inlineStr"/>
      <c r="O159" s="20" t="inlineStr"/>
      <c r="P159" s="20" t="inlineStr">
        <is>
          <t>ALBERT ROUBEN</t>
        </is>
      </c>
      <c r="Q159" s="20" t="inlineStr">
        <is>
          <t>Diretor</t>
        </is>
      </c>
      <c r="R159" s="20" t="inlineStr">
        <is>
          <t>(11) 3138-0500</t>
        </is>
      </c>
      <c r="S159" s="20" t="inlineStr"/>
      <c r="T159" s="21" t="n">
        <v>2710655.64</v>
      </c>
      <c r="U159" s="22" t="inlineStr">
        <is>
          <t>B</t>
        </is>
      </c>
      <c r="V159" s="23">
        <f>IFERROR(VLOOKUP(U159,Assumptions!$A$7:$D$11,2,FALSE),0)</f>
        <v/>
      </c>
      <c r="W159" s="24">
        <f>MAX(0.5,IFERROR(VLOOKUP(U159,Assumptions!$A$7:$D$11,3,FALSE),3)+IFERROR(VLOOKUP(U159,Assumptions!$A$7:$D$11,4,FALSE),8)/2-IF(AN159="",0,YEAR(TODAY())-AN159))</f>
        <v/>
      </c>
      <c r="X159" s="21">
        <f>T159*V159/(1+Assumptions!$B$3)^W159</f>
        <v/>
      </c>
      <c r="Y159" s="25">
        <f>IF(T159=0,"",ROUND(X159/T159*100,1))</f>
        <v/>
      </c>
      <c r="Z159" s="26">
        <f>X159*Assumptions!$B$4</f>
        <v/>
      </c>
      <c r="AA159" s="25">
        <f>IF(T159=0,"",ROUND(Z159/T159*100,1))</f>
        <v/>
      </c>
      <c r="AB159" s="26">
        <f>X159-Z159</f>
        <v/>
      </c>
      <c r="AC159" s="25">
        <f>IF(T159=0,"",ROUND((X159-Z159)/T159*100,1))</f>
        <v/>
      </c>
      <c r="AD159" s="27" t="inlineStr">
        <is>
          <t>ESTIMATED</t>
        </is>
      </c>
      <c r="AE159" s="28" t="inlineStr">
        <is>
          <t>https://diligence.adm.br/wp-content/uploads/2025/06/Edital-1a-Lista-de-Credores.pdf</t>
        </is>
      </c>
      <c r="AF159" s="27" t="inlineStr">
        <is>
          <t>p5 r50</t>
        </is>
      </c>
      <c r="AG159" s="27" t="inlineStr">
        <is>
          <t>p5: R$ 2.710.655,64</t>
        </is>
      </c>
      <c r="AH159" s="27" t="inlineStr">
        <is>
          <t>DEBTOR_LIST</t>
        </is>
      </c>
      <c r="AI159" s="27" t="inlineStr">
        <is>
          <t>2025-06-10</t>
        </is>
      </c>
      <c r="AJ159" s="27" t="inlineStr">
        <is>
          <t>OK</t>
        </is>
      </c>
      <c r="AK159" s="29" t="inlineStr">
        <is>
          <t>0008526-45.2025.8.17.2001</t>
        </is>
      </c>
      <c r="AL159" s="29" t="inlineStr">
        <is>
          <t>TJPE</t>
        </is>
      </c>
      <c r="AM159" s="29" t="inlineStr">
        <is>
          <t>ACTIVE</t>
        </is>
      </c>
      <c r="AN159" s="29" t="n">
        <v>2025</v>
      </c>
      <c r="AO159" s="29" t="inlineStr">
        <is>
          <t>live case, no plan document yet</t>
        </is>
      </c>
      <c r="AP159" s="29" t="inlineStr">
        <is>
          <t>SAO PAULO</t>
        </is>
      </c>
      <c r="AQ159" s="29" t="inlineStr">
        <is>
          <t>SP</t>
        </is>
      </c>
      <c r="AR159" s="29" t="inlineStr">
        <is>
          <t>Bancos múltiplos, com carteira comercial</t>
        </is>
      </c>
      <c r="AS159" s="29" t="inlineStr">
        <is>
          <t>DEMAIS</t>
        </is>
      </c>
      <c r="AT159" s="29" t="inlineStr">
        <is>
          <t>LARGE CORP</t>
        </is>
      </c>
      <c r="AU159" s="29" t="inlineStr">
        <is>
          <t>62232889</t>
        </is>
      </c>
      <c r="AV159" s="29" t="n">
        <v>1</v>
      </c>
      <c r="AW159" s="29" t="inlineStr">
        <is>
          <t>LIKELY_FINANCIAL_BY_NAME ROWS:p5r50</t>
        </is>
      </c>
    </row>
    <row r="160">
      <c r="A160" s="15" t="inlineStr">
        <is>
          <t>BANCO SANTANDER (BRASIL) S.A.</t>
        </is>
      </c>
      <c r="B160" s="16" t="n">
        <v>5000000</v>
      </c>
      <c r="C160" s="17" t="inlineStr"/>
      <c r="D160" s="18" t="inlineStr">
        <is>
          <t>NEW</t>
        </is>
      </c>
      <c r="E160" s="19" t="inlineStr"/>
      <c r="F160" s="18" t="inlineStr"/>
      <c r="G160" s="19" t="inlineStr"/>
      <c r="H160" s="18" t="inlineStr"/>
      <c r="I160" s="20" t="inlineStr">
        <is>
          <t>GILSON FINKELSZTAIN</t>
        </is>
      </c>
      <c r="J160" s="20" t="inlineStr">
        <is>
          <t>Presidente</t>
        </is>
      </c>
      <c r="K160" s="20" t="inlineStr">
        <is>
          <t>(11) 4004-3535</t>
        </is>
      </c>
      <c r="L160" s="20" t="inlineStr"/>
      <c r="M160" s="20" t="inlineStr"/>
      <c r="N160" s="20" t="inlineStr"/>
      <c r="O160" s="20" t="inlineStr"/>
      <c r="P160" s="20" t="inlineStr">
        <is>
          <t>ALESSANDRO CHAGAS FARIAS</t>
        </is>
      </c>
      <c r="Q160" s="20" t="inlineStr">
        <is>
          <t>Diretor</t>
        </is>
      </c>
      <c r="R160" s="20" t="inlineStr">
        <is>
          <t>(11) 4004-3535</t>
        </is>
      </c>
      <c r="S160" s="20" t="inlineStr"/>
      <c r="T160" s="21" t="n">
        <v>5000000</v>
      </c>
      <c r="U160" s="30" t="inlineStr">
        <is>
          <t>?</t>
        </is>
      </c>
      <c r="V160" s="23">
        <f>IFERROR(VLOOKUP(U160,Assumptions!$A$7:$D$11,2,FALSE),0)</f>
        <v/>
      </c>
      <c r="W160" s="24">
        <f>MAX(0.5,IFERROR(VLOOKUP(U160,Assumptions!$A$7:$D$11,3,FALSE),3)+IFERROR(VLOOKUP(U160,Assumptions!$A$7:$D$11,4,FALSE),8)/2-IF(AN160="",0,YEAR(TODAY())-AN160))</f>
        <v/>
      </c>
      <c r="X160" s="21">
        <f>T160*V160/(1+Assumptions!$B$3)^W160</f>
        <v/>
      </c>
      <c r="Y160" s="25">
        <f>IF(T160=0,"",ROUND(X160/T160*100,1))</f>
        <v/>
      </c>
      <c r="Z160" s="26">
        <f>X160*Assumptions!$B$4</f>
        <v/>
      </c>
      <c r="AA160" s="25">
        <f>IF(T160=0,"",ROUND(Z160/T160*100,1))</f>
        <v/>
      </c>
      <c r="AB160" s="26">
        <f>X160-Z160</f>
        <v/>
      </c>
      <c r="AC160" s="25">
        <f>IF(T160=0,"",ROUND((X160-Z160)/T160*100,1))</f>
        <v/>
      </c>
      <c r="AD160" s="27" t="inlineStr">
        <is>
          <t>UNKNOWN</t>
        </is>
      </c>
      <c r="AE160" s="28" t="inlineStr">
        <is>
          <t>https://ajruiz.com.br/sites/default/files/public/arquivos-processos/2023-11/4_relacao_de_credores_analitica_art._51_iii_da_lre.pdf</t>
        </is>
      </c>
      <c r="AF160" s="27" t="inlineStr">
        <is>
          <t>p2 r16</t>
        </is>
      </c>
      <c r="AG160" s="27" t="inlineStr">
        <is>
          <t>p2: R$ 5.000.000,00</t>
        </is>
      </c>
      <c r="AH160" s="27" t="inlineStr">
        <is>
          <t>UNKNOWN</t>
        </is>
      </c>
      <c r="AI160" s="27" t="inlineStr"/>
      <c r="AJ160" s="27" t="inlineStr">
        <is>
          <t>OK</t>
        </is>
      </c>
      <c r="AK160" s="29" t="inlineStr">
        <is>
          <t>(not printed)</t>
        </is>
      </c>
      <c r="AL160" s="29" t="inlineStr"/>
      <c r="AM160" s="29" t="inlineStr"/>
      <c r="AN160" s="29" t="inlineStr"/>
      <c r="AO160" s="29" t="inlineStr">
        <is>
          <t>RJ case number not identified on the document</t>
        </is>
      </c>
      <c r="AP160" s="29" t="inlineStr">
        <is>
          <t>SAO PAULO</t>
        </is>
      </c>
      <c r="AQ160" s="29" t="inlineStr">
        <is>
          <t>SP</t>
        </is>
      </c>
      <c r="AR160" s="29" t="inlineStr">
        <is>
          <t>Bancos múltiplos, com carteira comercial</t>
        </is>
      </c>
      <c r="AS160" s="29" t="inlineStr">
        <is>
          <t>DEMAIS</t>
        </is>
      </c>
      <c r="AT160" s="29" t="inlineStr">
        <is>
          <t>LARGE CORP</t>
        </is>
      </c>
      <c r="AU160" s="29" t="inlineStr">
        <is>
          <t>90400888</t>
        </is>
      </c>
      <c r="AV160" s="29" t="n">
        <v>1</v>
      </c>
      <c r="AW160" s="29" t="inlineStr">
        <is>
          <t>ALT_VALUE:BANCOS ROWS:p2r16 VALUE_COL:Valor_Do_Crédito CASE_NUMBER_CORRECTED</t>
        </is>
      </c>
    </row>
    <row r="161">
      <c r="A161" s="15" t="inlineStr">
        <is>
          <t>BANCO DO NORDESTE DO BRASIL SA</t>
        </is>
      </c>
      <c r="B161" s="16" t="n">
        <v>3330393.67</v>
      </c>
      <c r="C161" s="17" t="inlineStr">
        <is>
          <t>E FALENCIA</t>
        </is>
      </c>
      <c r="D161" s="18" t="inlineStr">
        <is>
          <t>NEW</t>
        </is>
      </c>
      <c r="E161" s="19" t="inlineStr"/>
      <c r="F161" s="18" t="inlineStr"/>
      <c r="G161" s="19" t="inlineStr"/>
      <c r="H161" s="18" t="inlineStr"/>
      <c r="I161" s="20" t="inlineStr">
        <is>
          <t>PAULO HENRIQUE SARAIVA CAMARA</t>
        </is>
      </c>
      <c r="J161" s="20" t="inlineStr">
        <is>
          <t>Presidente</t>
        </is>
      </c>
      <c r="K161" s="20" t="inlineStr">
        <is>
          <t>(85) 3299-3000</t>
        </is>
      </c>
      <c r="L161" s="20" t="inlineStr"/>
      <c r="M161" s="20" t="inlineStr"/>
      <c r="N161" s="20" t="inlineStr"/>
      <c r="O161" s="20" t="inlineStr"/>
      <c r="P161" s="20" t="inlineStr">
        <is>
          <t>ANA TERESA BARBOSA DE CARVALHO</t>
        </is>
      </c>
      <c r="Q161" s="20" t="inlineStr">
        <is>
          <t>Diretor</t>
        </is>
      </c>
      <c r="R161" s="20" t="inlineStr">
        <is>
          <t>(85) 3299-3000</t>
        </is>
      </c>
      <c r="S161" s="20" t="inlineStr"/>
      <c r="T161" s="21" t="n">
        <v>3330393.67</v>
      </c>
      <c r="U161" s="22" t="inlineStr">
        <is>
          <t>B</t>
        </is>
      </c>
      <c r="V161" s="23">
        <f>IFERROR(VLOOKUP(U161,Assumptions!$A$7:$D$11,2,FALSE),0)</f>
        <v/>
      </c>
      <c r="W161" s="24">
        <f>MAX(0.5,IFERROR(VLOOKUP(U161,Assumptions!$A$7:$D$11,3,FALSE),3)+IFERROR(VLOOKUP(U161,Assumptions!$A$7:$D$11,4,FALSE),8)/2-IF(AN161="",0,YEAR(TODAY())-AN161))</f>
        <v/>
      </c>
      <c r="X161" s="21">
        <f>T161*V161/(1+Assumptions!$B$3)^W161</f>
        <v/>
      </c>
      <c r="Y161" s="25">
        <f>IF(T161=0,"",ROUND(X161/T161*100,1))</f>
        <v/>
      </c>
      <c r="Z161" s="26">
        <f>X161*Assumptions!$B$4</f>
        <v/>
      </c>
      <c r="AA161" s="25">
        <f>IF(T161=0,"",ROUND(Z161/T161*100,1))</f>
        <v/>
      </c>
      <c r="AB161" s="26">
        <f>X161-Z161</f>
        <v/>
      </c>
      <c r="AC161" s="25">
        <f>IF(T161=0,"",ROUND((X161-Z161)/T161*100,1))</f>
        <v/>
      </c>
      <c r="AD161" s="27" t="inlineStr">
        <is>
          <t>ESTIMATED</t>
        </is>
      </c>
      <c r="AE161" s="28" t="inlineStr">
        <is>
          <t>https://recuperasolucoes.com/wp-content/plugins/download-attachments/includes/download.php?id=1597</t>
        </is>
      </c>
      <c r="AF161" s="27" t="inlineStr">
        <is>
          <t>p13 r5</t>
        </is>
      </c>
      <c r="AG161" s="27" t="inlineStr">
        <is>
          <t>p13: R$ 3.330.393,67</t>
        </is>
      </c>
      <c r="AH161" s="27" t="inlineStr">
        <is>
          <t>DEBTOR_LIST</t>
        </is>
      </c>
      <c r="AI161" s="27" t="inlineStr">
        <is>
          <t>2026-05-21</t>
        </is>
      </c>
      <c r="AJ161" s="27" t="inlineStr">
        <is>
          <t>OK</t>
        </is>
      </c>
      <c r="AK161" s="29" t="inlineStr">
        <is>
          <t>0001639-09.2026.8.17.2810</t>
        </is>
      </c>
      <c r="AL161" s="29" t="inlineStr">
        <is>
          <t>TJPE</t>
        </is>
      </c>
      <c r="AM161" s="29" t="inlineStr">
        <is>
          <t>ACTIVE</t>
        </is>
      </c>
      <c r="AN161" s="29" t="n">
        <v>2026</v>
      </c>
      <c r="AO161" s="29" t="inlineStr">
        <is>
          <t>live case, no plan document yet</t>
        </is>
      </c>
      <c r="AP161" s="29" t="inlineStr">
        <is>
          <t>FORTALEZA</t>
        </is>
      </c>
      <c r="AQ161" s="29" t="inlineStr">
        <is>
          <t>CE</t>
        </is>
      </c>
      <c r="AR161" s="29" t="inlineStr">
        <is>
          <t>Bancos múltiplos, com carteira comercial</t>
        </is>
      </c>
      <c r="AS161" s="29" t="inlineStr">
        <is>
          <t>DEMAIS</t>
        </is>
      </c>
      <c r="AT161" s="29" t="inlineStr">
        <is>
          <t>LARGE CORP</t>
        </is>
      </c>
      <c r="AU161" s="29" t="inlineStr">
        <is>
          <t>07237373</t>
        </is>
      </c>
      <c r="AV161" s="29" t="n">
        <v>1</v>
      </c>
      <c r="AW161" s="29" t="inlineStr">
        <is>
          <t>ROWS:p13r5</t>
        </is>
      </c>
    </row>
    <row r="162">
      <c r="A162" s="15" t="inlineStr">
        <is>
          <t>BANCO DO BRASIL SA</t>
        </is>
      </c>
      <c r="B162" s="16" t="n">
        <v>2653205.78</v>
      </c>
      <c r="C162" s="17" t="inlineStr">
        <is>
          <t>ATIVOS ADMINISTRAÇÃO JUDICIA</t>
        </is>
      </c>
      <c r="D162" s="18" t="inlineStr">
        <is>
          <t>NEW</t>
        </is>
      </c>
      <c r="E162" s="19" t="inlineStr"/>
      <c r="F162" s="18" t="inlineStr"/>
      <c r="G162" s="19" t="inlineStr"/>
      <c r="H162" s="18" t="inlineStr"/>
      <c r="I162" s="20" t="inlineStr">
        <is>
          <t>TARCIANA PAULA GOMES MEDEIROS</t>
        </is>
      </c>
      <c r="J162" s="20" t="inlineStr">
        <is>
          <t>Presidente</t>
        </is>
      </c>
      <c r="K162" s="20" t="inlineStr">
        <is>
          <t>(61) 3493-9002</t>
        </is>
      </c>
      <c r="L162" s="20" t="inlineStr"/>
      <c r="M162" s="20" t="inlineStr"/>
      <c r="N162" s="20" t="inlineStr"/>
      <c r="O162" s="20" t="inlineStr"/>
      <c r="P162" s="20" t="inlineStr">
        <is>
          <t>ALAN CARLOS GUEDES DE OLIVEIRA</t>
        </is>
      </c>
      <c r="Q162" s="20" t="inlineStr">
        <is>
          <t>Diretor</t>
        </is>
      </c>
      <c r="R162" s="20" t="inlineStr">
        <is>
          <t>(61) 3493-9002</t>
        </is>
      </c>
      <c r="S162" s="20" t="inlineStr"/>
      <c r="T162" s="21" t="n">
        <v>2653205.78</v>
      </c>
      <c r="U162" s="22" t="inlineStr">
        <is>
          <t>B</t>
        </is>
      </c>
      <c r="V162" s="23">
        <f>IFERROR(VLOOKUP(U162,Assumptions!$A$7:$D$11,2,FALSE),0)</f>
        <v/>
      </c>
      <c r="W162" s="24">
        <f>MAX(0.5,IFERROR(VLOOKUP(U162,Assumptions!$A$7:$D$11,3,FALSE),3)+IFERROR(VLOOKUP(U162,Assumptions!$A$7:$D$11,4,FALSE),8)/2-IF(AN162="",0,YEAR(TODAY())-AN162))</f>
        <v/>
      </c>
      <c r="X162" s="21">
        <f>T162*V162/(1+Assumptions!$B$3)^W162</f>
        <v/>
      </c>
      <c r="Y162" s="25">
        <f>IF(T162=0,"",ROUND(X162/T162*100,1))</f>
        <v/>
      </c>
      <c r="Z162" s="26">
        <f>X162*Assumptions!$B$4</f>
        <v/>
      </c>
      <c r="AA162" s="25">
        <f>IF(T162=0,"",ROUND(Z162/T162*100,1))</f>
        <v/>
      </c>
      <c r="AB162" s="26">
        <f>X162-Z162</f>
        <v/>
      </c>
      <c r="AC162" s="25">
        <f>IF(T162=0,"",ROUND((X162-Z162)/T162*100,1))</f>
        <v/>
      </c>
      <c r="AD162" s="27" t="inlineStr">
        <is>
          <t>ESTIMATED</t>
        </is>
      </c>
      <c r="AE162" s="28" t="inlineStr">
        <is>
          <t>https://ativosajce.com.br/admin/download.php?file=files/processo_documento/processo_documento13422625032025_1_.pdf&amp;nome=Relação de Credores - Art. 52º § 1º, da Lei nº 11.101/2005 - 25/02/2025</t>
        </is>
      </c>
      <c r="AF162" s="27" t="inlineStr">
        <is>
          <t>p3 r17; p3 r18; p3 r19; p3 r20</t>
        </is>
      </c>
      <c r="AG162" s="27" t="inlineStr">
        <is>
          <t>p3: R$ 220.846,00; p3: R$ 326.104,88; p3: R$ 400.000,00; p3: R$ 1.706.254,90</t>
        </is>
      </c>
      <c r="AH162" s="27" t="inlineStr">
        <is>
          <t>UNKNOWN</t>
        </is>
      </c>
      <c r="AI162" s="27" t="inlineStr">
        <is>
          <t>2025-02-28</t>
        </is>
      </c>
      <c r="AJ162" s="27" t="inlineStr">
        <is>
          <t>OK_NO_TOTALS</t>
        </is>
      </c>
      <c r="AK162" s="29" t="inlineStr">
        <is>
          <t>1000119-75.2025.8.26.0354</t>
        </is>
      </c>
      <c r="AL162" s="29" t="inlineStr">
        <is>
          <t>TJSP</t>
        </is>
      </c>
      <c r="AM162" s="29" t="inlineStr">
        <is>
          <t>ACTIVE</t>
        </is>
      </c>
      <c r="AN162" s="29" t="n">
        <v>2025</v>
      </c>
      <c r="AO162" s="29" t="inlineStr">
        <is>
          <t>live case, no plan document yet</t>
        </is>
      </c>
      <c r="AP162" s="29" t="inlineStr">
        <is>
          <t>BRASILIA</t>
        </is>
      </c>
      <c r="AQ162" s="29" t="inlineStr">
        <is>
          <t>DF</t>
        </is>
      </c>
      <c r="AR162" s="29" t="inlineStr">
        <is>
          <t>Bancos múltiplos, com carteira comercial</t>
        </is>
      </c>
      <c r="AS162" s="29" t="inlineStr">
        <is>
          <t>DEMAIS</t>
        </is>
      </c>
      <c r="AT162" s="29" t="inlineStr">
        <is>
          <t>LARGE CORP</t>
        </is>
      </c>
      <c r="AU162" s="29" t="inlineStr">
        <is>
          <t>00000000</t>
        </is>
      </c>
      <c r="AV162" s="29" t="n">
        <v>4</v>
      </c>
      <c r="AW162" s="29" t="inlineStr">
        <is>
          <t>LIKELY_FINANCIAL_BY_NAME ROWS:p3r17,p3r18,p3r19,p3r20 UNRECONCILED_SOURCE</t>
        </is>
      </c>
    </row>
    <row r="163">
      <c r="A163" s="15" t="inlineStr">
        <is>
          <t>BANCO SAFRA S A</t>
        </is>
      </c>
      <c r="B163" s="16" t="n">
        <v>1697422.77</v>
      </c>
      <c r="C163" s="17" t="inlineStr">
        <is>
          <t>BBR AGRO SUPLEMENTOS LTDA EM RECUPERACAO JUDICIAL</t>
        </is>
      </c>
      <c r="D163" s="18" t="inlineStr">
        <is>
          <t>NEW</t>
        </is>
      </c>
      <c r="E163" s="19" t="inlineStr"/>
      <c r="F163" s="18" t="inlineStr"/>
      <c r="G163" s="19" t="inlineStr"/>
      <c r="H163" s="18" t="inlineStr"/>
      <c r="I163" s="20" t="inlineStr">
        <is>
          <t>RAFAEL BORDALO QUINTAS</t>
        </is>
      </c>
      <c r="J163" s="20" t="inlineStr">
        <is>
          <t>Administrador</t>
        </is>
      </c>
      <c r="K163" s="20" t="inlineStr">
        <is>
          <t>(11) 3175-7575</t>
        </is>
      </c>
      <c r="L163" s="20" t="inlineStr"/>
      <c r="M163" s="20" t="inlineStr"/>
      <c r="N163" s="20" t="inlineStr"/>
      <c r="O163" s="20" t="inlineStr"/>
      <c r="P163" s="20" t="inlineStr">
        <is>
          <t>ADRIANO MACIEL PEDROTI</t>
        </is>
      </c>
      <c r="Q163" s="20" t="inlineStr">
        <is>
          <t>Diretor</t>
        </is>
      </c>
      <c r="R163" s="20" t="inlineStr">
        <is>
          <t>(11) 3175-7575</t>
        </is>
      </c>
      <c r="S163" s="20" t="inlineStr"/>
      <c r="T163" s="21" t="n">
        <v>1697422.77</v>
      </c>
      <c r="U163" s="22" t="inlineStr">
        <is>
          <t>B</t>
        </is>
      </c>
      <c r="V163" s="23">
        <f>IFERROR(VLOOKUP(U163,Assumptions!$A$7:$D$11,2,FALSE),0)</f>
        <v/>
      </c>
      <c r="W163" s="24">
        <f>MAX(0.5,IFERROR(VLOOKUP(U163,Assumptions!$A$7:$D$11,3,FALSE),3)+IFERROR(VLOOKUP(U163,Assumptions!$A$7:$D$11,4,FALSE),8)/2-IF(AN163="",0,YEAR(TODAY())-AN163))</f>
        <v/>
      </c>
      <c r="X163" s="21">
        <f>T163*V163/(1+Assumptions!$B$3)^W163</f>
        <v/>
      </c>
      <c r="Y163" s="25">
        <f>IF(T163=0,"",ROUND(X163/T163*100,1))</f>
        <v/>
      </c>
      <c r="Z163" s="26">
        <f>X163*Assumptions!$B$4</f>
        <v/>
      </c>
      <c r="AA163" s="25">
        <f>IF(T163=0,"",ROUND(Z163/T163*100,1))</f>
        <v/>
      </c>
      <c r="AB163" s="26">
        <f>X163-Z163</f>
        <v/>
      </c>
      <c r="AC163" s="25">
        <f>IF(T163=0,"",ROUND((X163-Z163)/T163*100,1))</f>
        <v/>
      </c>
      <c r="AD163" s="27" t="inlineStr">
        <is>
          <t>ESTIMATED</t>
        </is>
      </c>
      <c r="AE163" s="28" t="inlineStr">
        <is>
          <t>https://ajruiz.com.br/sites/default/files/public/arquivos-processos/2026-06/alto_uruguai_qgc_junho.2026.pdf</t>
        </is>
      </c>
      <c r="AF163" s="27" t="inlineStr">
        <is>
          <t>p1 r9</t>
        </is>
      </c>
      <c r="AG163" s="27" t="inlineStr">
        <is>
          <t>p1: R$ 1.697.422,77</t>
        </is>
      </c>
      <c r="AH163" s="27" t="inlineStr">
        <is>
          <t>UNKNOWN</t>
        </is>
      </c>
      <c r="AI163" s="27" t="inlineStr"/>
      <c r="AJ163" s="27" t="inlineStr">
        <is>
          <t>OK</t>
        </is>
      </c>
      <c r="AK163" s="29" t="inlineStr">
        <is>
          <t>5012743-51.2023.8.24.0019</t>
        </is>
      </c>
      <c r="AL163" s="29" t="inlineStr">
        <is>
          <t>TJSC</t>
        </is>
      </c>
      <c r="AM163" s="29" t="inlineStr">
        <is>
          <t>ACTIVE</t>
        </is>
      </c>
      <c r="AN163" s="29" t="n">
        <v>2023</v>
      </c>
      <c r="AO163" s="29" t="inlineStr">
        <is>
          <t>live case, no plan document yet</t>
        </is>
      </c>
      <c r="AP163" s="29" t="inlineStr">
        <is>
          <t>SAO PAULO</t>
        </is>
      </c>
      <c r="AQ163" s="29" t="inlineStr">
        <is>
          <t>SP</t>
        </is>
      </c>
      <c r="AR163" s="29" t="inlineStr">
        <is>
          <t>Bancos múltiplos, com carteira comercial</t>
        </is>
      </c>
      <c r="AS163" s="29" t="inlineStr">
        <is>
          <t>DEMAIS</t>
        </is>
      </c>
      <c r="AT163" s="29" t="inlineStr">
        <is>
          <t>LARGE CORP</t>
        </is>
      </c>
      <c r="AU163" s="29" t="inlineStr">
        <is>
          <t>58160789</t>
        </is>
      </c>
      <c r="AV163" s="29" t="n">
        <v>1</v>
      </c>
      <c r="AW163" s="29" t="inlineStr">
        <is>
          <t>LIKELY_FINANCIAL_BY_NAME ROWS:p1r9 VALUE_COL:Valor_Do_Crédito</t>
        </is>
      </c>
    </row>
    <row r="164">
      <c r="A164" s="15" t="inlineStr">
        <is>
          <t>BANCO DO BRASIL SA</t>
        </is>
      </c>
      <c r="B164" s="16" t="n">
        <v>2646391.58</v>
      </c>
      <c r="C164" s="17" t="inlineStr">
        <is>
          <t>Cerealista Sa</t>
        </is>
      </c>
      <c r="D164" s="18" t="inlineStr">
        <is>
          <t>NEW</t>
        </is>
      </c>
      <c r="E164" s="19" t="inlineStr"/>
      <c r="F164" s="18" t="inlineStr"/>
      <c r="G164" s="19" t="inlineStr"/>
      <c r="H164" s="18" t="inlineStr"/>
      <c r="I164" s="20" t="inlineStr">
        <is>
          <t>TARCIANA PAULA GOMES MEDEIROS</t>
        </is>
      </c>
      <c r="J164" s="20" t="inlineStr">
        <is>
          <t>Presidente</t>
        </is>
      </c>
      <c r="K164" s="20" t="inlineStr">
        <is>
          <t>(61) 3493-9002</t>
        </is>
      </c>
      <c r="L164" s="20" t="inlineStr"/>
      <c r="M164" s="20" t="inlineStr"/>
      <c r="N164" s="20" t="inlineStr"/>
      <c r="O164" s="20" t="inlineStr"/>
      <c r="P164" s="20" t="inlineStr">
        <is>
          <t>ALAN CARLOS GUEDES DE OLIVEIRA</t>
        </is>
      </c>
      <c r="Q164" s="20" t="inlineStr">
        <is>
          <t>Diretor</t>
        </is>
      </c>
      <c r="R164" s="20" t="inlineStr">
        <is>
          <t>(61) 3493-9002</t>
        </is>
      </c>
      <c r="S164" s="20" t="inlineStr"/>
      <c r="T164" s="21" t="n">
        <v>2646391.58</v>
      </c>
      <c r="U164" s="22" t="inlineStr">
        <is>
          <t>B</t>
        </is>
      </c>
      <c r="V164" s="23">
        <f>IFERROR(VLOOKUP(U164,Assumptions!$A$7:$D$11,2,FALSE),0)</f>
        <v/>
      </c>
      <c r="W164" s="24">
        <f>MAX(0.5,IFERROR(VLOOKUP(U164,Assumptions!$A$7:$D$11,3,FALSE),3)+IFERROR(VLOOKUP(U164,Assumptions!$A$7:$D$11,4,FALSE),8)/2-IF(AN164="",0,YEAR(TODAY())-AN164))</f>
        <v/>
      </c>
      <c r="X164" s="21">
        <f>T164*V164/(1+Assumptions!$B$3)^W164</f>
        <v/>
      </c>
      <c r="Y164" s="25">
        <f>IF(T164=0,"",ROUND(X164/T164*100,1))</f>
        <v/>
      </c>
      <c r="Z164" s="26">
        <f>X164*Assumptions!$B$4</f>
        <v/>
      </c>
      <c r="AA164" s="25">
        <f>IF(T164=0,"",ROUND(Z164/T164*100,1))</f>
        <v/>
      </c>
      <c r="AB164" s="26">
        <f>X164-Z164</f>
        <v/>
      </c>
      <c r="AC164" s="25">
        <f>IF(T164=0,"",ROUND((X164-Z164)/T164*100,1))</f>
        <v/>
      </c>
      <c r="AD164" s="27" t="inlineStr">
        <is>
          <t>ESTIMATED</t>
        </is>
      </c>
      <c r="AE164" s="28" t="inlineStr">
        <is>
          <t>https://ajruiz.com.br/sites/default/files/public/arquivos-processos/2026-01/safrasul_relacao_de_credores_recuperanda.pdf</t>
        </is>
      </c>
      <c r="AF164" s="27" t="inlineStr">
        <is>
          <t>p8 r1</t>
        </is>
      </c>
      <c r="AG164" s="27" t="inlineStr">
        <is>
          <t>p8: R$ 2.646.391,58</t>
        </is>
      </c>
      <c r="AH164" s="27" t="inlineStr">
        <is>
          <t>AJ_LIST</t>
        </is>
      </c>
      <c r="AI164" s="27" t="inlineStr">
        <is>
          <t>2026-01-14</t>
        </is>
      </c>
      <c r="AJ164" s="27" t="inlineStr">
        <is>
          <t>OK_NO_TOTALS</t>
        </is>
      </c>
      <c r="AK164" s="29" t="inlineStr">
        <is>
          <t>4000167-23.2025.8.26.0373</t>
        </is>
      </c>
      <c r="AL164" s="29" t="inlineStr">
        <is>
          <t>TJSP</t>
        </is>
      </c>
      <c r="AM164" s="29" t="inlineStr">
        <is>
          <t>ACTIVE</t>
        </is>
      </c>
      <c r="AN164" s="29" t="n">
        <v>2025</v>
      </c>
      <c r="AO164" s="29" t="inlineStr">
        <is>
          <t>live case, no plan document yet</t>
        </is>
      </c>
      <c r="AP164" s="29" t="inlineStr">
        <is>
          <t>BRASILIA</t>
        </is>
      </c>
      <c r="AQ164" s="29" t="inlineStr">
        <is>
          <t>DF</t>
        </is>
      </c>
      <c r="AR164" s="29" t="inlineStr">
        <is>
          <t>Bancos múltiplos, com carteira comercial</t>
        </is>
      </c>
      <c r="AS164" s="29" t="inlineStr">
        <is>
          <t>DEMAIS</t>
        </is>
      </c>
      <c r="AT164" s="29" t="inlineStr">
        <is>
          <t>LARGE CORP</t>
        </is>
      </c>
      <c r="AU164" s="29" t="inlineStr">
        <is>
          <t>00000000</t>
        </is>
      </c>
      <c r="AV164" s="29" t="n">
        <v>1</v>
      </c>
      <c r="AW164" s="29" t="inlineStr">
        <is>
          <t>LIKELY_FINANCIAL_BY_NAME ROWS:p8r1 UNRECONCILED_SOURCE</t>
        </is>
      </c>
    </row>
    <row r="165">
      <c r="A165" s="15" t="inlineStr">
        <is>
          <t>KIRTON BANK S.A. - BANCO MULTIPLO</t>
        </is>
      </c>
      <c r="B165" s="16" t="n">
        <v>1894260.28</v>
      </c>
      <c r="C165" s="17" t="inlineStr">
        <is>
          <t>E FALENCIA</t>
        </is>
      </c>
      <c r="D165" s="18" t="inlineStr">
        <is>
          <t>NEW</t>
        </is>
      </c>
      <c r="E165" s="19" t="inlineStr"/>
      <c r="F165" s="18" t="inlineStr"/>
      <c r="G165" s="19" t="inlineStr"/>
      <c r="H165" s="18" t="inlineStr"/>
      <c r="I165" s="20" t="inlineStr">
        <is>
          <t>CLAYTON NEVES XAVIER</t>
        </is>
      </c>
      <c r="J165" s="20" t="inlineStr">
        <is>
          <t>Administrador</t>
        </is>
      </c>
      <c r="K165" s="20" t="inlineStr">
        <is>
          <t>(11) 3684-3884</t>
        </is>
      </c>
      <c r="L165" s="20" t="inlineStr"/>
      <c r="M165" s="20" t="inlineStr"/>
      <c r="N165" s="20" t="inlineStr"/>
      <c r="O165" s="20" t="inlineStr"/>
      <c r="P165" s="20" t="inlineStr">
        <is>
          <t>CRISTIANO ADJUTO E CAMPOS</t>
        </is>
      </c>
      <c r="Q165" s="20" t="inlineStr">
        <is>
          <t>Administrador</t>
        </is>
      </c>
      <c r="R165" s="20" t="inlineStr">
        <is>
          <t>(11) 3684-3884</t>
        </is>
      </c>
      <c r="S165" s="20" t="inlineStr"/>
      <c r="T165" s="21" t="n">
        <v>1894260.28</v>
      </c>
      <c r="U165" s="31" t="inlineStr">
        <is>
          <t>C</t>
        </is>
      </c>
      <c r="V165" s="23">
        <f>IFERROR(VLOOKUP(U165,Assumptions!$A$7:$D$11,2,FALSE),0)</f>
        <v/>
      </c>
      <c r="W165" s="24">
        <f>MAX(0.5,IFERROR(VLOOKUP(U165,Assumptions!$A$7:$D$11,3,FALSE),3)+IFERROR(VLOOKUP(U165,Assumptions!$A$7:$D$11,4,FALSE),8)/2-IF(AN165="",0,YEAR(TODAY())-AN165))</f>
        <v/>
      </c>
      <c r="X165" s="21">
        <f>T165*V165/(1+Assumptions!$B$3)^W165</f>
        <v/>
      </c>
      <c r="Y165" s="25">
        <f>IF(T165=0,"",ROUND(X165/T165*100,1))</f>
        <v/>
      </c>
      <c r="Z165" s="26">
        <f>X165*Assumptions!$B$4</f>
        <v/>
      </c>
      <c r="AA165" s="25">
        <f>IF(T165=0,"",ROUND(Z165/T165*100,1))</f>
        <v/>
      </c>
      <c r="AB165" s="26">
        <f>X165-Z165</f>
        <v/>
      </c>
      <c r="AC165" s="25">
        <f>IF(T165=0,"",ROUND((X165-Z165)/T165*100,1))</f>
        <v/>
      </c>
      <c r="AD165" s="27" t="inlineStr">
        <is>
          <t>UNKNOWN</t>
        </is>
      </c>
      <c r="AE165" s="28" t="inlineStr">
        <is>
          <t>https://diligence.adm.br/wp-content/plugins/download-attachments/includes/download.php?id=4579</t>
        </is>
      </c>
      <c r="AF165" s="27" t="inlineStr">
        <is>
          <t>p8 r7</t>
        </is>
      </c>
      <c r="AG165" s="27" t="inlineStr">
        <is>
          <t>p8: R$ 1.894.260,28</t>
        </is>
      </c>
      <c r="AH165" s="27" t="inlineStr">
        <is>
          <t>AJ_LIST</t>
        </is>
      </c>
      <c r="AI165" s="27" t="inlineStr">
        <is>
          <t>2024-06-11</t>
        </is>
      </c>
      <c r="AJ165" s="27" t="inlineStr">
        <is>
          <t>OK_NO_TOTALS</t>
        </is>
      </c>
      <c r="AK165" s="29" t="inlineStr">
        <is>
          <t>0032731-52.2010.8.17.0001</t>
        </is>
      </c>
      <c r="AL165" s="29" t="inlineStr">
        <is>
          <t>TJ</t>
        </is>
      </c>
      <c r="AM165" s="29" t="inlineStr"/>
      <c r="AN165" s="29" t="n">
        <v>2010</v>
      </c>
      <c r="AO165" s="29" t="inlineStr">
        <is>
          <t>16y since filing, no plan document</t>
        </is>
      </c>
      <c r="AP165" s="29" t="inlineStr">
        <is>
          <t>OSASCO</t>
        </is>
      </c>
      <c r="AQ165" s="29" t="inlineStr">
        <is>
          <t>SP</t>
        </is>
      </c>
      <c r="AR165" s="29" t="inlineStr">
        <is>
          <t>Bancos múltiplos, com carteira comercial</t>
        </is>
      </c>
      <c r="AS165" s="29" t="inlineStr">
        <is>
          <t>DEMAIS</t>
        </is>
      </c>
      <c r="AT165" s="29" t="inlineStr">
        <is>
          <t>LARGE CORP</t>
        </is>
      </c>
      <c r="AU165" s="29" t="inlineStr">
        <is>
          <t>01701201</t>
        </is>
      </c>
      <c r="AV165" s="29" t="n">
        <v>1</v>
      </c>
      <c r="AW165" s="29" t="inlineStr">
        <is>
          <t>LIKELY_FINANCIAL_BY_NAME ROWS:p8r7 UNRECONCILED_SOURCE VALUE_COL:Crédito_1ª_Lista</t>
        </is>
      </c>
    </row>
    <row r="166">
      <c r="A166" s="15" t="inlineStr">
        <is>
          <t>Banco Original S.A.</t>
        </is>
      </c>
      <c r="B166" s="16" t="n">
        <v>1653305.22</v>
      </c>
      <c r="C166" s="17" t="inlineStr">
        <is>
          <t>ADVOCACIA WANDERLEI DE PAULA BARRETO</t>
        </is>
      </c>
      <c r="D166" s="18" t="inlineStr">
        <is>
          <t>NEW</t>
        </is>
      </c>
      <c r="E166" s="19" t="inlineStr"/>
      <c r="F166" s="18" t="inlineStr"/>
      <c r="G166" s="19" t="inlineStr"/>
      <c r="H166" s="18" t="inlineStr"/>
      <c r="I166" s="20" t="inlineStr"/>
      <c r="J166" s="20" t="inlineStr"/>
      <c r="K166" s="20" t="inlineStr"/>
      <c r="L166" s="20" t="inlineStr"/>
      <c r="M166" s="20" t="inlineStr"/>
      <c r="N166" s="20" t="inlineStr"/>
      <c r="O166" s="20" t="inlineStr"/>
      <c r="P166" s="20" t="inlineStr"/>
      <c r="Q166" s="20" t="inlineStr"/>
      <c r="R166" s="20" t="inlineStr"/>
      <c r="S166" s="20" t="inlineStr"/>
      <c r="T166" s="21" t="n">
        <v>1653305.22</v>
      </c>
      <c r="U166" s="22" t="inlineStr">
        <is>
          <t>B</t>
        </is>
      </c>
      <c r="V166" s="23">
        <f>IFERROR(VLOOKUP(U166,Assumptions!$A$7:$D$11,2,FALSE),0)</f>
        <v/>
      </c>
      <c r="W166" s="24">
        <f>MAX(0.5,IFERROR(VLOOKUP(U166,Assumptions!$A$7:$D$11,3,FALSE),3)+IFERROR(VLOOKUP(U166,Assumptions!$A$7:$D$11,4,FALSE),8)/2-IF(AN166="",0,YEAR(TODAY())-AN166))</f>
        <v/>
      </c>
      <c r="X166" s="21">
        <f>T166*V166/(1+Assumptions!$B$3)^W166</f>
        <v/>
      </c>
      <c r="Y166" s="25">
        <f>IF(T166=0,"",ROUND(X166/T166*100,1))</f>
        <v/>
      </c>
      <c r="Z166" s="26">
        <f>X166*Assumptions!$B$4</f>
        <v/>
      </c>
      <c r="AA166" s="25">
        <f>IF(T166=0,"",ROUND(Z166/T166*100,1))</f>
        <v/>
      </c>
      <c r="AB166" s="26">
        <f>X166-Z166</f>
        <v/>
      </c>
      <c r="AC166" s="25">
        <f>IF(T166=0,"",ROUND((X166-Z166)/T166*100,1))</f>
        <v/>
      </c>
      <c r="AD166" s="27" t="inlineStr">
        <is>
          <t>ESTIMATED</t>
        </is>
      </c>
      <c r="AE166" s="28" t="inlineStr">
        <is>
          <t>https://marquesadmjudicial.com.br/sgc/download.php?file=files/processo_documento/processo_documento17040729052024_1_.pdf&amp;nome=Relação Nominal de Credores AJ-Sintética</t>
        </is>
      </c>
      <c r="AF166" s="27" t="inlineStr">
        <is>
          <t>p10 r4</t>
        </is>
      </c>
      <c r="AG166" s="27" t="inlineStr">
        <is>
          <t>p10: R$ 1.653.305,22</t>
        </is>
      </c>
      <c r="AH166" s="27" t="inlineStr">
        <is>
          <t>AJ_LIST</t>
        </is>
      </c>
      <c r="AI166" s="27" t="inlineStr">
        <is>
          <t>2024-05-27</t>
        </is>
      </c>
      <c r="AJ166" s="27" t="inlineStr">
        <is>
          <t>QUARANTINED</t>
        </is>
      </c>
      <c r="AK166" s="29" t="inlineStr">
        <is>
          <t>0003971-03.2023.8.16.0119</t>
        </is>
      </c>
      <c r="AL166" s="29" t="inlineStr">
        <is>
          <t>TJPR</t>
        </is>
      </c>
      <c r="AM166" s="29" t="inlineStr">
        <is>
          <t>ACTIVE</t>
        </is>
      </c>
      <c r="AN166" s="29" t="n">
        <v>2023</v>
      </c>
      <c r="AO166" s="29" t="inlineStr">
        <is>
          <t>live case, no plan document yet</t>
        </is>
      </c>
      <c r="AP166" s="29" t="inlineStr"/>
      <c r="AQ166" s="29" t="inlineStr"/>
      <c r="AR166" s="29" t="inlineStr"/>
      <c r="AS166" s="29" t="inlineStr"/>
      <c r="AT166" s="29" t="inlineStr">
        <is>
          <t>MID-MARKET</t>
        </is>
      </c>
      <c r="AU166" s="29" t="inlineStr">
        <is>
          <t>92894922</t>
        </is>
      </c>
      <c r="AV166" s="29" t="n">
        <v>1</v>
      </c>
      <c r="AW166" s="29" t="inlineStr">
        <is>
          <t>LIKELY_FINANCIAL_BY_NAME PARTIAL_DOC_CLASS_III_RECONCILED ROWS:p10r4</t>
        </is>
      </c>
    </row>
    <row r="167">
      <c r="A167" s="15" t="inlineStr">
        <is>
          <t>BANCO SANTANDER (BRASIL) S.A.</t>
        </is>
      </c>
      <c r="B167" s="16" t="n">
        <v>2576900.02</v>
      </c>
      <c r="C167" s="17" t="inlineStr">
        <is>
          <t>BACKES SOLUCOES LTDA</t>
        </is>
      </c>
      <c r="D167" s="18" t="inlineStr">
        <is>
          <t>NEW</t>
        </is>
      </c>
      <c r="E167" s="19" t="inlineStr"/>
      <c r="F167" s="18" t="inlineStr"/>
      <c r="G167" s="19" t="inlineStr"/>
      <c r="H167" s="18" t="inlineStr"/>
      <c r="I167" s="20" t="inlineStr">
        <is>
          <t>GILSON FINKELSZTAIN</t>
        </is>
      </c>
      <c r="J167" s="20" t="inlineStr">
        <is>
          <t>Presidente</t>
        </is>
      </c>
      <c r="K167" s="20" t="inlineStr">
        <is>
          <t>(11) 4004-3535</t>
        </is>
      </c>
      <c r="L167" s="20" t="inlineStr"/>
      <c r="M167" s="20" t="inlineStr"/>
      <c r="N167" s="20" t="inlineStr"/>
      <c r="O167" s="20" t="inlineStr"/>
      <c r="P167" s="20" t="inlineStr">
        <is>
          <t>ALESSANDRO CHAGAS FARIAS</t>
        </is>
      </c>
      <c r="Q167" s="20" t="inlineStr">
        <is>
          <t>Diretor</t>
        </is>
      </c>
      <c r="R167" s="20" t="inlineStr">
        <is>
          <t>(11) 4004-3535</t>
        </is>
      </c>
      <c r="S167" s="20" t="inlineStr"/>
      <c r="T167" s="21" t="n">
        <v>2576900.02</v>
      </c>
      <c r="U167" s="22" t="inlineStr">
        <is>
          <t>B</t>
        </is>
      </c>
      <c r="V167" s="23">
        <f>IFERROR(VLOOKUP(U167,Assumptions!$A$7:$D$11,2,FALSE),0)</f>
        <v/>
      </c>
      <c r="W167" s="24">
        <f>MAX(0.5,IFERROR(VLOOKUP(U167,Assumptions!$A$7:$D$11,3,FALSE),3)+IFERROR(VLOOKUP(U167,Assumptions!$A$7:$D$11,4,FALSE),8)/2-IF(AN167="",0,YEAR(TODAY())-AN167))</f>
        <v/>
      </c>
      <c r="X167" s="21">
        <f>T167*V167/(1+Assumptions!$B$3)^W167</f>
        <v/>
      </c>
      <c r="Y167" s="25">
        <f>IF(T167=0,"",ROUND(X167/T167*100,1))</f>
        <v/>
      </c>
      <c r="Z167" s="26">
        <f>X167*Assumptions!$B$4</f>
        <v/>
      </c>
      <c r="AA167" s="25">
        <f>IF(T167=0,"",ROUND(Z167/T167*100,1))</f>
        <v/>
      </c>
      <c r="AB167" s="26">
        <f>X167-Z167</f>
        <v/>
      </c>
      <c r="AC167" s="25">
        <f>IF(T167=0,"",ROUND((X167-Z167)/T167*100,1))</f>
        <v/>
      </c>
      <c r="AD167" s="27" t="inlineStr">
        <is>
          <t>ESTIMATED</t>
        </is>
      </c>
      <c r="AE167" s="28" t="inlineStr">
        <is>
          <t>https://marquesadmjudicial.com.br/sgc/download.php?file=files/processo_documento/processo_documento18581929042026_1_.pdf&amp;nome=3º Edital - Relação de Credores e PRJ</t>
        </is>
      </c>
      <c r="AF167" s="27" t="inlineStr">
        <is>
          <t>p1 r39</t>
        </is>
      </c>
      <c r="AG167" s="27" t="inlineStr">
        <is>
          <t>p1: R$ 2.576.900,02</t>
        </is>
      </c>
      <c r="AH167" s="27" t="inlineStr">
        <is>
          <t>AJ_LIST</t>
        </is>
      </c>
      <c r="AI167" s="27" t="inlineStr">
        <is>
          <t>2025-09-12</t>
        </is>
      </c>
      <c r="AJ167" s="27" t="inlineStr">
        <is>
          <t>OK_NO_TOTALS</t>
        </is>
      </c>
      <c r="AK167" s="29" t="inlineStr">
        <is>
          <t>0043030-30.2025.8.16.0021</t>
        </is>
      </c>
      <c r="AL167" s="29" t="inlineStr">
        <is>
          <t>TJPR</t>
        </is>
      </c>
      <c r="AM167" s="29" t="inlineStr">
        <is>
          <t>ACTIVE</t>
        </is>
      </c>
      <c r="AN167" s="29" t="n">
        <v>2025</v>
      </c>
      <c r="AO167" s="29" t="inlineStr">
        <is>
          <t>live case, no plan document yet</t>
        </is>
      </c>
      <c r="AP167" s="29" t="inlineStr">
        <is>
          <t>SAO PAULO</t>
        </is>
      </c>
      <c r="AQ167" s="29" t="inlineStr">
        <is>
          <t>SP</t>
        </is>
      </c>
      <c r="AR167" s="29" t="inlineStr">
        <is>
          <t>Bancos múltiplos, com carteira comercial</t>
        </is>
      </c>
      <c r="AS167" s="29" t="inlineStr">
        <is>
          <t>DEMAIS</t>
        </is>
      </c>
      <c r="AT167" s="29" t="inlineStr">
        <is>
          <t>LARGE CORP</t>
        </is>
      </c>
      <c r="AU167" s="29" t="inlineStr">
        <is>
          <t>90400888</t>
        </is>
      </c>
      <c r="AV167" s="29" t="n">
        <v>1</v>
      </c>
      <c r="AW167" s="29" t="inlineStr">
        <is>
          <t>LIKELY_FINANCIAL_BY_NAME ROWS:p1r39 UNRECONCILED_SOURCE</t>
        </is>
      </c>
    </row>
    <row r="168">
      <c r="A168" s="15" t="inlineStr">
        <is>
          <t>ITAU UNIBANCO S.A.</t>
        </is>
      </c>
      <c r="B168" s="16" t="n">
        <v>1639850.58</v>
      </c>
      <c r="C168" s="17" t="inlineStr"/>
      <c r="D168" s="18" t="inlineStr">
        <is>
          <t>NEW</t>
        </is>
      </c>
      <c r="E168" s="19" t="inlineStr"/>
      <c r="F168" s="18" t="inlineStr"/>
      <c r="G168" s="19" t="inlineStr"/>
      <c r="H168" s="18" t="inlineStr"/>
      <c r="I168" s="20" t="inlineStr">
        <is>
          <t>FELIPE SAMPAIO NABUCO</t>
        </is>
      </c>
      <c r="J168" s="20" t="inlineStr">
        <is>
          <t>Administrador</t>
        </is>
      </c>
      <c r="K168" s="20" t="inlineStr">
        <is>
          <t>(11) 3003-4828</t>
        </is>
      </c>
      <c r="L168" s="20" t="inlineStr"/>
      <c r="M168" s="20" t="inlineStr"/>
      <c r="N168" s="20" t="inlineStr"/>
      <c r="O168" s="20" t="inlineStr"/>
      <c r="P168" s="20" t="inlineStr">
        <is>
          <t>MILTON MALUHY FILHO</t>
        </is>
      </c>
      <c r="Q168" s="20" t="inlineStr">
        <is>
          <t>Presidente</t>
        </is>
      </c>
      <c r="R168" s="20" t="inlineStr">
        <is>
          <t>(11) 3003-4828</t>
        </is>
      </c>
      <c r="S168" s="20" t="inlineStr"/>
      <c r="T168" s="21" t="n">
        <v>1639850.58</v>
      </c>
      <c r="U168" s="22" t="inlineStr">
        <is>
          <t>B</t>
        </is>
      </c>
      <c r="V168" s="23">
        <f>IFERROR(VLOOKUP(U168,Assumptions!$A$7:$D$11,2,FALSE),0)</f>
        <v/>
      </c>
      <c r="W168" s="24">
        <f>MAX(0.5,IFERROR(VLOOKUP(U168,Assumptions!$A$7:$D$11,3,FALSE),3)+IFERROR(VLOOKUP(U168,Assumptions!$A$7:$D$11,4,FALSE),8)/2-IF(AN168="",0,YEAR(TODAY())-AN168))</f>
        <v/>
      </c>
      <c r="X168" s="21">
        <f>T168*V168/(1+Assumptions!$B$3)^W168</f>
        <v/>
      </c>
      <c r="Y168" s="25">
        <f>IF(T168=0,"",ROUND(X168/T168*100,1))</f>
        <v/>
      </c>
      <c r="Z168" s="26">
        <f>X168*Assumptions!$B$4</f>
        <v/>
      </c>
      <c r="AA168" s="25">
        <f>IF(T168=0,"",ROUND(Z168/T168*100,1))</f>
        <v/>
      </c>
      <c r="AB168" s="26">
        <f>X168-Z168</f>
        <v/>
      </c>
      <c r="AC168" s="25">
        <f>IF(T168=0,"",ROUND((X168-Z168)/T168*100,1))</f>
        <v/>
      </c>
      <c r="AD168" s="27" t="inlineStr">
        <is>
          <t>UNKNOWN</t>
        </is>
      </c>
      <c r="AE168" s="28" t="inlineStr">
        <is>
          <t>https://bbsadvogados.com.br/wp-content/uploads/2025/04/Equipseg-Edital-Relacao-de-Credores-da-Administradora-Judicial-art.-7o2o-da-LRF.pdf</t>
        </is>
      </c>
      <c r="AF168" s="27" t="inlineStr">
        <is>
          <t>p38 r6</t>
        </is>
      </c>
      <c r="AG168" s="27" t="inlineStr">
        <is>
          <t>p38: R$ 1.639.850,58</t>
        </is>
      </c>
      <c r="AH168" s="27" t="inlineStr">
        <is>
          <t>AJ_LIST</t>
        </is>
      </c>
      <c r="AI168" s="27" t="inlineStr">
        <is>
          <t>2025-04-08</t>
        </is>
      </c>
      <c r="AJ168" s="27" t="inlineStr">
        <is>
          <t>OK_NO_TOTALS</t>
        </is>
      </c>
      <c r="AK168" s="29" t="inlineStr">
        <is>
          <t>0033736-15.2023.8.16.0185</t>
        </is>
      </c>
      <c r="AL168" s="29" t="inlineStr">
        <is>
          <t>TJ</t>
        </is>
      </c>
      <c r="AM168" s="29" t="inlineStr"/>
      <c r="AN168" s="29" t="n">
        <v>2023</v>
      </c>
      <c r="AO168" s="29" t="inlineStr">
        <is>
          <t>live case, no plan document yet</t>
        </is>
      </c>
      <c r="AP168" s="29" t="inlineStr">
        <is>
          <t>SAO PAULO</t>
        </is>
      </c>
      <c r="AQ168" s="29" t="inlineStr">
        <is>
          <t>SP</t>
        </is>
      </c>
      <c r="AR168" s="29" t="inlineStr">
        <is>
          <t>Bancos comerciais</t>
        </is>
      </c>
      <c r="AS168" s="29" t="inlineStr">
        <is>
          <t>DEMAIS</t>
        </is>
      </c>
      <c r="AT168" s="29" t="inlineStr">
        <is>
          <t>LARGE CORP</t>
        </is>
      </c>
      <c r="AU168" s="29" t="inlineStr">
        <is>
          <t>60701190</t>
        </is>
      </c>
      <c r="AV168" s="29" t="n">
        <v>1</v>
      </c>
      <c r="AW168" s="29" t="inlineStr">
        <is>
          <t>LIKELY_FINANCIAL_BY_NAME ROWS:p38r6 UNRECONCILED_SOURCE</t>
        </is>
      </c>
    </row>
    <row r="169">
      <c r="A169" s="15" t="inlineStr">
        <is>
          <t>BANCO ABC BRASIL S.A.</t>
        </is>
      </c>
      <c r="B169" s="16" t="n">
        <v>2550000</v>
      </c>
      <c r="C169" s="17" t="inlineStr">
        <is>
          <t>Cerealista Sa</t>
        </is>
      </c>
      <c r="D169" s="18" t="inlineStr">
        <is>
          <t>NEW</t>
        </is>
      </c>
      <c r="E169" s="19" t="inlineStr"/>
      <c r="F169" s="18" t="inlineStr"/>
      <c r="G169" s="19" t="inlineStr"/>
      <c r="H169" s="18" t="inlineStr"/>
      <c r="I169" s="20" t="inlineStr">
        <is>
          <t>SERGIO LULIA JACOB</t>
        </is>
      </c>
      <c r="J169" s="20" t="inlineStr">
        <is>
          <t>Presidente</t>
        </is>
      </c>
      <c r="K169" s="20" t="inlineStr">
        <is>
          <t>(11) 3170-2000</t>
        </is>
      </c>
      <c r="L169" s="20" t="inlineStr"/>
      <c r="M169" s="20" t="inlineStr"/>
      <c r="N169" s="20" t="inlineStr"/>
      <c r="O169" s="20" t="inlineStr"/>
      <c r="P169" s="20" t="inlineStr">
        <is>
          <t>ADRIANA FERNANDES PERES</t>
        </is>
      </c>
      <c r="Q169" s="20" t="inlineStr">
        <is>
          <t>Diretor</t>
        </is>
      </c>
      <c r="R169" s="20" t="inlineStr">
        <is>
          <t>(11) 3170-2000</t>
        </is>
      </c>
      <c r="S169" s="20" t="inlineStr"/>
      <c r="T169" s="21" t="n">
        <v>2550000</v>
      </c>
      <c r="U169" s="22" t="inlineStr">
        <is>
          <t>B</t>
        </is>
      </c>
      <c r="V169" s="23">
        <f>IFERROR(VLOOKUP(U169,Assumptions!$A$7:$D$11,2,FALSE),0)</f>
        <v/>
      </c>
      <c r="W169" s="24">
        <f>MAX(0.5,IFERROR(VLOOKUP(U169,Assumptions!$A$7:$D$11,3,FALSE),3)+IFERROR(VLOOKUP(U169,Assumptions!$A$7:$D$11,4,FALSE),8)/2-IF(AN169="",0,YEAR(TODAY())-AN169))</f>
        <v/>
      </c>
      <c r="X169" s="21">
        <f>T169*V169/(1+Assumptions!$B$3)^W169</f>
        <v/>
      </c>
      <c r="Y169" s="25">
        <f>IF(T169=0,"",ROUND(X169/T169*100,1))</f>
        <v/>
      </c>
      <c r="Z169" s="26">
        <f>X169*Assumptions!$B$4</f>
        <v/>
      </c>
      <c r="AA169" s="25">
        <f>IF(T169=0,"",ROUND(Z169/T169*100,1))</f>
        <v/>
      </c>
      <c r="AB169" s="26">
        <f>X169-Z169</f>
        <v/>
      </c>
      <c r="AC169" s="25">
        <f>IF(T169=0,"",ROUND((X169-Z169)/T169*100,1))</f>
        <v/>
      </c>
      <c r="AD169" s="27" t="inlineStr">
        <is>
          <t>ESTIMATED</t>
        </is>
      </c>
      <c r="AE169" s="28" t="inlineStr">
        <is>
          <t>https://ajruiz.com.br/sites/default/files/public/arquivos-processos/2026-01/safrasul_relacao_de_credores_recuperanda.pdf</t>
        </is>
      </c>
      <c r="AF169" s="27" t="inlineStr">
        <is>
          <t>p8 r14; p8 r15</t>
        </is>
      </c>
      <c r="AG169" s="27" t="inlineStr">
        <is>
          <t>p8: R$ 2.200.000,00; p8: R$ 350.000,00</t>
        </is>
      </c>
      <c r="AH169" s="27" t="inlineStr">
        <is>
          <t>AJ_LIST</t>
        </is>
      </c>
      <c r="AI169" s="27" t="inlineStr">
        <is>
          <t>2026-01-14</t>
        </is>
      </c>
      <c r="AJ169" s="27" t="inlineStr">
        <is>
          <t>OK_NO_TOTALS</t>
        </is>
      </c>
      <c r="AK169" s="29" t="inlineStr">
        <is>
          <t>4000167-23.2025.8.26.0373</t>
        </is>
      </c>
      <c r="AL169" s="29" t="inlineStr">
        <is>
          <t>TJSP</t>
        </is>
      </c>
      <c r="AM169" s="29" t="inlineStr">
        <is>
          <t>ACTIVE</t>
        </is>
      </c>
      <c r="AN169" s="29" t="n">
        <v>2025</v>
      </c>
      <c r="AO169" s="29" t="inlineStr">
        <is>
          <t>live case, no plan document yet</t>
        </is>
      </c>
      <c r="AP169" s="29" t="inlineStr">
        <is>
          <t>SAO PAULO</t>
        </is>
      </c>
      <c r="AQ169" s="29" t="inlineStr">
        <is>
          <t>SP</t>
        </is>
      </c>
      <c r="AR169" s="29" t="inlineStr">
        <is>
          <t>Bancos múltiplos, com carteira comercial</t>
        </is>
      </c>
      <c r="AS169" s="29" t="inlineStr">
        <is>
          <t>DEMAIS</t>
        </is>
      </c>
      <c r="AT169" s="29" t="inlineStr">
        <is>
          <t>LARGE CORP</t>
        </is>
      </c>
      <c r="AU169" s="29" t="inlineStr">
        <is>
          <t>28195667</t>
        </is>
      </c>
      <c r="AV169" s="29" t="n">
        <v>2</v>
      </c>
      <c r="AW169" s="29" t="inlineStr">
        <is>
          <t>LIKELY_FINANCIAL_BY_NAME ROWS:p8r14,p8r15 UNRECONCILED_SOURCE</t>
        </is>
      </c>
    </row>
    <row r="170">
      <c r="A170" s="15" t="inlineStr">
        <is>
          <t>BANCO COOPERATIVO SICOOB S.A.</t>
        </is>
      </c>
      <c r="B170" s="16" t="n">
        <v>2389491.93</v>
      </c>
      <c r="C170" s="17" t="inlineStr">
        <is>
          <t>COMERCIO RACOES BEM BOM LTDA</t>
        </is>
      </c>
      <c r="D170" s="18" t="inlineStr">
        <is>
          <t>NEW</t>
        </is>
      </c>
      <c r="E170" s="19" t="inlineStr"/>
      <c r="F170" s="18" t="inlineStr"/>
      <c r="G170" s="19" t="inlineStr"/>
      <c r="H170" s="18" t="inlineStr"/>
      <c r="I170" s="20" t="inlineStr">
        <is>
          <t>MARCO AURELIO BORGES DE ALMADA ABREU</t>
        </is>
      </c>
      <c r="J170" s="20" t="inlineStr">
        <is>
          <t>Presidente</t>
        </is>
      </c>
      <c r="K170" s="20" t="inlineStr">
        <is>
          <t>(61) 3217-5200</t>
        </is>
      </c>
      <c r="L170" s="20" t="inlineStr"/>
      <c r="M170" s="20" t="inlineStr"/>
      <c r="N170" s="20" t="inlineStr"/>
      <c r="O170" s="20" t="inlineStr"/>
      <c r="P170" s="20" t="inlineStr">
        <is>
          <t>ANTONIO CANDIDO VILACA JUNIOR</t>
        </is>
      </c>
      <c r="Q170" s="20" t="inlineStr">
        <is>
          <t>Diretor</t>
        </is>
      </c>
      <c r="R170" s="20" t="inlineStr">
        <is>
          <t>(61) 3217-5200</t>
        </is>
      </c>
      <c r="S170" s="20" t="inlineStr"/>
      <c r="T170" s="21" t="n">
        <v>2389491.93</v>
      </c>
      <c r="U170" s="32" t="inlineStr">
        <is>
          <t>A</t>
        </is>
      </c>
      <c r="V170" s="23">
        <f>IFERROR(VLOOKUP(U170,Assumptions!$A$7:$D$11,2,FALSE),0)</f>
        <v/>
      </c>
      <c r="W170" s="24">
        <f>MAX(0.5,IFERROR(VLOOKUP(U170,Assumptions!$A$7:$D$11,3,FALSE),3)+IFERROR(VLOOKUP(U170,Assumptions!$A$7:$D$11,4,FALSE),8)/2-IF(AN170="",0,YEAR(TODAY())-AN170))</f>
        <v/>
      </c>
      <c r="X170" s="21">
        <f>T170*V170/(1+Assumptions!$B$3)^W170</f>
        <v/>
      </c>
      <c r="Y170" s="25">
        <f>IF(T170=0,"",ROUND(X170/T170*100,1))</f>
        <v/>
      </c>
      <c r="Z170" s="26">
        <f>X170*Assumptions!$B$4</f>
        <v/>
      </c>
      <c r="AA170" s="25">
        <f>IF(T170=0,"",ROUND(Z170/T170*100,1))</f>
        <v/>
      </c>
      <c r="AB170" s="26">
        <f>X170-Z170</f>
        <v/>
      </c>
      <c r="AC170" s="25">
        <f>IF(T170=0,"",ROUND((X170-Z170)/T170*100,1))</f>
        <v/>
      </c>
      <c r="AD170" s="27" t="inlineStr">
        <is>
          <t>CONFIRMED</t>
        </is>
      </c>
      <c r="AE170" s="28" t="inlineStr">
        <is>
          <t>https://stenius.com.br/wp-content/uploads/2026/06/EDITAL-GRUPO-3E.pdf</t>
        </is>
      </c>
      <c r="AF170" s="27" t="inlineStr">
        <is>
          <t>p10 r33</t>
        </is>
      </c>
      <c r="AG170" s="27" t="inlineStr">
        <is>
          <t>p10: R$ 2.389.491,93</t>
        </is>
      </c>
      <c r="AH170" s="27" t="inlineStr">
        <is>
          <t>DEBTOR_LIST</t>
        </is>
      </c>
      <c r="AI170" s="27" t="inlineStr">
        <is>
          <t>2026-06-22</t>
        </is>
      </c>
      <c r="AJ170" s="27" t="inlineStr">
        <is>
          <t>OK_NO_TOTALS</t>
        </is>
      </c>
      <c r="AK170" s="29" t="inlineStr">
        <is>
          <t>5341375-33.2026.8.09.0049</t>
        </is>
      </c>
      <c r="AL170" s="29" t="inlineStr">
        <is>
          <t>TJGO</t>
        </is>
      </c>
      <c r="AM170" s="29" t="inlineStr">
        <is>
          <t>ACTIVE</t>
        </is>
      </c>
      <c r="AN170" s="29" t="n">
        <v>2026</v>
      </c>
      <c r="AO170" s="29" t="inlineStr">
        <is>
          <t>plan/homologation document found</t>
        </is>
      </c>
      <c r="AP170" s="29" t="inlineStr">
        <is>
          <t>BRASILIA</t>
        </is>
      </c>
      <c r="AQ170" s="29" t="inlineStr">
        <is>
          <t>DF</t>
        </is>
      </c>
      <c r="AR170" s="29" t="inlineStr">
        <is>
          <t>Bancos cooperativos</t>
        </is>
      </c>
      <c r="AS170" s="29" t="inlineStr">
        <is>
          <t>DEMAIS</t>
        </is>
      </c>
      <c r="AT170" s="29" t="inlineStr">
        <is>
          <t>LARGE CORP</t>
        </is>
      </c>
      <c r="AU170" s="29" t="inlineStr">
        <is>
          <t>02038232</t>
        </is>
      </c>
      <c r="AV170" s="29" t="n">
        <v>1</v>
      </c>
      <c r="AW170" s="29" t="inlineStr">
        <is>
          <t>LIKELY_FINANCIAL_BY_NAME ROWS:p10r33 UNRECONCILED_SOURCE</t>
        </is>
      </c>
    </row>
    <row r="171">
      <c r="A171" s="15" t="inlineStr">
        <is>
          <t>BANCO GUANABARA</t>
        </is>
      </c>
      <c r="B171" s="16" t="n">
        <v>3164000</v>
      </c>
      <c r="C171" s="17" t="inlineStr">
        <is>
          <t>E FALENCIA</t>
        </is>
      </c>
      <c r="D171" s="18" t="inlineStr">
        <is>
          <t>NEW</t>
        </is>
      </c>
      <c r="E171" s="19" t="inlineStr"/>
      <c r="F171" s="18" t="inlineStr"/>
      <c r="G171" s="19" t="inlineStr"/>
      <c r="H171" s="18" t="inlineStr"/>
      <c r="I171" s="20" t="inlineStr"/>
      <c r="J171" s="20" t="inlineStr"/>
      <c r="K171" s="20" t="inlineStr"/>
      <c r="L171" s="20" t="inlineStr"/>
      <c r="M171" s="20" t="inlineStr"/>
      <c r="N171" s="20" t="inlineStr"/>
      <c r="O171" s="20" t="inlineStr"/>
      <c r="P171" s="20" t="inlineStr"/>
      <c r="Q171" s="20" t="inlineStr"/>
      <c r="R171" s="20" t="inlineStr"/>
      <c r="S171" s="20" t="inlineStr"/>
      <c r="T171" s="21" t="n">
        <v>3164000</v>
      </c>
      <c r="U171" s="22" t="inlineStr">
        <is>
          <t>B</t>
        </is>
      </c>
      <c r="V171" s="23">
        <f>IFERROR(VLOOKUP(U171,Assumptions!$A$7:$D$11,2,FALSE),0)</f>
        <v/>
      </c>
      <c r="W171" s="24">
        <f>MAX(0.5,IFERROR(VLOOKUP(U171,Assumptions!$A$7:$D$11,3,FALSE),3)+IFERROR(VLOOKUP(U171,Assumptions!$A$7:$D$11,4,FALSE),8)/2-IF(AN171="",0,YEAR(TODAY())-AN171))</f>
        <v/>
      </c>
      <c r="X171" s="21">
        <f>T171*V171/(1+Assumptions!$B$3)^W171</f>
        <v/>
      </c>
      <c r="Y171" s="25">
        <f>IF(T171=0,"",ROUND(X171/T171*100,1))</f>
        <v/>
      </c>
      <c r="Z171" s="26">
        <f>X171*Assumptions!$B$4</f>
        <v/>
      </c>
      <c r="AA171" s="25">
        <f>IF(T171=0,"",ROUND(Z171/T171*100,1))</f>
        <v/>
      </c>
      <c r="AB171" s="26">
        <f>X171-Z171</f>
        <v/>
      </c>
      <c r="AC171" s="25">
        <f>IF(T171=0,"",ROUND((X171-Z171)/T171*100,1))</f>
        <v/>
      </c>
      <c r="AD171" s="27" t="inlineStr">
        <is>
          <t>ESTIMATED</t>
        </is>
      </c>
      <c r="AE171" s="28" t="inlineStr">
        <is>
          <t>https://recuperasolucoes.com/wp-content/plugins/download-attachments/includes/download.php?id=1597</t>
        </is>
      </c>
      <c r="AF171" s="27" t="inlineStr">
        <is>
          <t>p13 r3</t>
        </is>
      </c>
      <c r="AG171" s="27" t="inlineStr">
        <is>
          <t>p13: R$ 3.164.000,00</t>
        </is>
      </c>
      <c r="AH171" s="27" t="inlineStr">
        <is>
          <t>DEBTOR_LIST</t>
        </is>
      </c>
      <c r="AI171" s="27" t="inlineStr">
        <is>
          <t>2026-05-21</t>
        </is>
      </c>
      <c r="AJ171" s="27" t="inlineStr">
        <is>
          <t>OK</t>
        </is>
      </c>
      <c r="AK171" s="29" t="inlineStr">
        <is>
          <t>0001639-09.2026.8.17.2810</t>
        </is>
      </c>
      <c r="AL171" s="29" t="inlineStr">
        <is>
          <t>TJPE</t>
        </is>
      </c>
      <c r="AM171" s="29" t="inlineStr">
        <is>
          <t>ACTIVE</t>
        </is>
      </c>
      <c r="AN171" s="29" t="n">
        <v>2026</v>
      </c>
      <c r="AO171" s="29" t="inlineStr">
        <is>
          <t>live case, no plan document yet</t>
        </is>
      </c>
      <c r="AP171" s="29" t="inlineStr"/>
      <c r="AQ171" s="29" t="inlineStr"/>
      <c r="AR171" s="29" t="inlineStr"/>
      <c r="AS171" s="29" t="inlineStr"/>
      <c r="AT171" s="29" t="inlineStr">
        <is>
          <t>MID-MARKET</t>
        </is>
      </c>
      <c r="AU171" s="29" t="inlineStr">
        <is>
          <t>31880826</t>
        </is>
      </c>
      <c r="AV171" s="29" t="n">
        <v>1</v>
      </c>
      <c r="AW171" s="29" t="inlineStr">
        <is>
          <t>LIKELY_FINANCIAL_BY_NAME ROWS:p13r3</t>
        </is>
      </c>
    </row>
    <row r="172">
      <c r="A172" s="15" t="inlineStr">
        <is>
          <t>BANCO SAFRA S A</t>
        </is>
      </c>
      <c r="B172" s="16" t="n">
        <v>2526000</v>
      </c>
      <c r="C172" s="17" t="inlineStr">
        <is>
          <t>- VENEZA SERVIÇOS ADMINISTRATIVOS LTDA</t>
        </is>
      </c>
      <c r="D172" s="18" t="inlineStr">
        <is>
          <t>NEW</t>
        </is>
      </c>
      <c r="E172" s="19" t="inlineStr"/>
      <c r="F172" s="18" t="inlineStr"/>
      <c r="G172" s="19" t="inlineStr"/>
      <c r="H172" s="18" t="inlineStr"/>
      <c r="I172" s="20" t="inlineStr">
        <is>
          <t>RAFAEL BORDALO QUINTAS</t>
        </is>
      </c>
      <c r="J172" s="20" t="inlineStr">
        <is>
          <t>Administrador</t>
        </is>
      </c>
      <c r="K172" s="20" t="inlineStr">
        <is>
          <t>(11) 3175-7575</t>
        </is>
      </c>
      <c r="L172" s="20" t="inlineStr"/>
      <c r="M172" s="20" t="inlineStr"/>
      <c r="N172" s="20" t="inlineStr"/>
      <c r="O172" s="20" t="inlineStr"/>
      <c r="P172" s="20" t="inlineStr">
        <is>
          <t>ADRIANO MACIEL PEDROTI</t>
        </is>
      </c>
      <c r="Q172" s="20" t="inlineStr">
        <is>
          <t>Diretor</t>
        </is>
      </c>
      <c r="R172" s="20" t="inlineStr">
        <is>
          <t>(11) 3175-7575</t>
        </is>
      </c>
      <c r="S172" s="20" t="inlineStr"/>
      <c r="T172" s="21" t="n">
        <v>2526000</v>
      </c>
      <c r="U172" s="22" t="inlineStr">
        <is>
          <t>B</t>
        </is>
      </c>
      <c r="V172" s="23">
        <f>IFERROR(VLOOKUP(U172,Assumptions!$A$7:$D$11,2,FALSE),0)</f>
        <v/>
      </c>
      <c r="W172" s="24">
        <f>MAX(0.5,IFERROR(VLOOKUP(U172,Assumptions!$A$7:$D$11,3,FALSE),3)+IFERROR(VLOOKUP(U172,Assumptions!$A$7:$D$11,4,FALSE),8)/2-IF(AN172="",0,YEAR(TODAY())-AN172))</f>
        <v/>
      </c>
      <c r="X172" s="21">
        <f>T172*V172/(1+Assumptions!$B$3)^W172</f>
        <v/>
      </c>
      <c r="Y172" s="25">
        <f>IF(T172=0,"",ROUND(X172/T172*100,1))</f>
        <v/>
      </c>
      <c r="Z172" s="26">
        <f>X172*Assumptions!$B$4</f>
        <v/>
      </c>
      <c r="AA172" s="25">
        <f>IF(T172=0,"",ROUND(Z172/T172*100,1))</f>
        <v/>
      </c>
      <c r="AB172" s="26">
        <f>X172-Z172</f>
        <v/>
      </c>
      <c r="AC172" s="25">
        <f>IF(T172=0,"",ROUND((X172-Z172)/T172*100,1))</f>
        <v/>
      </c>
      <c r="AD172" s="27" t="inlineStr">
        <is>
          <t>ESTIMATED</t>
        </is>
      </c>
      <c r="AE172" s="28" t="inlineStr">
        <is>
          <t>https://bugarimecoelho.com.br/ws/media-library/b6b7ea42b9fa2afe30bc728fe00cd5c6/07---edital-do-processamento-da-recuperacao-judicial.pdf</t>
        </is>
      </c>
      <c r="AF172" s="27" t="inlineStr">
        <is>
          <t>p16 r2</t>
        </is>
      </c>
      <c r="AG172" s="27" t="inlineStr">
        <is>
          <t>p16: R$ 2.526.000,00</t>
        </is>
      </c>
      <c r="AH172" s="27" t="inlineStr">
        <is>
          <t>UNKNOWN</t>
        </is>
      </c>
      <c r="AI172" s="27" t="inlineStr">
        <is>
          <t>2026-07-09</t>
        </is>
      </c>
      <c r="AJ172" s="27" t="inlineStr">
        <is>
          <t>OK</t>
        </is>
      </c>
      <c r="AK172" s="29" t="inlineStr">
        <is>
          <t>3000117-40.2025.8.06.0512</t>
        </is>
      </c>
      <c r="AL172" s="29" t="inlineStr">
        <is>
          <t>TJCE</t>
        </is>
      </c>
      <c r="AM172" s="29" t="inlineStr">
        <is>
          <t>ACTIVE</t>
        </is>
      </c>
      <c r="AN172" s="29" t="n">
        <v>2025</v>
      </c>
      <c r="AO172" s="29" t="inlineStr">
        <is>
          <t>live case, no plan document yet</t>
        </is>
      </c>
      <c r="AP172" s="29" t="inlineStr">
        <is>
          <t>SAO PAULO</t>
        </is>
      </c>
      <c r="AQ172" s="29" t="inlineStr">
        <is>
          <t>SP</t>
        </is>
      </c>
      <c r="AR172" s="29" t="inlineStr">
        <is>
          <t>Bancos múltiplos, com carteira comercial</t>
        </is>
      </c>
      <c r="AS172" s="29" t="inlineStr">
        <is>
          <t>DEMAIS</t>
        </is>
      </c>
      <c r="AT172" s="29" t="inlineStr">
        <is>
          <t>LARGE CORP</t>
        </is>
      </c>
      <c r="AU172" s="29" t="inlineStr">
        <is>
          <t>58160789</t>
        </is>
      </c>
      <c r="AV172" s="29" t="n">
        <v>1</v>
      </c>
      <c r="AW172" s="29" t="inlineStr">
        <is>
          <t>LIKELY_FINANCIAL_BY_NAME ROWS:p16r2</t>
        </is>
      </c>
    </row>
    <row r="173">
      <c r="A173" s="15" t="inlineStr">
        <is>
          <t>ITAU UNIBANCO S.A.</t>
        </is>
      </c>
      <c r="B173" s="16" t="n">
        <v>1612972.92</v>
      </c>
      <c r="C173" s="17" t="inlineStr">
        <is>
          <t>ADVOCACIA WANDERLEI DE PAULA BARRETO</t>
        </is>
      </c>
      <c r="D173" s="18" t="inlineStr">
        <is>
          <t>NEW</t>
        </is>
      </c>
      <c r="E173" s="19" t="inlineStr"/>
      <c r="F173" s="18" t="inlineStr"/>
      <c r="G173" s="19" t="inlineStr"/>
      <c r="H173" s="18" t="inlineStr"/>
      <c r="I173" s="20" t="inlineStr">
        <is>
          <t>FELIPE SAMPAIO NABUCO</t>
        </is>
      </c>
      <c r="J173" s="20" t="inlineStr">
        <is>
          <t>Administrador</t>
        </is>
      </c>
      <c r="K173" s="20" t="inlineStr">
        <is>
          <t>(11) 3003-4828</t>
        </is>
      </c>
      <c r="L173" s="20" t="inlineStr"/>
      <c r="M173" s="20" t="inlineStr"/>
      <c r="N173" s="20" t="inlineStr"/>
      <c r="O173" s="20" t="inlineStr"/>
      <c r="P173" s="20" t="inlineStr">
        <is>
          <t>MILTON MALUHY FILHO</t>
        </is>
      </c>
      <c r="Q173" s="20" t="inlineStr">
        <is>
          <t>Presidente</t>
        </is>
      </c>
      <c r="R173" s="20" t="inlineStr">
        <is>
          <t>(11) 3003-4828</t>
        </is>
      </c>
      <c r="S173" s="20" t="inlineStr"/>
      <c r="T173" s="21" t="n">
        <v>1612972.92</v>
      </c>
      <c r="U173" s="22" t="inlineStr">
        <is>
          <t>B</t>
        </is>
      </c>
      <c r="V173" s="23">
        <f>IFERROR(VLOOKUP(U173,Assumptions!$A$7:$D$11,2,FALSE),0)</f>
        <v/>
      </c>
      <c r="W173" s="24">
        <f>MAX(0.5,IFERROR(VLOOKUP(U173,Assumptions!$A$7:$D$11,3,FALSE),3)+IFERROR(VLOOKUP(U173,Assumptions!$A$7:$D$11,4,FALSE),8)/2-IF(AN173="",0,YEAR(TODAY())-AN173))</f>
        <v/>
      </c>
      <c r="X173" s="21">
        <f>T173*V173/(1+Assumptions!$B$3)^W173</f>
        <v/>
      </c>
      <c r="Y173" s="25">
        <f>IF(T173=0,"",ROUND(X173/T173*100,1))</f>
        <v/>
      </c>
      <c r="Z173" s="26">
        <f>X173*Assumptions!$B$4</f>
        <v/>
      </c>
      <c r="AA173" s="25">
        <f>IF(T173=0,"",ROUND(Z173/T173*100,1))</f>
        <v/>
      </c>
      <c r="AB173" s="26">
        <f>X173-Z173</f>
        <v/>
      </c>
      <c r="AC173" s="25">
        <f>IF(T173=0,"",ROUND((X173-Z173)/T173*100,1))</f>
        <v/>
      </c>
      <c r="AD173" s="27" t="inlineStr">
        <is>
          <t>ESTIMATED</t>
        </is>
      </c>
      <c r="AE173" s="28" t="inlineStr">
        <is>
          <t>https://marquesadmjudicial.com.br/sgc/download.php?file=files/processo_documento/processo_documento17040729052024_1_.pdf&amp;nome=Relação Nominal de Credores AJ-Sintética</t>
        </is>
      </c>
      <c r="AF173" s="27" t="inlineStr">
        <is>
          <t>p12 r5</t>
        </is>
      </c>
      <c r="AG173" s="27" t="inlineStr">
        <is>
          <t>p12: R$ 1.612.972,92</t>
        </is>
      </c>
      <c r="AH173" s="27" t="inlineStr">
        <is>
          <t>AJ_LIST</t>
        </is>
      </c>
      <c r="AI173" s="27" t="inlineStr">
        <is>
          <t>2024-05-27</t>
        </is>
      </c>
      <c r="AJ173" s="27" t="inlineStr">
        <is>
          <t>QUARANTINED</t>
        </is>
      </c>
      <c r="AK173" s="29" t="inlineStr">
        <is>
          <t>0003971-03.2023.8.16.0119</t>
        </is>
      </c>
      <c r="AL173" s="29" t="inlineStr">
        <is>
          <t>TJPR</t>
        </is>
      </c>
      <c r="AM173" s="29" t="inlineStr">
        <is>
          <t>ACTIVE</t>
        </is>
      </c>
      <c r="AN173" s="29" t="n">
        <v>2023</v>
      </c>
      <c r="AO173" s="29" t="inlineStr">
        <is>
          <t>live case, no plan document yet</t>
        </is>
      </c>
      <c r="AP173" s="29" t="inlineStr">
        <is>
          <t>SAO PAULO</t>
        </is>
      </c>
      <c r="AQ173" s="29" t="inlineStr">
        <is>
          <t>SP</t>
        </is>
      </c>
      <c r="AR173" s="29" t="inlineStr">
        <is>
          <t>Bancos comerciais</t>
        </is>
      </c>
      <c r="AS173" s="29" t="inlineStr">
        <is>
          <t>DEMAIS</t>
        </is>
      </c>
      <c r="AT173" s="29" t="inlineStr">
        <is>
          <t>LARGE CORP</t>
        </is>
      </c>
      <c r="AU173" s="29" t="inlineStr">
        <is>
          <t>60701190</t>
        </is>
      </c>
      <c r="AV173" s="29" t="n">
        <v>1</v>
      </c>
      <c r="AW173" s="29" t="inlineStr">
        <is>
          <t>LIKELY_FINANCIAL_BY_NAME PARTIAL_DOC_CLASS_III_RECONCILED ROWS:p12r5</t>
        </is>
      </c>
    </row>
    <row r="174">
      <c r="A174" s="15" t="inlineStr">
        <is>
          <t>BANCO SAFRA S A</t>
        </is>
      </c>
      <c r="B174" s="16" t="n">
        <v>2519726.54</v>
      </c>
      <c r="C174" s="17" t="inlineStr"/>
      <c r="D174" s="18" t="inlineStr">
        <is>
          <t>NEW</t>
        </is>
      </c>
      <c r="E174" s="19" t="inlineStr"/>
      <c r="F174" s="18" t="inlineStr"/>
      <c r="G174" s="19" t="inlineStr"/>
      <c r="H174" s="18" t="inlineStr"/>
      <c r="I174" s="20" t="inlineStr">
        <is>
          <t>RAFAEL BORDALO QUINTAS</t>
        </is>
      </c>
      <c r="J174" s="20" t="inlineStr">
        <is>
          <t>Administrador</t>
        </is>
      </c>
      <c r="K174" s="20" t="inlineStr">
        <is>
          <t>(11) 3175-7575</t>
        </is>
      </c>
      <c r="L174" s="20" t="inlineStr"/>
      <c r="M174" s="20" t="inlineStr"/>
      <c r="N174" s="20" t="inlineStr"/>
      <c r="O174" s="20" t="inlineStr"/>
      <c r="P174" s="20" t="inlineStr">
        <is>
          <t>ADRIANO MACIEL PEDROTI</t>
        </is>
      </c>
      <c r="Q174" s="20" t="inlineStr">
        <is>
          <t>Diretor</t>
        </is>
      </c>
      <c r="R174" s="20" t="inlineStr">
        <is>
          <t>(11) 3175-7575</t>
        </is>
      </c>
      <c r="S174" s="20" t="inlineStr"/>
      <c r="T174" s="21" t="n">
        <v>2519726.54</v>
      </c>
      <c r="U174" s="22" t="inlineStr">
        <is>
          <t>B</t>
        </is>
      </c>
      <c r="V174" s="23">
        <f>IFERROR(VLOOKUP(U174,Assumptions!$A$7:$D$11,2,FALSE),0)</f>
        <v/>
      </c>
      <c r="W174" s="24">
        <f>MAX(0.5,IFERROR(VLOOKUP(U174,Assumptions!$A$7:$D$11,3,FALSE),3)+IFERROR(VLOOKUP(U174,Assumptions!$A$7:$D$11,4,FALSE),8)/2-IF(AN174="",0,YEAR(TODAY())-AN174))</f>
        <v/>
      </c>
      <c r="X174" s="21">
        <f>T174*V174/(1+Assumptions!$B$3)^W174</f>
        <v/>
      </c>
      <c r="Y174" s="25">
        <f>IF(T174=0,"",ROUND(X174/T174*100,1))</f>
        <v/>
      </c>
      <c r="Z174" s="26">
        <f>X174*Assumptions!$B$4</f>
        <v/>
      </c>
      <c r="AA174" s="25">
        <f>IF(T174=0,"",ROUND(Z174/T174*100,1))</f>
        <v/>
      </c>
      <c r="AB174" s="26">
        <f>X174-Z174</f>
        <v/>
      </c>
      <c r="AC174" s="25">
        <f>IF(T174=0,"",ROUND((X174-Z174)/T174*100,1))</f>
        <v/>
      </c>
      <c r="AD174" s="27" t="inlineStr">
        <is>
          <t>UNKNOWN</t>
        </is>
      </c>
      <c r="AE174" s="28" t="inlineStr">
        <is>
          <t>https://credibilita.com.br/wp-content/uploads/2025/09/Relacao-Credores-29.04.2026.pdf</t>
        </is>
      </c>
      <c r="AF174" s="27" t="inlineStr">
        <is>
          <t>p1 r12</t>
        </is>
      </c>
      <c r="AG174" s="27" t="inlineStr">
        <is>
          <t>p1: R$ 2.519.726,54</t>
        </is>
      </c>
      <c r="AH174" s="27" t="inlineStr">
        <is>
          <t>UNKNOWN</t>
        </is>
      </c>
      <c r="AI174" s="27" t="inlineStr"/>
      <c r="AJ174" s="27" t="inlineStr">
        <is>
          <t>OK_NO_TOTALS</t>
        </is>
      </c>
      <c r="AK174" s="29" t="inlineStr">
        <is>
          <t>5057720-48.2025.8.24.0023</t>
        </is>
      </c>
      <c r="AL174" s="29" t="inlineStr">
        <is>
          <t>TJ</t>
        </is>
      </c>
      <c r="AM174" s="29" t="inlineStr"/>
      <c r="AN174" s="29" t="n">
        <v>2025</v>
      </c>
      <c r="AO174" s="29" t="inlineStr">
        <is>
          <t>live case, no plan document yet</t>
        </is>
      </c>
      <c r="AP174" s="29" t="inlineStr">
        <is>
          <t>SAO PAULO</t>
        </is>
      </c>
      <c r="AQ174" s="29" t="inlineStr">
        <is>
          <t>SP</t>
        </is>
      </c>
      <c r="AR174" s="29" t="inlineStr">
        <is>
          <t>Bancos múltiplos, com carteira comercial</t>
        </is>
      </c>
      <c r="AS174" s="29" t="inlineStr">
        <is>
          <t>DEMAIS</t>
        </is>
      </c>
      <c r="AT174" s="29" t="inlineStr">
        <is>
          <t>LARGE CORP</t>
        </is>
      </c>
      <c r="AU174" s="29" t="inlineStr">
        <is>
          <t>58160789</t>
        </is>
      </c>
      <c r="AV174" s="29" t="n">
        <v>1</v>
      </c>
      <c r="AW174" s="29" t="inlineStr">
        <is>
          <t>ROWS:p1r12 UNRECONCILED_SOURCE VALUE_COL:Valor_Após_Analise</t>
        </is>
      </c>
    </row>
    <row r="175">
      <c r="A175" s="15" t="inlineStr">
        <is>
          <t>BB ADMINISTRADORA DE CONSORCIOS S.A.</t>
        </is>
      </c>
      <c r="B175" s="16" t="n">
        <v>2343402.47</v>
      </c>
      <c r="C175" s="17" t="inlineStr">
        <is>
          <t>COMERCIO RACOES BEM BOM LTDA</t>
        </is>
      </c>
      <c r="D175" s="18" t="inlineStr">
        <is>
          <t>NEW</t>
        </is>
      </c>
      <c r="E175" s="19" t="inlineStr"/>
      <c r="F175" s="18" t="inlineStr"/>
      <c r="G175" s="19" t="inlineStr"/>
      <c r="H175" s="18" t="inlineStr"/>
      <c r="I175" s="20" t="inlineStr">
        <is>
          <t>RENATO BARRETO DE SOUZA</t>
        </is>
      </c>
      <c r="J175" s="20" t="inlineStr">
        <is>
          <t>Presidente</t>
        </is>
      </c>
      <c r="K175" s="20" t="inlineStr">
        <is>
          <t>(61) 3493-9002</t>
        </is>
      </c>
      <c r="L175" s="20" t="inlineStr">
        <is>
          <t>(61) 3493-1118</t>
        </is>
      </c>
      <c r="M175" s="20" t="inlineStr"/>
      <c r="N175" s="20" t="inlineStr"/>
      <c r="O175" s="20" t="inlineStr"/>
      <c r="P175" s="20" t="inlineStr">
        <is>
          <t>JEAN MICHEL MOURA DA CAMARA</t>
        </is>
      </c>
      <c r="Q175" s="20" t="inlineStr">
        <is>
          <t>Diretor</t>
        </is>
      </c>
      <c r="R175" s="20" t="inlineStr">
        <is>
          <t>(61) 3493-1118</t>
        </is>
      </c>
      <c r="S175" s="20" t="inlineStr"/>
      <c r="T175" s="21" t="n">
        <v>2343402.47</v>
      </c>
      <c r="U175" s="32" t="inlineStr">
        <is>
          <t>A</t>
        </is>
      </c>
      <c r="V175" s="23">
        <f>IFERROR(VLOOKUP(U175,Assumptions!$A$7:$D$11,2,FALSE),0)</f>
        <v/>
      </c>
      <c r="W175" s="24">
        <f>MAX(0.5,IFERROR(VLOOKUP(U175,Assumptions!$A$7:$D$11,3,FALSE),3)+IFERROR(VLOOKUP(U175,Assumptions!$A$7:$D$11,4,FALSE),8)/2-IF(AN175="",0,YEAR(TODAY())-AN175))</f>
        <v/>
      </c>
      <c r="X175" s="21">
        <f>T175*V175/(1+Assumptions!$B$3)^W175</f>
        <v/>
      </c>
      <c r="Y175" s="25">
        <f>IF(T175=0,"",ROUND(X175/T175*100,1))</f>
        <v/>
      </c>
      <c r="Z175" s="26">
        <f>X175*Assumptions!$B$4</f>
        <v/>
      </c>
      <c r="AA175" s="25">
        <f>IF(T175=0,"",ROUND(Z175/T175*100,1))</f>
        <v/>
      </c>
      <c r="AB175" s="26">
        <f>X175-Z175</f>
        <v/>
      </c>
      <c r="AC175" s="25">
        <f>IF(T175=0,"",ROUND((X175-Z175)/T175*100,1))</f>
        <v/>
      </c>
      <c r="AD175" s="27" t="inlineStr">
        <is>
          <t>CONFIRMED</t>
        </is>
      </c>
      <c r="AE175" s="28" t="inlineStr">
        <is>
          <t>https://stenius.com.br/wp-content/uploads/2026/06/EDITAL-GRUPO-3E.pdf</t>
        </is>
      </c>
      <c r="AF175" s="27" t="inlineStr">
        <is>
          <t>p10 r46</t>
        </is>
      </c>
      <c r="AG175" s="27" t="inlineStr">
        <is>
          <t>p10: R$ 2.343.402,47</t>
        </is>
      </c>
      <c r="AH175" s="27" t="inlineStr">
        <is>
          <t>DEBTOR_LIST</t>
        </is>
      </c>
      <c r="AI175" s="27" t="inlineStr">
        <is>
          <t>2026-06-22</t>
        </is>
      </c>
      <c r="AJ175" s="27" t="inlineStr">
        <is>
          <t>OK_NO_TOTALS</t>
        </is>
      </c>
      <c r="AK175" s="29" t="inlineStr">
        <is>
          <t>5341375-33.2026.8.09.0049</t>
        </is>
      </c>
      <c r="AL175" s="29" t="inlineStr">
        <is>
          <t>TJGO</t>
        </is>
      </c>
      <c r="AM175" s="29" t="inlineStr">
        <is>
          <t>ACTIVE</t>
        </is>
      </c>
      <c r="AN175" s="29" t="n">
        <v>2026</v>
      </c>
      <c r="AO175" s="29" t="inlineStr">
        <is>
          <t>plan/homologation document found</t>
        </is>
      </c>
      <c r="AP175" s="29" t="inlineStr">
        <is>
          <t>BRASILIA</t>
        </is>
      </c>
      <c r="AQ175" s="29" t="inlineStr">
        <is>
          <t>DF</t>
        </is>
      </c>
      <c r="AR175" s="29" t="inlineStr">
        <is>
          <t>Administração de consórcios para aquisição de bens e direitos</t>
        </is>
      </c>
      <c r="AS175" s="29" t="inlineStr">
        <is>
          <t>DEMAIS</t>
        </is>
      </c>
      <c r="AT175" s="29" t="inlineStr">
        <is>
          <t>LARGE CORP</t>
        </is>
      </c>
      <c r="AU175" s="29" t="inlineStr">
        <is>
          <t>06043050</t>
        </is>
      </c>
      <c r="AV175" s="29" t="n">
        <v>1</v>
      </c>
      <c r="AW175" s="29" t="inlineStr">
        <is>
          <t>ROWS:p10r46 UNRECONCILED_SOURCE</t>
        </is>
      </c>
    </row>
    <row r="176">
      <c r="A176" s="15" t="inlineStr">
        <is>
          <t>SCANIA BANCO S.A.</t>
        </is>
      </c>
      <c r="B176" s="16" t="n">
        <v>2297915.55</v>
      </c>
      <c r="C176" s="17" t="inlineStr">
        <is>
          <t>COMERCIO RACOES BEM BOM LTDA</t>
        </is>
      </c>
      <c r="D176" s="18" t="inlineStr">
        <is>
          <t>NEW</t>
        </is>
      </c>
      <c r="E176" s="19" t="inlineStr"/>
      <c r="F176" s="18" t="inlineStr"/>
      <c r="G176" s="19" t="inlineStr"/>
      <c r="H176" s="18" t="inlineStr"/>
      <c r="I176" s="20" t="inlineStr">
        <is>
          <t>OSCAR LARS RUNE JAERN</t>
        </is>
      </c>
      <c r="J176" s="20" t="inlineStr">
        <is>
          <t>Presidente</t>
        </is>
      </c>
      <c r="K176" s="20" t="inlineStr">
        <is>
          <t>(11) 3214-0820</t>
        </is>
      </c>
      <c r="L176" s="20" t="inlineStr"/>
      <c r="M176" s="20" t="inlineStr"/>
      <c r="N176" s="20" t="inlineStr"/>
      <c r="O176" s="20" t="inlineStr"/>
      <c r="P176" s="20" t="inlineStr">
        <is>
          <t>CARLOS JOSE RIVERA DE OLIVEIRA</t>
        </is>
      </c>
      <c r="Q176" s="20" t="inlineStr">
        <is>
          <t>Diretor</t>
        </is>
      </c>
      <c r="R176" s="20" t="inlineStr">
        <is>
          <t>(11) 3214-0820</t>
        </is>
      </c>
      <c r="S176" s="20" t="inlineStr"/>
      <c r="T176" s="21" t="n">
        <v>2297915.55</v>
      </c>
      <c r="U176" s="32" t="inlineStr">
        <is>
          <t>A</t>
        </is>
      </c>
      <c r="V176" s="23">
        <f>IFERROR(VLOOKUP(U176,Assumptions!$A$7:$D$11,2,FALSE),0)</f>
        <v/>
      </c>
      <c r="W176" s="24">
        <f>MAX(0.5,IFERROR(VLOOKUP(U176,Assumptions!$A$7:$D$11,3,FALSE),3)+IFERROR(VLOOKUP(U176,Assumptions!$A$7:$D$11,4,FALSE),8)/2-IF(AN176="",0,YEAR(TODAY())-AN176))</f>
        <v/>
      </c>
      <c r="X176" s="21">
        <f>T176*V176/(1+Assumptions!$B$3)^W176</f>
        <v/>
      </c>
      <c r="Y176" s="25">
        <f>IF(T176=0,"",ROUND(X176/T176*100,1))</f>
        <v/>
      </c>
      <c r="Z176" s="26">
        <f>X176*Assumptions!$B$4</f>
        <v/>
      </c>
      <c r="AA176" s="25">
        <f>IF(T176=0,"",ROUND(Z176/T176*100,1))</f>
        <v/>
      </c>
      <c r="AB176" s="26">
        <f>X176-Z176</f>
        <v/>
      </c>
      <c r="AC176" s="25">
        <f>IF(T176=0,"",ROUND((X176-Z176)/T176*100,1))</f>
        <v/>
      </c>
      <c r="AD176" s="27" t="inlineStr">
        <is>
          <t>CONFIRMED</t>
        </is>
      </c>
      <c r="AE176" s="28" t="inlineStr">
        <is>
          <t>https://stenius.com.br/wp-content/uploads/2026/06/EDITAL-GRUPO-3E.pdf</t>
        </is>
      </c>
      <c r="AF176" s="27" t="inlineStr">
        <is>
          <t>p17 r55</t>
        </is>
      </c>
      <c r="AG176" s="27" t="inlineStr">
        <is>
          <t>p17: R$ 2.297.915,55</t>
        </is>
      </c>
      <c r="AH176" s="27" t="inlineStr">
        <is>
          <t>DEBTOR_LIST</t>
        </is>
      </c>
      <c r="AI176" s="27" t="inlineStr">
        <is>
          <t>2026-06-22</t>
        </is>
      </c>
      <c r="AJ176" s="27" t="inlineStr">
        <is>
          <t>OK_NO_TOTALS</t>
        </is>
      </c>
      <c r="AK176" s="29" t="inlineStr">
        <is>
          <t>5341375-33.2026.8.09.0049</t>
        </is>
      </c>
      <c r="AL176" s="29" t="inlineStr">
        <is>
          <t>TJGO</t>
        </is>
      </c>
      <c r="AM176" s="29" t="inlineStr">
        <is>
          <t>ACTIVE</t>
        </is>
      </c>
      <c r="AN176" s="29" t="n">
        <v>2026</v>
      </c>
      <c r="AO176" s="29" t="inlineStr">
        <is>
          <t>plan/homologation document found</t>
        </is>
      </c>
      <c r="AP176" s="29" t="inlineStr">
        <is>
          <t>SAO BERNARDO DO CAMPO</t>
        </is>
      </c>
      <c r="AQ176" s="29" t="inlineStr">
        <is>
          <t>SP</t>
        </is>
      </c>
      <c r="AR176" s="29" t="inlineStr">
        <is>
          <t>Bancos múltiplos, sem carteira comercial</t>
        </is>
      </c>
      <c r="AS176" s="29" t="inlineStr">
        <is>
          <t>DEMAIS</t>
        </is>
      </c>
      <c r="AT176" s="29" t="inlineStr">
        <is>
          <t>LARGE CORP</t>
        </is>
      </c>
      <c r="AU176" s="29" t="inlineStr">
        <is>
          <t>11417016</t>
        </is>
      </c>
      <c r="AV176" s="29" t="n">
        <v>1</v>
      </c>
      <c r="AW176" s="29" t="inlineStr">
        <is>
          <t>LIKELY_FINANCIAL_BY_NAME ROWS:p17r55 UNRECONCILED_SOURCE</t>
        </is>
      </c>
    </row>
    <row r="177">
      <c r="A177" s="15" t="inlineStr">
        <is>
          <t>BANCO VOLKSWAGEN S.A.</t>
        </is>
      </c>
      <c r="B177" s="16" t="n">
        <v>2266536.35</v>
      </c>
      <c r="C177" s="17" t="inlineStr">
        <is>
          <t>COMERCIO RACOES BEM BOM LTDA</t>
        </is>
      </c>
      <c r="D177" s="18" t="inlineStr">
        <is>
          <t>NEW</t>
        </is>
      </c>
      <c r="E177" s="19" t="inlineStr"/>
      <c r="F177" s="18" t="inlineStr"/>
      <c r="G177" s="19" t="inlineStr"/>
      <c r="H177" s="18" t="inlineStr"/>
      <c r="I177" s="20" t="inlineStr">
        <is>
          <t>MURILO AZEVEDO BRUNO</t>
        </is>
      </c>
      <c r="J177" s="20" t="inlineStr">
        <is>
          <t>Administrador</t>
        </is>
      </c>
      <c r="K177" s="20" t="inlineStr"/>
      <c r="L177" s="20" t="inlineStr"/>
      <c r="M177" s="20" t="inlineStr"/>
      <c r="N177" s="20" t="inlineStr"/>
      <c r="O177" s="20" t="inlineStr"/>
      <c r="P177" s="20" t="inlineStr">
        <is>
          <t>RODRIGO OTAVIO ROCHA CAPURUCO</t>
        </is>
      </c>
      <c r="Q177" s="20" t="inlineStr">
        <is>
          <t>Presidente</t>
        </is>
      </c>
      <c r="R177" s="20" t="inlineStr"/>
      <c r="S177" s="20" t="inlineStr"/>
      <c r="T177" s="21" t="n">
        <v>2266536.35</v>
      </c>
      <c r="U177" s="32" t="inlineStr">
        <is>
          <t>A</t>
        </is>
      </c>
      <c r="V177" s="23">
        <f>IFERROR(VLOOKUP(U177,Assumptions!$A$7:$D$11,2,FALSE),0)</f>
        <v/>
      </c>
      <c r="W177" s="24">
        <f>MAX(0.5,IFERROR(VLOOKUP(U177,Assumptions!$A$7:$D$11,3,FALSE),3)+IFERROR(VLOOKUP(U177,Assumptions!$A$7:$D$11,4,FALSE),8)/2-IF(AN177="",0,YEAR(TODAY())-AN177))</f>
        <v/>
      </c>
      <c r="X177" s="21">
        <f>T177*V177/(1+Assumptions!$B$3)^W177</f>
        <v/>
      </c>
      <c r="Y177" s="25">
        <f>IF(T177=0,"",ROUND(X177/T177*100,1))</f>
        <v/>
      </c>
      <c r="Z177" s="26">
        <f>X177*Assumptions!$B$4</f>
        <v/>
      </c>
      <c r="AA177" s="25">
        <f>IF(T177=0,"",ROUND(Z177/T177*100,1))</f>
        <v/>
      </c>
      <c r="AB177" s="26">
        <f>X177-Z177</f>
        <v/>
      </c>
      <c r="AC177" s="25">
        <f>IF(T177=0,"",ROUND((X177-Z177)/T177*100,1))</f>
        <v/>
      </c>
      <c r="AD177" s="27" t="inlineStr">
        <is>
          <t>CONFIRMED</t>
        </is>
      </c>
      <c r="AE177" s="28" t="inlineStr">
        <is>
          <t>https://stenius.com.br/wp-content/uploads/2026/06/EDITAL-GRUPO-3E.pdf</t>
        </is>
      </c>
      <c r="AF177" s="27" t="inlineStr">
        <is>
          <t>p10 r40</t>
        </is>
      </c>
      <c r="AG177" s="27" t="inlineStr">
        <is>
          <t>p10: R$ 2.266.536,35</t>
        </is>
      </c>
      <c r="AH177" s="27" t="inlineStr">
        <is>
          <t>DEBTOR_LIST</t>
        </is>
      </c>
      <c r="AI177" s="27" t="inlineStr">
        <is>
          <t>2026-06-22</t>
        </is>
      </c>
      <c r="AJ177" s="27" t="inlineStr">
        <is>
          <t>OK_NO_TOTALS</t>
        </is>
      </c>
      <c r="AK177" s="29" t="inlineStr">
        <is>
          <t>5341375-33.2026.8.09.0049</t>
        </is>
      </c>
      <c r="AL177" s="29" t="inlineStr">
        <is>
          <t>TJGO</t>
        </is>
      </c>
      <c r="AM177" s="29" t="inlineStr">
        <is>
          <t>ACTIVE</t>
        </is>
      </c>
      <c r="AN177" s="29" t="n">
        <v>2026</v>
      </c>
      <c r="AO177" s="29" t="inlineStr">
        <is>
          <t>plan/homologation document found</t>
        </is>
      </c>
      <c r="AP177" s="29" t="inlineStr">
        <is>
          <t>SAO PAULO</t>
        </is>
      </c>
      <c r="AQ177" s="29" t="inlineStr">
        <is>
          <t>SP</t>
        </is>
      </c>
      <c r="AR177" s="29" t="inlineStr">
        <is>
          <t>Bancos múltiplos, sem carteira comercial</t>
        </is>
      </c>
      <c r="AS177" s="29" t="inlineStr">
        <is>
          <t>DEMAIS</t>
        </is>
      </c>
      <c r="AT177" s="29" t="inlineStr">
        <is>
          <t>LARGE CORP</t>
        </is>
      </c>
      <c r="AU177" s="29" t="inlineStr">
        <is>
          <t>59109165</t>
        </is>
      </c>
      <c r="AV177" s="29" t="n">
        <v>1</v>
      </c>
      <c r="AW177" s="29" t="inlineStr">
        <is>
          <t>LIKELY_FINANCIAL_BY_NAME ROWS:p10r40 UNRECONCILED_SOURCE</t>
        </is>
      </c>
    </row>
    <row r="178">
      <c r="A178" s="15" t="inlineStr">
        <is>
          <t>BANCO BRADESCO S.A.</t>
        </is>
      </c>
      <c r="B178" s="16" t="n">
        <v>1541244.43</v>
      </c>
      <c r="C178" s="17" t="inlineStr">
        <is>
          <t>civilmente LTDA</t>
        </is>
      </c>
      <c r="D178" s="18" t="inlineStr">
        <is>
          <t>NEW</t>
        </is>
      </c>
      <c r="E178" s="19" t="inlineStr"/>
      <c r="F178" s="18" t="inlineStr"/>
      <c r="G178" s="19" t="inlineStr"/>
      <c r="H178" s="18" t="inlineStr"/>
      <c r="I178" s="20" t="inlineStr">
        <is>
          <t>MARCELO DE ARAUJO NORONHA</t>
        </is>
      </c>
      <c r="J178" s="20" t="inlineStr">
        <is>
          <t>Presidente</t>
        </is>
      </c>
      <c r="K178" s="20" t="inlineStr">
        <is>
          <t>(11) 3684-5122</t>
        </is>
      </c>
      <c r="L178" s="20" t="inlineStr"/>
      <c r="M178" s="20" t="inlineStr"/>
      <c r="N178" s="20" t="inlineStr"/>
      <c r="O178" s="20" t="inlineStr"/>
      <c r="P178" s="20" t="inlineStr">
        <is>
          <t>AFRANIO CARLOS CAMARGO DANTZGER</t>
        </is>
      </c>
      <c r="Q178" s="20" t="inlineStr">
        <is>
          <t>Diretor</t>
        </is>
      </c>
      <c r="R178" s="20" t="inlineStr">
        <is>
          <t>(11) 3684-5122</t>
        </is>
      </c>
      <c r="S178" s="20" t="inlineStr"/>
      <c r="T178" s="21" t="n">
        <v>1541244.43</v>
      </c>
      <c r="U178" s="22" t="inlineStr">
        <is>
          <t>B</t>
        </is>
      </c>
      <c r="V178" s="23">
        <f>IFERROR(VLOOKUP(U178,Assumptions!$A$7:$D$11,2,FALSE),0)</f>
        <v/>
      </c>
      <c r="W178" s="24">
        <f>MAX(0.5,IFERROR(VLOOKUP(U178,Assumptions!$A$7:$D$11,3,FALSE),3)+IFERROR(VLOOKUP(U178,Assumptions!$A$7:$D$11,4,FALSE),8)/2-IF(AN178="",0,YEAR(TODAY())-AN178))</f>
        <v/>
      </c>
      <c r="X178" s="21">
        <f>T178*V178/(1+Assumptions!$B$3)^W178</f>
        <v/>
      </c>
      <c r="Y178" s="25">
        <f>IF(T178=0,"",ROUND(X178/T178*100,1))</f>
        <v/>
      </c>
      <c r="Z178" s="26">
        <f>X178*Assumptions!$B$4</f>
        <v/>
      </c>
      <c r="AA178" s="25">
        <f>IF(T178=0,"",ROUND(Z178/T178*100,1))</f>
        <v/>
      </c>
      <c r="AB178" s="26">
        <f>X178-Z178</f>
        <v/>
      </c>
      <c r="AC178" s="25">
        <f>IF(T178=0,"",ROUND((X178-Z178)/T178*100,1))</f>
        <v/>
      </c>
      <c r="AD178" s="27" t="inlineStr">
        <is>
          <t>ESTIMATED</t>
        </is>
      </c>
      <c r="AE178" s="28" t="inlineStr">
        <is>
          <t>http://recuperacaojudicial.squarespace.com/s/LISTA-DE-CREDORES-CONSOLIDADA-ATE-04102024.pdf</t>
        </is>
      </c>
      <c r="AF178" s="27" t="inlineStr">
        <is>
          <t>p6 r2; p8 r5</t>
        </is>
      </c>
      <c r="AG178" s="27" t="inlineStr">
        <is>
          <t>p6: R$ 378.608,81; p8: R$ 1.162.635,62</t>
        </is>
      </c>
      <c r="AH178" s="27" t="inlineStr">
        <is>
          <t>AJ_LIST</t>
        </is>
      </c>
      <c r="AI178" s="27" t="inlineStr">
        <is>
          <t>2024-10-04</t>
        </is>
      </c>
      <c r="AJ178" s="27" t="inlineStr">
        <is>
          <t>OK</t>
        </is>
      </c>
      <c r="AK178" s="29" t="inlineStr">
        <is>
          <t>0800778-16.2023.8.20.5104</t>
        </is>
      </c>
      <c r="AL178" s="29" t="inlineStr">
        <is>
          <t>TJRN</t>
        </is>
      </c>
      <c r="AM178" s="29" t="inlineStr">
        <is>
          <t>ACTIVE</t>
        </is>
      </c>
      <c r="AN178" s="29" t="n">
        <v>2023</v>
      </c>
      <c r="AO178" s="29" t="inlineStr">
        <is>
          <t>live case, no plan document yet</t>
        </is>
      </c>
      <c r="AP178" s="29" t="inlineStr">
        <is>
          <t>OSASCO</t>
        </is>
      </c>
      <c r="AQ178" s="29" t="inlineStr">
        <is>
          <t>SP</t>
        </is>
      </c>
      <c r="AR178" s="29" t="inlineStr">
        <is>
          <t>Bancos múltiplos, com carteira comercial</t>
        </is>
      </c>
      <c r="AS178" s="29" t="inlineStr">
        <is>
          <t>DEMAIS</t>
        </is>
      </c>
      <c r="AT178" s="29" t="inlineStr">
        <is>
          <t>LARGE CORP</t>
        </is>
      </c>
      <c r="AU178" s="29" t="inlineStr">
        <is>
          <t>60746948</t>
        </is>
      </c>
      <c r="AV178" s="29" t="n">
        <v>2</v>
      </c>
      <c r="AW178" s="29" t="inlineStr">
        <is>
          <t>LIKELY_FINANCIAL_BY_NAME ROWS:p6r2,p8r5 VALUE_COL:Valor_Do_Crédito</t>
        </is>
      </c>
    </row>
    <row r="179">
      <c r="A179" s="15" t="inlineStr">
        <is>
          <t>AMIL ASSISTENCIA MEDICA INTERNACIONAL S.A.</t>
        </is>
      </c>
      <c r="B179" s="16" t="n">
        <v>4484696.43</v>
      </c>
      <c r="C179" s="17" t="inlineStr">
        <is>
          <t>EGESA ENGENHARIA S/A (Consórcio ETDI)</t>
        </is>
      </c>
      <c r="D179" s="18" t="inlineStr">
        <is>
          <t>NEW</t>
        </is>
      </c>
      <c r="E179" s="19" t="inlineStr"/>
      <c r="F179" s="18" t="inlineStr"/>
      <c r="G179" s="19" t="inlineStr"/>
      <c r="H179" s="18" t="inlineStr"/>
      <c r="I179" s="20" t="inlineStr">
        <is>
          <t>ANTONIO RENATO MANSO DE CASTRO</t>
        </is>
      </c>
      <c r="J179" s="20" t="inlineStr">
        <is>
          <t>Presidente</t>
        </is>
      </c>
      <c r="K179" s="20" t="inlineStr">
        <is>
          <t>(21) 3805-1000</t>
        </is>
      </c>
      <c r="L179" s="20" t="inlineStr"/>
      <c r="M179" s="20" t="inlineStr"/>
      <c r="N179" s="20" t="inlineStr"/>
      <c r="O179" s="20" t="inlineStr"/>
      <c r="P179" s="20" t="inlineStr">
        <is>
          <t>FABIAN ROCHA</t>
        </is>
      </c>
      <c r="Q179" s="20" t="inlineStr">
        <is>
          <t>Diretor</t>
        </is>
      </c>
      <c r="R179" s="20" t="inlineStr">
        <is>
          <t>(21) 3805-1000</t>
        </is>
      </c>
      <c r="S179" s="20" t="inlineStr"/>
      <c r="T179" s="21" t="n">
        <v>4484696.43</v>
      </c>
      <c r="U179" s="30" t="inlineStr">
        <is>
          <t>?</t>
        </is>
      </c>
      <c r="V179" s="23">
        <f>IFERROR(VLOOKUP(U179,Assumptions!$A$7:$D$11,2,FALSE),0)</f>
        <v/>
      </c>
      <c r="W179" s="24">
        <f>MAX(0.5,IFERROR(VLOOKUP(U179,Assumptions!$A$7:$D$11,3,FALSE),3)+IFERROR(VLOOKUP(U179,Assumptions!$A$7:$D$11,4,FALSE),8)/2-IF(AN179="",0,YEAR(TODAY())-AN179))</f>
        <v/>
      </c>
      <c r="X179" s="21">
        <f>T179*V179/(1+Assumptions!$B$3)^W179</f>
        <v/>
      </c>
      <c r="Y179" s="25">
        <f>IF(T179=0,"",ROUND(X179/T179*100,1))</f>
        <v/>
      </c>
      <c r="Z179" s="26">
        <f>X179*Assumptions!$B$4</f>
        <v/>
      </c>
      <c r="AA179" s="25">
        <f>IF(T179=0,"",ROUND(Z179/T179*100,1))</f>
        <v/>
      </c>
      <c r="AB179" s="26">
        <f>X179-Z179</f>
        <v/>
      </c>
      <c r="AC179" s="25">
        <f>IF(T179=0,"",ROUND((X179-Z179)/T179*100,1))</f>
        <v/>
      </c>
      <c r="AD179" s="27" t="inlineStr">
        <is>
          <t>UNKNOWN</t>
        </is>
      </c>
      <c r="AE179" s="28" t="inlineStr">
        <is>
          <t>https://scalzilliaj.com.br/sgc/download.php?file=files/processo_documento/processo_documento09514021082025_1_.pdf&amp;nome=04 - Relação de credores das Recuperandas</t>
        </is>
      </c>
      <c r="AF179" s="27" t="inlineStr">
        <is>
          <t>p62 r6</t>
        </is>
      </c>
      <c r="AG179" s="27" t="inlineStr">
        <is>
          <t>p62: R$ 4.484.696,43</t>
        </is>
      </c>
      <c r="AH179" s="27" t="inlineStr">
        <is>
          <t>DEBTOR_LIST</t>
        </is>
      </c>
      <c r="AI179" s="27" t="inlineStr"/>
      <c r="AJ179" s="27" t="inlineStr">
        <is>
          <t>OK</t>
        </is>
      </c>
      <c r="AK179" s="29" t="inlineStr">
        <is>
          <t>(not printed)</t>
        </is>
      </c>
      <c r="AL179" s="29" t="inlineStr"/>
      <c r="AM179" s="29" t="inlineStr"/>
      <c r="AN179" s="29" t="inlineStr"/>
      <c r="AO179" s="29" t="inlineStr">
        <is>
          <t>RJ case number not identified on the document</t>
        </is>
      </c>
      <c r="AP179" s="29" t="inlineStr">
        <is>
          <t>SAO PAULO</t>
        </is>
      </c>
      <c r="AQ179" s="29" t="inlineStr">
        <is>
          <t>SP</t>
        </is>
      </c>
      <c r="AR179" s="29" t="inlineStr">
        <is>
          <t>Planos de saúde</t>
        </is>
      </c>
      <c r="AS179" s="29" t="inlineStr">
        <is>
          <t>DEMAIS</t>
        </is>
      </c>
      <c r="AT179" s="29" t="inlineStr">
        <is>
          <t>LARGE CORP</t>
        </is>
      </c>
      <c r="AU179" s="29" t="inlineStr">
        <is>
          <t>29309127</t>
        </is>
      </c>
      <c r="AV179" s="29" t="n">
        <v>1</v>
      </c>
      <c r="AW179" s="29" t="inlineStr">
        <is>
          <t>ROWS:p62r6 VALUE_COL:Valor_Atualizado CASE_NUMBER_CORRECTED</t>
        </is>
      </c>
    </row>
    <row r="180">
      <c r="A180" s="15" t="inlineStr">
        <is>
          <t>BANCO SAFRA S A</t>
        </is>
      </c>
      <c r="B180" s="16" t="n">
        <v>2385103.18</v>
      </c>
      <c r="C180" s="17" t="inlineStr">
        <is>
          <t>aludida empresa</t>
        </is>
      </c>
      <c r="D180" s="18" t="inlineStr">
        <is>
          <t>NEW</t>
        </is>
      </c>
      <c r="E180" s="19" t="inlineStr"/>
      <c r="F180" s="18" t="inlineStr"/>
      <c r="G180" s="19" t="inlineStr"/>
      <c r="H180" s="18" t="inlineStr"/>
      <c r="I180" s="20" t="inlineStr">
        <is>
          <t>RAFAEL BORDALO QUINTAS</t>
        </is>
      </c>
      <c r="J180" s="20" t="inlineStr">
        <is>
          <t>Administrador</t>
        </is>
      </c>
      <c r="K180" s="20" t="inlineStr">
        <is>
          <t>(11) 3175-7575</t>
        </is>
      </c>
      <c r="L180" s="20" t="inlineStr"/>
      <c r="M180" s="20" t="inlineStr"/>
      <c r="N180" s="20" t="inlineStr"/>
      <c r="O180" s="20" t="inlineStr"/>
      <c r="P180" s="20" t="inlineStr">
        <is>
          <t>ADRIANO MACIEL PEDROTI</t>
        </is>
      </c>
      <c r="Q180" s="20" t="inlineStr">
        <is>
          <t>Diretor</t>
        </is>
      </c>
      <c r="R180" s="20" t="inlineStr">
        <is>
          <t>(11) 3175-7575</t>
        </is>
      </c>
      <c r="S180" s="20" t="inlineStr"/>
      <c r="T180" s="21" t="n">
        <v>2385103.18</v>
      </c>
      <c r="U180" s="31" t="inlineStr">
        <is>
          <t>C</t>
        </is>
      </c>
      <c r="V180" s="23">
        <f>IFERROR(VLOOKUP(U180,Assumptions!$A$7:$D$11,2,FALSE),0)</f>
        <v/>
      </c>
      <c r="W180" s="24">
        <f>MAX(0.5,IFERROR(VLOOKUP(U180,Assumptions!$A$7:$D$11,3,FALSE),3)+IFERROR(VLOOKUP(U180,Assumptions!$A$7:$D$11,4,FALSE),8)/2-IF(AN180="",0,YEAR(TODAY())-AN180))</f>
        <v/>
      </c>
      <c r="X180" s="21">
        <f>T180*V180/(1+Assumptions!$B$3)^W180</f>
        <v/>
      </c>
      <c r="Y180" s="25">
        <f>IF(T180=0,"",ROUND(X180/T180*100,1))</f>
        <v/>
      </c>
      <c r="Z180" s="26">
        <f>X180*Assumptions!$B$4</f>
        <v/>
      </c>
      <c r="AA180" s="25">
        <f>IF(T180=0,"",ROUND(Z180/T180*100,1))</f>
        <v/>
      </c>
      <c r="AB180" s="26">
        <f>X180-Z180</f>
        <v/>
      </c>
      <c r="AC180" s="25">
        <f>IF(T180=0,"",ROUND((X180-Z180)/T180*100,1))</f>
        <v/>
      </c>
      <c r="AD180" s="27" t="inlineStr">
        <is>
          <t>ESTIMATED</t>
        </is>
      </c>
      <c r="AE180" s="28" t="inlineStr">
        <is>
          <t>https://recuperacaojudicial.squarespace.com/s/RJ-Credimoveis-QGC-01082025.pdf</t>
        </is>
      </c>
      <c r="AF180" s="27" t="inlineStr">
        <is>
          <t>p15 r15</t>
        </is>
      </c>
      <c r="AG180" s="27" t="inlineStr">
        <is>
          <t>p15: R$ 2.385.103,18</t>
        </is>
      </c>
      <c r="AH180" s="27" t="inlineStr">
        <is>
          <t>QGC</t>
        </is>
      </c>
      <c r="AI180" s="27" t="inlineStr">
        <is>
          <t>2026-01-28</t>
        </is>
      </c>
      <c r="AJ180" s="27" t="inlineStr">
        <is>
          <t>OK</t>
        </is>
      </c>
      <c r="AK180" s="29" t="inlineStr">
        <is>
          <t>0007565-40.2020.8.17.2370</t>
        </is>
      </c>
      <c r="AL180" s="29" t="inlineStr">
        <is>
          <t>TJPE</t>
        </is>
      </c>
      <c r="AM180" s="29" t="inlineStr">
        <is>
          <t>ACTIVE</t>
        </is>
      </c>
      <c r="AN180" s="29" t="n">
        <v>2020</v>
      </c>
      <c r="AO180" s="29" t="inlineStr">
        <is>
          <t>6y since filing, no plan document</t>
        </is>
      </c>
      <c r="AP180" s="29" t="inlineStr">
        <is>
          <t>SAO PAULO</t>
        </is>
      </c>
      <c r="AQ180" s="29" t="inlineStr">
        <is>
          <t>SP</t>
        </is>
      </c>
      <c r="AR180" s="29" t="inlineStr">
        <is>
          <t>Bancos múltiplos, com carteira comercial</t>
        </is>
      </c>
      <c r="AS180" s="29" t="inlineStr">
        <is>
          <t>DEMAIS</t>
        </is>
      </c>
      <c r="AT180" s="29" t="inlineStr">
        <is>
          <t>LARGE CORP</t>
        </is>
      </c>
      <c r="AU180" s="29" t="inlineStr">
        <is>
          <t>58160789</t>
        </is>
      </c>
      <c r="AV180" s="29" t="n">
        <v>1</v>
      </c>
      <c r="AW180" s="29" t="inlineStr">
        <is>
          <t>ROWS:p15r15</t>
        </is>
      </c>
    </row>
    <row r="181">
      <c r="A181" s="15" t="inlineStr">
        <is>
          <t>BANCO SAFRA S A</t>
        </is>
      </c>
      <c r="B181" s="16" t="n">
        <v>1465561.74</v>
      </c>
      <c r="C181" s="17" t="inlineStr">
        <is>
          <t>VEV COMERCIO DE MEDICAMENTOS LTDA EM RECUPERACAO JUDICIAL</t>
        </is>
      </c>
      <c r="D181" s="18" t="inlineStr">
        <is>
          <t>NEW</t>
        </is>
      </c>
      <c r="E181" s="19" t="inlineStr"/>
      <c r="F181" s="18" t="inlineStr"/>
      <c r="G181" s="19" t="inlineStr"/>
      <c r="H181" s="18" t="inlineStr"/>
      <c r="I181" s="20" t="inlineStr">
        <is>
          <t>RAFAEL BORDALO QUINTAS</t>
        </is>
      </c>
      <c r="J181" s="20" t="inlineStr">
        <is>
          <t>Administrador</t>
        </is>
      </c>
      <c r="K181" s="20" t="inlineStr">
        <is>
          <t>(11) 3175-7575</t>
        </is>
      </c>
      <c r="L181" s="20" t="inlineStr"/>
      <c r="M181" s="20" t="inlineStr"/>
      <c r="N181" s="20" t="inlineStr"/>
      <c r="O181" s="20" t="inlineStr"/>
      <c r="P181" s="20" t="inlineStr">
        <is>
          <t>ADRIANO MACIEL PEDROTI</t>
        </is>
      </c>
      <c r="Q181" s="20" t="inlineStr">
        <is>
          <t>Diretor</t>
        </is>
      </c>
      <c r="R181" s="20" t="inlineStr">
        <is>
          <t>(11) 3175-7575</t>
        </is>
      </c>
      <c r="S181" s="20" t="inlineStr"/>
      <c r="T181" s="21" t="n">
        <v>1465561.74</v>
      </c>
      <c r="U181" s="22" t="inlineStr">
        <is>
          <t>B</t>
        </is>
      </c>
      <c r="V181" s="23">
        <f>IFERROR(VLOOKUP(U181,Assumptions!$A$7:$D$11,2,FALSE),0)</f>
        <v/>
      </c>
      <c r="W181" s="24">
        <f>MAX(0.5,IFERROR(VLOOKUP(U181,Assumptions!$A$7:$D$11,3,FALSE),3)+IFERROR(VLOOKUP(U181,Assumptions!$A$7:$D$11,4,FALSE),8)/2-IF(AN181="",0,YEAR(TODAY())-AN181))</f>
        <v/>
      </c>
      <c r="X181" s="21">
        <f>T181*V181/(1+Assumptions!$B$3)^W181</f>
        <v/>
      </c>
      <c r="Y181" s="25">
        <f>IF(T181=0,"",ROUND(X181/T181*100,1))</f>
        <v/>
      </c>
      <c r="Z181" s="26">
        <f>X181*Assumptions!$B$4</f>
        <v/>
      </c>
      <c r="AA181" s="25">
        <f>IF(T181=0,"",ROUND(Z181/T181*100,1))</f>
        <v/>
      </c>
      <c r="AB181" s="26">
        <f>X181-Z181</f>
        <v/>
      </c>
      <c r="AC181" s="25">
        <f>IF(T181=0,"",ROUND((X181-Z181)/T181*100,1))</f>
        <v/>
      </c>
      <c r="AD181" s="27" t="inlineStr">
        <is>
          <t>ESTIMATED</t>
        </is>
      </c>
      <c r="AE181" s="28" t="inlineStr">
        <is>
          <t>https://marquesadmjudicial.com.br/sgc/download.php?file=files/processo_documento/processo_documento15293208032024_1_.pdf&amp;nome=Relação Nominal de Credores da AJ-Sintética</t>
        </is>
      </c>
      <c r="AF181" s="27" t="inlineStr">
        <is>
          <t>p21 r4</t>
        </is>
      </c>
      <c r="AG181" s="27" t="inlineStr">
        <is>
          <t>p21: R$ 1.465.561,74</t>
        </is>
      </c>
      <c r="AH181" s="27" t="inlineStr">
        <is>
          <t>AJ_LIST</t>
        </is>
      </c>
      <c r="AI181" s="27" t="inlineStr">
        <is>
          <t>2023-03-02</t>
        </is>
      </c>
      <c r="AJ181" s="27" t="inlineStr">
        <is>
          <t>QUARANTINED</t>
        </is>
      </c>
      <c r="AK181" s="29" t="inlineStr">
        <is>
          <t>0005010-98.2023.8.16.0001</t>
        </is>
      </c>
      <c r="AL181" s="29" t="inlineStr">
        <is>
          <t>TJPR</t>
        </is>
      </c>
      <c r="AM181" s="29" t="inlineStr">
        <is>
          <t>ACTIVE</t>
        </is>
      </c>
      <c r="AN181" s="29" t="n">
        <v>2023</v>
      </c>
      <c r="AO181" s="29" t="inlineStr">
        <is>
          <t>live case, no plan document yet</t>
        </is>
      </c>
      <c r="AP181" s="29" t="inlineStr">
        <is>
          <t>SAO PAULO</t>
        </is>
      </c>
      <c r="AQ181" s="29" t="inlineStr">
        <is>
          <t>SP</t>
        </is>
      </c>
      <c r="AR181" s="29" t="inlineStr">
        <is>
          <t>Bancos múltiplos, com carteira comercial</t>
        </is>
      </c>
      <c r="AS181" s="29" t="inlineStr">
        <is>
          <t>DEMAIS</t>
        </is>
      </c>
      <c r="AT181" s="29" t="inlineStr">
        <is>
          <t>LARGE CORP</t>
        </is>
      </c>
      <c r="AU181" s="29" t="inlineStr">
        <is>
          <t>58160789</t>
        </is>
      </c>
      <c r="AV181" s="29" t="n">
        <v>1</v>
      </c>
      <c r="AW181" s="29" t="inlineStr">
        <is>
          <t>LIKELY_FINANCIAL_BY_NAME PARTIAL_DOC_CLASS_III_RECONCILED ROWS:p21r4</t>
        </is>
      </c>
    </row>
    <row r="182">
      <c r="A182" s="15" t="inlineStr">
        <is>
          <t>TRABALHO LTDA. BANCO COOPERATIVO SICREDI S.A.</t>
        </is>
      </c>
      <c r="B182" s="16" t="n">
        <v>1449579.2</v>
      </c>
      <c r="C182" s="17" t="inlineStr"/>
      <c r="D182" s="18" t="inlineStr">
        <is>
          <t>NEW</t>
        </is>
      </c>
      <c r="E182" s="19" t="inlineStr"/>
      <c r="F182" s="18" t="inlineStr"/>
      <c r="G182" s="19" t="inlineStr"/>
      <c r="H182" s="18" t="inlineStr"/>
      <c r="I182" s="20" t="inlineStr"/>
      <c r="J182" s="20" t="inlineStr"/>
      <c r="K182" s="20" t="inlineStr"/>
      <c r="L182" s="20" t="inlineStr"/>
      <c r="M182" s="20" t="inlineStr"/>
      <c r="N182" s="20" t="inlineStr"/>
      <c r="O182" s="20" t="inlineStr"/>
      <c r="P182" s="20" t="inlineStr"/>
      <c r="Q182" s="20" t="inlineStr"/>
      <c r="R182" s="20" t="inlineStr"/>
      <c r="S182" s="20" t="inlineStr"/>
      <c r="T182" s="21" t="n">
        <v>1449579.2</v>
      </c>
      <c r="U182" s="22" t="inlineStr">
        <is>
          <t>B</t>
        </is>
      </c>
      <c r="V182" s="23">
        <f>IFERROR(VLOOKUP(U182,Assumptions!$A$7:$D$11,2,FALSE),0)</f>
        <v/>
      </c>
      <c r="W182" s="24">
        <f>MAX(0.5,IFERROR(VLOOKUP(U182,Assumptions!$A$7:$D$11,3,FALSE),3)+IFERROR(VLOOKUP(U182,Assumptions!$A$7:$D$11,4,FALSE),8)/2-IF(AN182="",0,YEAR(TODAY())-AN182))</f>
        <v/>
      </c>
      <c r="X182" s="21">
        <f>T182*V182/(1+Assumptions!$B$3)^W182</f>
        <v/>
      </c>
      <c r="Y182" s="25">
        <f>IF(T182=0,"",ROUND(X182/T182*100,1))</f>
        <v/>
      </c>
      <c r="Z182" s="26">
        <f>X182*Assumptions!$B$4</f>
        <v/>
      </c>
      <c r="AA182" s="25">
        <f>IF(T182=0,"",ROUND(Z182/T182*100,1))</f>
        <v/>
      </c>
      <c r="AB182" s="26">
        <f>X182-Z182</f>
        <v/>
      </c>
      <c r="AC182" s="25">
        <f>IF(T182=0,"",ROUND((X182-Z182)/T182*100,1))</f>
        <v/>
      </c>
      <c r="AD182" s="27" t="inlineStr">
        <is>
          <t>UNKNOWN</t>
        </is>
      </c>
      <c r="AE182" s="28" t="inlineStr">
        <is>
          <t>https://bbsadvogados.com.br/wp-content/uploads/2025/04/Equipseg-Edital-Relacao-de-Credores-da-Administradora-Judicial-art.-7o2o-da-LRF.pdf</t>
        </is>
      </c>
      <c r="AF182" s="27" t="inlineStr">
        <is>
          <t>p38 r4</t>
        </is>
      </c>
      <c r="AG182" s="27" t="inlineStr">
        <is>
          <t>p38: R$ 1.449.579,20</t>
        </is>
      </c>
      <c r="AH182" s="27" t="inlineStr">
        <is>
          <t>AJ_LIST</t>
        </is>
      </c>
      <c r="AI182" s="27" t="inlineStr">
        <is>
          <t>2025-04-08</t>
        </is>
      </c>
      <c r="AJ182" s="27" t="inlineStr">
        <is>
          <t>OK_NO_TOTALS</t>
        </is>
      </c>
      <c r="AK182" s="29" t="inlineStr">
        <is>
          <t>0033736-15.2023.8.16.0185</t>
        </is>
      </c>
      <c r="AL182" s="29" t="inlineStr">
        <is>
          <t>TJ</t>
        </is>
      </c>
      <c r="AM182" s="29" t="inlineStr"/>
      <c r="AN182" s="29" t="n">
        <v>2023</v>
      </c>
      <c r="AO182" s="29" t="inlineStr">
        <is>
          <t>live case, no plan document yet</t>
        </is>
      </c>
      <c r="AP182" s="29" t="inlineStr"/>
      <c r="AQ182" s="29" t="inlineStr"/>
      <c r="AR182" s="29" t="inlineStr"/>
      <c r="AS182" s="29" t="inlineStr"/>
      <c r="AT182" s="29" t="inlineStr">
        <is>
          <t>MID-MARKET</t>
        </is>
      </c>
      <c r="AU182" s="29" t="inlineStr">
        <is>
          <t>01181521</t>
        </is>
      </c>
      <c r="AV182" s="29" t="n">
        <v>1</v>
      </c>
      <c r="AW182" s="29" t="inlineStr">
        <is>
          <t>LIKELY_FINANCIAL_BY_NAME ROWS:p38r4 UNRECONCILED_SOURCE</t>
        </is>
      </c>
    </row>
    <row r="183">
      <c r="A183" s="15" t="inlineStr">
        <is>
          <t>SICREDI S.A</t>
        </is>
      </c>
      <c r="B183" s="16" t="n">
        <v>2771887.36</v>
      </c>
      <c r="C183" s="17" t="inlineStr">
        <is>
          <t>E FALENCIA</t>
        </is>
      </c>
      <c r="D183" s="18" t="inlineStr">
        <is>
          <t>NEW</t>
        </is>
      </c>
      <c r="E183" s="19" t="inlineStr"/>
      <c r="F183" s="18" t="inlineStr"/>
      <c r="G183" s="19" t="inlineStr"/>
      <c r="H183" s="18" t="inlineStr"/>
      <c r="I183" s="20" t="inlineStr"/>
      <c r="J183" s="20" t="inlineStr"/>
      <c r="K183" s="20" t="inlineStr"/>
      <c r="L183" s="20" t="inlineStr"/>
      <c r="M183" s="20" t="inlineStr"/>
      <c r="N183" s="20" t="inlineStr"/>
      <c r="O183" s="20" t="inlineStr"/>
      <c r="P183" s="20" t="inlineStr"/>
      <c r="Q183" s="20" t="inlineStr"/>
      <c r="R183" s="20" t="inlineStr"/>
      <c r="S183" s="20" t="inlineStr"/>
      <c r="T183" s="21" t="n">
        <v>2771887.36</v>
      </c>
      <c r="U183" s="22" t="inlineStr">
        <is>
          <t>B</t>
        </is>
      </c>
      <c r="V183" s="23">
        <f>IFERROR(VLOOKUP(U183,Assumptions!$A$7:$D$11,2,FALSE),0)</f>
        <v/>
      </c>
      <c r="W183" s="24">
        <f>MAX(0.5,IFERROR(VLOOKUP(U183,Assumptions!$A$7:$D$11,3,FALSE),3)+IFERROR(VLOOKUP(U183,Assumptions!$A$7:$D$11,4,FALSE),8)/2-IF(AN183="",0,YEAR(TODAY())-AN183))</f>
        <v/>
      </c>
      <c r="X183" s="21">
        <f>T183*V183/(1+Assumptions!$B$3)^W183</f>
        <v/>
      </c>
      <c r="Y183" s="25">
        <f>IF(T183=0,"",ROUND(X183/T183*100,1))</f>
        <v/>
      </c>
      <c r="Z183" s="26">
        <f>X183*Assumptions!$B$4</f>
        <v/>
      </c>
      <c r="AA183" s="25">
        <f>IF(T183=0,"",ROUND(Z183/T183*100,1))</f>
        <v/>
      </c>
      <c r="AB183" s="26">
        <f>X183-Z183</f>
        <v/>
      </c>
      <c r="AC183" s="25">
        <f>IF(T183=0,"",ROUND((X183-Z183)/T183*100,1))</f>
        <v/>
      </c>
      <c r="AD183" s="27" t="inlineStr">
        <is>
          <t>ESTIMATED</t>
        </is>
      </c>
      <c r="AE183" s="28" t="inlineStr">
        <is>
          <t>https://recuperasolucoes.com/wp-content/plugins/download-attachments/includes/download.php?id=1597</t>
        </is>
      </c>
      <c r="AF183" s="27" t="inlineStr">
        <is>
          <t>p13 r21</t>
        </is>
      </c>
      <c r="AG183" s="27" t="inlineStr">
        <is>
          <t>p13: R$ 2.771.887,36</t>
        </is>
      </c>
      <c r="AH183" s="27" t="inlineStr">
        <is>
          <t>DEBTOR_LIST</t>
        </is>
      </c>
      <c r="AI183" s="27" t="inlineStr">
        <is>
          <t>2026-05-21</t>
        </is>
      </c>
      <c r="AJ183" s="27" t="inlineStr">
        <is>
          <t>OK</t>
        </is>
      </c>
      <c r="AK183" s="29" t="inlineStr">
        <is>
          <t>0001639-09.2026.8.17.2810</t>
        </is>
      </c>
      <c r="AL183" s="29" t="inlineStr">
        <is>
          <t>TJPE</t>
        </is>
      </c>
      <c r="AM183" s="29" t="inlineStr">
        <is>
          <t>ACTIVE</t>
        </is>
      </c>
      <c r="AN183" s="29" t="n">
        <v>2026</v>
      </c>
      <c r="AO183" s="29" t="inlineStr">
        <is>
          <t>live case, no plan document yet</t>
        </is>
      </c>
      <c r="AP183" s="29" t="inlineStr"/>
      <c r="AQ183" s="29" t="inlineStr"/>
      <c r="AR183" s="29" t="inlineStr"/>
      <c r="AS183" s="29" t="inlineStr"/>
      <c r="AT183" s="29" t="inlineStr">
        <is>
          <t>MID-MARKET</t>
        </is>
      </c>
      <c r="AU183" s="29" t="inlineStr">
        <is>
          <t>01181521</t>
        </is>
      </c>
      <c r="AV183" s="29" t="n">
        <v>1</v>
      </c>
      <c r="AW183" s="29" t="inlineStr">
        <is>
          <t>LIKELY_FINANCIAL_BY_NAME ROWS:p13r21</t>
        </is>
      </c>
    </row>
    <row r="184">
      <c r="A184" s="15" t="inlineStr">
        <is>
          <t>G &amp; F ASSESSORIA CONSULTORIA EMPREENDIMENTOS E PARTICIPACOES LTDA</t>
        </is>
      </c>
      <c r="B184" s="16" t="n">
        <v>2204283.12</v>
      </c>
      <c r="C184" s="17" t="inlineStr">
        <is>
          <t>KADIMA EMPREENDIMENTOS E PARTICIPACOES EM RECUPERACAO JUDICIAL</t>
        </is>
      </c>
      <c r="D184" s="18" t="inlineStr">
        <is>
          <t>NEW</t>
        </is>
      </c>
      <c r="E184" s="19" t="inlineStr"/>
      <c r="F184" s="18" t="inlineStr"/>
      <c r="G184" s="19" t="inlineStr"/>
      <c r="H184" s="18" t="inlineStr"/>
      <c r="I184" s="20" t="inlineStr">
        <is>
          <t>MARCILIO GUILHERME AVILA</t>
        </is>
      </c>
      <c r="J184" s="20" t="inlineStr">
        <is>
          <t>Sócio-Administrador</t>
        </is>
      </c>
      <c r="K184" s="20" t="inlineStr">
        <is>
          <t>(48) 9188-2618</t>
        </is>
      </c>
      <c r="L184" s="20" t="inlineStr"/>
      <c r="M184" s="20" t="inlineStr"/>
      <c r="N184" s="20" t="inlineStr"/>
      <c r="O184" s="20" t="inlineStr"/>
      <c r="P184" s="20" t="inlineStr"/>
      <c r="Q184" s="20" t="inlineStr"/>
      <c r="R184" s="20" t="inlineStr"/>
      <c r="S184" s="20" t="inlineStr"/>
      <c r="T184" s="21" t="n">
        <v>2204283.12</v>
      </c>
      <c r="U184" s="22" t="inlineStr">
        <is>
          <t>B</t>
        </is>
      </c>
      <c r="V184" s="23">
        <f>IFERROR(VLOOKUP(U184,Assumptions!$A$7:$D$11,2,FALSE),0)</f>
        <v/>
      </c>
      <c r="W184" s="24">
        <f>MAX(0.5,IFERROR(VLOOKUP(U184,Assumptions!$A$7:$D$11,3,FALSE),3)+IFERROR(VLOOKUP(U184,Assumptions!$A$7:$D$11,4,FALSE),8)/2-IF(AN184="",0,YEAR(TODAY())-AN184))</f>
        <v/>
      </c>
      <c r="X184" s="21">
        <f>T184*V184/(1+Assumptions!$B$3)^W184</f>
        <v/>
      </c>
      <c r="Y184" s="25">
        <f>IF(T184=0,"",ROUND(X184/T184*100,1))</f>
        <v/>
      </c>
      <c r="Z184" s="26">
        <f>X184*Assumptions!$B$4</f>
        <v/>
      </c>
      <c r="AA184" s="25">
        <f>IF(T184=0,"",ROUND(Z184/T184*100,1))</f>
        <v/>
      </c>
      <c r="AB184" s="26">
        <f>X184-Z184</f>
        <v/>
      </c>
      <c r="AC184" s="25">
        <f>IF(T184=0,"",ROUND((X184-Z184)/T184*100,1))</f>
        <v/>
      </c>
      <c r="AD184" s="27" t="inlineStr">
        <is>
          <t>ESTIMATED</t>
        </is>
      </c>
      <c r="AE184" s="28" t="inlineStr">
        <is>
          <t>https://marquesadmjudicial.com.br/sgc/download.php?file=files/processo_documento/processo_documento19270817122025_1_.pdf&amp;nome=Relação Nominal de Credores AJ</t>
        </is>
      </c>
      <c r="AF184" s="27" t="inlineStr">
        <is>
          <t>p4 r11</t>
        </is>
      </c>
      <c r="AG184" s="27" t="inlineStr">
        <is>
          <t>p4: R$ 2.204.283,12</t>
        </is>
      </c>
      <c r="AH184" s="27" t="inlineStr">
        <is>
          <t>AJ_LIST</t>
        </is>
      </c>
      <c r="AI184" s="27" t="inlineStr">
        <is>
          <t>2025-12-17</t>
        </is>
      </c>
      <c r="AJ184" s="27" t="inlineStr">
        <is>
          <t>OK</t>
        </is>
      </c>
      <c r="AK184" s="29" t="inlineStr">
        <is>
          <t>0016033-22.2025.8.16.0017</t>
        </is>
      </c>
      <c r="AL184" s="29" t="inlineStr">
        <is>
          <t>TJPR</t>
        </is>
      </c>
      <c r="AM184" s="29" t="inlineStr">
        <is>
          <t>ACTIVE</t>
        </is>
      </c>
      <c r="AN184" s="29" t="n">
        <v>2025</v>
      </c>
      <c r="AO184" s="29" t="inlineStr">
        <is>
          <t>live case, no plan document yet</t>
        </is>
      </c>
      <c r="AP184" s="29" t="inlineStr">
        <is>
          <t>FLORIANOPOLIS</t>
        </is>
      </c>
      <c r="AQ184" s="29" t="inlineStr">
        <is>
          <t>SC</t>
        </is>
      </c>
      <c r="AR184" s="29" t="inlineStr">
        <is>
          <t>Holdings de instituições não-financeiras</t>
        </is>
      </c>
      <c r="AS184" s="29" t="inlineStr">
        <is>
          <t>DEMAIS</t>
        </is>
      </c>
      <c r="AT184" s="29" t="inlineStr">
        <is>
          <t>MID-MARKET</t>
        </is>
      </c>
      <c r="AU184" s="29" t="inlineStr">
        <is>
          <t>14177238</t>
        </is>
      </c>
      <c r="AV184" s="29" t="n">
        <v>1</v>
      </c>
      <c r="AW184" s="29" t="inlineStr">
        <is>
          <t>ROWS:p4r11</t>
        </is>
      </c>
    </row>
    <row r="185">
      <c r="A185" s="15" t="inlineStr">
        <is>
          <t>VALOREM SOLUCOES FINANCEIRAS S.A.</t>
        </is>
      </c>
      <c r="B185" s="16" t="n">
        <v>2727260.07</v>
      </c>
      <c r="C185" s="17" t="inlineStr">
        <is>
          <t>VECTOR INDUSTRIA DE PRODUTOS METALURGICOS LTDA - EM RECUPERACAO JUDICIAL</t>
        </is>
      </c>
      <c r="D185" s="18" t="inlineStr">
        <is>
          <t>NEW</t>
        </is>
      </c>
      <c r="E185" s="19" t="inlineStr"/>
      <c r="F185" s="18" t="inlineStr"/>
      <c r="G185" s="19" t="inlineStr"/>
      <c r="H185" s="18" t="inlineStr"/>
      <c r="I185" s="20" t="inlineStr">
        <is>
          <t>NINFO VALTERO KONIG</t>
        </is>
      </c>
      <c r="J185" s="20" t="inlineStr">
        <is>
          <t>Presidente</t>
        </is>
      </c>
      <c r="K185" s="20" t="inlineStr">
        <is>
          <t>(47) 3461-2600</t>
        </is>
      </c>
      <c r="L185" s="20" t="inlineStr"/>
      <c r="M185" s="20" t="inlineStr"/>
      <c r="N185" s="20" t="inlineStr"/>
      <c r="O185" s="20" t="inlineStr"/>
      <c r="P185" s="20" t="inlineStr">
        <is>
          <t>CHARLOTE ODEBRECHT</t>
        </is>
      </c>
      <c r="Q185" s="20" t="inlineStr">
        <is>
          <t>Diretor</t>
        </is>
      </c>
      <c r="R185" s="20" t="inlineStr">
        <is>
          <t>(47) 3461-2600</t>
        </is>
      </c>
      <c r="S185" s="20" t="inlineStr"/>
      <c r="T185" s="21" t="n">
        <v>2727260.07</v>
      </c>
      <c r="U185" s="31" t="inlineStr">
        <is>
          <t>C</t>
        </is>
      </c>
      <c r="V185" s="23">
        <f>IFERROR(VLOOKUP(U185,Assumptions!$A$7:$D$11,2,FALSE),0)</f>
        <v/>
      </c>
      <c r="W185" s="24">
        <f>MAX(0.5,IFERROR(VLOOKUP(U185,Assumptions!$A$7:$D$11,3,FALSE),3)+IFERROR(VLOOKUP(U185,Assumptions!$A$7:$D$11,4,FALSE),8)/2-IF(AN185="",0,YEAR(TODAY())-AN185))</f>
        <v/>
      </c>
      <c r="X185" s="21">
        <f>T185*V185/(1+Assumptions!$B$3)^W185</f>
        <v/>
      </c>
      <c r="Y185" s="25">
        <f>IF(T185=0,"",ROUND(X185/T185*100,1))</f>
        <v/>
      </c>
      <c r="Z185" s="26">
        <f>X185*Assumptions!$B$4</f>
        <v/>
      </c>
      <c r="AA185" s="25">
        <f>IF(T185=0,"",ROUND(Z185/T185*100,1))</f>
        <v/>
      </c>
      <c r="AB185" s="26">
        <f>X185-Z185</f>
        <v/>
      </c>
      <c r="AC185" s="25">
        <f>IF(T185=0,"",ROUND((X185-Z185)/T185*100,1))</f>
        <v/>
      </c>
      <c r="AD185" s="27" t="inlineStr">
        <is>
          <t>ESTIMATED</t>
        </is>
      </c>
      <c r="AE185" s="28" t="inlineStr">
        <is>
          <t>https://scalzilliaj.com.br/sgc/download.php?file=files/processo_documento/processo_documento15513401112022_1_.pdf&amp;nome=15 - Edital do art. 7º, §2º (segunda lista de credores) e do art. 53 da Lei 11.101/2005 (recebimento do plano)</t>
        </is>
      </c>
      <c r="AF185" s="27" t="inlineStr">
        <is>
          <t>p10 r27</t>
        </is>
      </c>
      <c r="AG185" s="27" t="inlineStr">
        <is>
          <t>p10: R$ 2.727.260,07</t>
        </is>
      </c>
      <c r="AH185" s="27" t="inlineStr">
        <is>
          <t>AJ_LIST</t>
        </is>
      </c>
      <c r="AI185" s="27" t="inlineStr">
        <is>
          <t>2022-11-01</t>
        </is>
      </c>
      <c r="AJ185" s="27" t="inlineStr">
        <is>
          <t>OK_NO_TOTALS</t>
        </is>
      </c>
      <c r="AK185" s="29" t="inlineStr">
        <is>
          <t>5014104-85.2021.8.21.0010</t>
        </is>
      </c>
      <c r="AL185" s="29" t="inlineStr">
        <is>
          <t>TJRS</t>
        </is>
      </c>
      <c r="AM185" s="29" t="inlineStr">
        <is>
          <t>ACTIVE</t>
        </is>
      </c>
      <c r="AN185" s="29" t="n">
        <v>2021</v>
      </c>
      <c r="AO185" s="29" t="inlineStr">
        <is>
          <t>5y since filing, no plan document</t>
        </is>
      </c>
      <c r="AP185" s="29" t="inlineStr">
        <is>
          <t>JOINVILLE</t>
        </is>
      </c>
      <c r="AQ185" s="29" t="inlineStr">
        <is>
          <t>SC</t>
        </is>
      </c>
      <c r="AR185" s="29" t="inlineStr">
        <is>
          <t>Securitização de créditos</t>
        </is>
      </c>
      <c r="AS185" s="29" t="inlineStr">
        <is>
          <t>DEMAIS</t>
        </is>
      </c>
      <c r="AT185" s="29" t="inlineStr">
        <is>
          <t>MID-MARKET</t>
        </is>
      </c>
      <c r="AU185" s="29" t="inlineStr">
        <is>
          <t>18488755</t>
        </is>
      </c>
      <c r="AV185" s="29" t="n">
        <v>1</v>
      </c>
      <c r="AW185" s="29" t="inlineStr">
        <is>
          <t>ROWS:p10r27 UNRECONCILED_SOURCE</t>
        </is>
      </c>
    </row>
    <row r="186">
      <c r="A186" s="15" t="inlineStr">
        <is>
          <t>COOPERATIVA DE CREDITO, POUPANCA E INVESTIMENTO PROGRESSO - SICREDI PROGRESSO PR/SP</t>
        </is>
      </c>
      <c r="B186" s="16" t="n">
        <v>2656901.01</v>
      </c>
      <c r="C186" s="17" t="inlineStr"/>
      <c r="D186" s="18" t="inlineStr">
        <is>
          <t>NEW</t>
        </is>
      </c>
      <c r="E186" s="19" t="inlineStr"/>
      <c r="F186" s="18" t="inlineStr"/>
      <c r="G186" s="19" t="inlineStr"/>
      <c r="H186" s="18" t="inlineStr"/>
      <c r="I186" s="20" t="inlineStr">
        <is>
          <t>CARINA FRANZAO ESPPIACI VARGAS</t>
        </is>
      </c>
      <c r="J186" s="20" t="inlineStr">
        <is>
          <t>Diretor</t>
        </is>
      </c>
      <c r="K186" s="20" t="inlineStr">
        <is>
          <t>(45) 3277-8700</t>
        </is>
      </c>
      <c r="L186" s="20" t="inlineStr"/>
      <c r="M186" s="20" t="inlineStr"/>
      <c r="N186" s="20" t="inlineStr"/>
      <c r="O186" s="20" t="inlineStr"/>
      <c r="P186" s="20" t="inlineStr">
        <is>
          <t>CLEITON FERNANDO PERES</t>
        </is>
      </c>
      <c r="Q186" s="20" t="inlineStr">
        <is>
          <t>Diretor</t>
        </is>
      </c>
      <c r="R186" s="20" t="inlineStr">
        <is>
          <t>(45) 3277-8700</t>
        </is>
      </c>
      <c r="S186" s="20" t="inlineStr"/>
      <c r="T186" s="21" t="n">
        <v>2656901.01</v>
      </c>
      <c r="U186" s="22" t="inlineStr">
        <is>
          <t>B</t>
        </is>
      </c>
      <c r="V186" s="23">
        <f>IFERROR(VLOOKUP(U186,Assumptions!$A$7:$D$11,2,FALSE),0)</f>
        <v/>
      </c>
      <c r="W186" s="24">
        <f>MAX(0.5,IFERROR(VLOOKUP(U186,Assumptions!$A$7:$D$11,3,FALSE),3)+IFERROR(VLOOKUP(U186,Assumptions!$A$7:$D$11,4,FALSE),8)/2-IF(AN186="",0,YEAR(TODAY())-AN186))</f>
        <v/>
      </c>
      <c r="X186" s="21">
        <f>T186*V186/(1+Assumptions!$B$3)^W186</f>
        <v/>
      </c>
      <c r="Y186" s="25">
        <f>IF(T186=0,"",ROUND(X186/T186*100,1))</f>
        <v/>
      </c>
      <c r="Z186" s="26">
        <f>X186*Assumptions!$B$4</f>
        <v/>
      </c>
      <c r="AA186" s="25">
        <f>IF(T186=0,"",ROUND(Z186/T186*100,1))</f>
        <v/>
      </c>
      <c r="AB186" s="26">
        <f>X186-Z186</f>
        <v/>
      </c>
      <c r="AC186" s="25">
        <f>IF(T186=0,"",ROUND((X186-Z186)/T186*100,1))</f>
        <v/>
      </c>
      <c r="AD186" s="27" t="inlineStr">
        <is>
          <t>ESTIMATED</t>
        </is>
      </c>
      <c r="AE186" s="28" t="inlineStr">
        <is>
          <t>https://ativosajce.com.br/admin/download.php?file=files/processo_documento/processo_documento14170815062026_1_.pdf&amp;nome=Relação de Credores - Art. 52º § 1º, da Lei nº 11.101/2005 - 20/05/2026</t>
        </is>
      </c>
      <c r="AF186" s="27" t="inlineStr">
        <is>
          <t>p3 r4</t>
        </is>
      </c>
      <c r="AG186" s="27" t="inlineStr">
        <is>
          <t>p3: R$ 2.656.901,01</t>
        </is>
      </c>
      <c r="AH186" s="27" t="inlineStr">
        <is>
          <t>DEBTOR_LIST</t>
        </is>
      </c>
      <c r="AI186" s="27" t="inlineStr">
        <is>
          <t>2026-05-20</t>
        </is>
      </c>
      <c r="AJ186" s="27" t="inlineStr">
        <is>
          <t>QUARANTINED</t>
        </is>
      </c>
      <c r="AK186" s="29" t="inlineStr">
        <is>
          <t>4087055-04.2026.8.26.0100</t>
        </is>
      </c>
      <c r="AL186" s="29" t="inlineStr">
        <is>
          <t>TJSP</t>
        </is>
      </c>
      <c r="AM186" s="29" t="inlineStr">
        <is>
          <t>ACTIVE</t>
        </is>
      </c>
      <c r="AN186" s="29" t="n">
        <v>2026</v>
      </c>
      <c r="AO186" s="29" t="inlineStr">
        <is>
          <t>live case, no plan document yet</t>
        </is>
      </c>
      <c r="AP186" s="29" t="inlineStr">
        <is>
          <t>TOLEDO</t>
        </is>
      </c>
      <c r="AQ186" s="29" t="inlineStr">
        <is>
          <t>PR</t>
        </is>
      </c>
      <c r="AR186" s="29" t="inlineStr">
        <is>
          <t>Cooperativas de crédito mútuo</t>
        </is>
      </c>
      <c r="AS186" s="29" t="inlineStr">
        <is>
          <t>DEMAIS</t>
        </is>
      </c>
      <c r="AT186" s="29" t="inlineStr">
        <is>
          <t>MID-MARKET</t>
        </is>
      </c>
      <c r="AU186" s="29" t="inlineStr">
        <is>
          <t>76059997</t>
        </is>
      </c>
      <c r="AV186" s="29" t="n">
        <v>1</v>
      </c>
      <c r="AW186" s="29" t="inlineStr">
        <is>
          <t>LIKELY_FINANCIAL_BY_NAME PARTIAL_DOC_CLASS_III_RECONCILED ROWS:p3r4 VALUE_COL:Valor_-</t>
        </is>
      </c>
    </row>
    <row r="187">
      <c r="A187" s="15" t="inlineStr">
        <is>
          <t>INTERBANK FUNDO DE INVESTIMENTO EM DIREITOS CREDITORIOS</t>
        </is>
      </c>
      <c r="B187" s="16" t="n">
        <v>1357782.33</v>
      </c>
      <c r="C187" s="17" t="inlineStr">
        <is>
          <t>Conduscabos Brasil Indústria Comércio de</t>
        </is>
      </c>
      <c r="D187" s="18" t="inlineStr">
        <is>
          <t>NEW</t>
        </is>
      </c>
      <c r="E187" s="19" t="inlineStr"/>
      <c r="F187" s="18" t="inlineStr"/>
      <c r="G187" s="19" t="inlineStr"/>
      <c r="H187" s="18" t="inlineStr"/>
      <c r="I187" s="20" t="inlineStr"/>
      <c r="J187" s="20" t="inlineStr"/>
      <c r="K187" s="20" t="inlineStr">
        <is>
          <t>(11) 2827-3500</t>
        </is>
      </c>
      <c r="L187" s="20" t="inlineStr"/>
      <c r="M187" s="20" t="inlineStr"/>
      <c r="N187" s="20" t="inlineStr"/>
      <c r="O187" s="20" t="inlineStr"/>
      <c r="P187" s="20" t="inlineStr"/>
      <c r="Q187" s="20" t="inlineStr"/>
      <c r="R187" s="20" t="inlineStr"/>
      <c r="S187" s="20" t="inlineStr"/>
      <c r="T187" s="21" t="n">
        <v>1357782.33</v>
      </c>
      <c r="U187" s="22" t="inlineStr">
        <is>
          <t>B</t>
        </is>
      </c>
      <c r="V187" s="23">
        <f>IFERROR(VLOOKUP(U187,Assumptions!$A$7:$D$11,2,FALSE),0)</f>
        <v/>
      </c>
      <c r="W187" s="24">
        <f>MAX(0.5,IFERROR(VLOOKUP(U187,Assumptions!$A$7:$D$11,3,FALSE),3)+IFERROR(VLOOKUP(U187,Assumptions!$A$7:$D$11,4,FALSE),8)/2-IF(AN187="",0,YEAR(TODAY())-AN187))</f>
        <v/>
      </c>
      <c r="X187" s="21">
        <f>T187*V187/(1+Assumptions!$B$3)^W187</f>
        <v/>
      </c>
      <c r="Y187" s="25">
        <f>IF(T187=0,"",ROUND(X187/T187*100,1))</f>
        <v/>
      </c>
      <c r="Z187" s="26">
        <f>X187*Assumptions!$B$4</f>
        <v/>
      </c>
      <c r="AA187" s="25">
        <f>IF(T187=0,"",ROUND(Z187/T187*100,1))</f>
        <v/>
      </c>
      <c r="AB187" s="26">
        <f>X187-Z187</f>
        <v/>
      </c>
      <c r="AC187" s="25">
        <f>IF(T187=0,"",ROUND((X187-Z187)/T187*100,1))</f>
        <v/>
      </c>
      <c r="AD187" s="27" t="inlineStr">
        <is>
          <t>ESTIMATED</t>
        </is>
      </c>
      <c r="AE187" s="28" t="inlineStr">
        <is>
          <t>https://assistjud.com.br/wp-content/uploads/elementor/forms/65098c80a5824.pdf</t>
        </is>
      </c>
      <c r="AF187" s="27" t="inlineStr">
        <is>
          <t>p8 r14</t>
        </is>
      </c>
      <c r="AG187" s="27" t="inlineStr">
        <is>
          <t>p8: R$ 1.357.782,33</t>
        </is>
      </c>
      <c r="AH187" s="27" t="inlineStr">
        <is>
          <t>AJ_LIST</t>
        </is>
      </c>
      <c r="AI187" s="27" t="inlineStr">
        <is>
          <t>2023-09-18</t>
        </is>
      </c>
      <c r="AJ187" s="27" t="inlineStr">
        <is>
          <t>OK_NO_TOTALS</t>
        </is>
      </c>
      <c r="AK187" s="29" t="inlineStr">
        <is>
          <t>8005129-09.2023.8.05.0039</t>
        </is>
      </c>
      <c r="AL187" s="29" t="inlineStr">
        <is>
          <t>TJBA</t>
        </is>
      </c>
      <c r="AM187" s="29" t="inlineStr">
        <is>
          <t>ACTIVE</t>
        </is>
      </c>
      <c r="AN187" s="29" t="n">
        <v>2023</v>
      </c>
      <c r="AO187" s="29" t="inlineStr">
        <is>
          <t>live case, no plan document yet</t>
        </is>
      </c>
      <c r="AP187" s="29" t="inlineStr">
        <is>
          <t>SAO PAULO</t>
        </is>
      </c>
      <c r="AQ187" s="29" t="inlineStr">
        <is>
          <t>SP</t>
        </is>
      </c>
      <c r="AR187" s="29" t="inlineStr">
        <is>
          <t>Fundos de investimento, exceto previdenciários e imobiliários</t>
        </is>
      </c>
      <c r="AS187" s="29" t="inlineStr">
        <is>
          <t>DEMAIS</t>
        </is>
      </c>
      <c r="AT187" s="29" t="inlineStr">
        <is>
          <t>MID-MARKET</t>
        </is>
      </c>
      <c r="AU187" s="29" t="inlineStr">
        <is>
          <t>20791371</t>
        </is>
      </c>
      <c r="AV187" s="29" t="n">
        <v>1</v>
      </c>
      <c r="AW187" s="29" t="inlineStr">
        <is>
          <t>ROWS:p8r14 UNRECONCILED_SOURCE</t>
        </is>
      </c>
    </row>
    <row r="188">
      <c r="A188" s="15" t="inlineStr">
        <is>
          <t>BANCO DO BRASIL SA</t>
        </is>
      </c>
      <c r="B188" s="16" t="n">
        <v>2120288.66</v>
      </c>
      <c r="C188" s="17" t="inlineStr">
        <is>
          <t>BACKES SOLUCOES LTDA</t>
        </is>
      </c>
      <c r="D188" s="18" t="inlineStr">
        <is>
          <t>NEW</t>
        </is>
      </c>
      <c r="E188" s="19" t="inlineStr"/>
      <c r="F188" s="18" t="inlineStr"/>
      <c r="G188" s="19" t="inlineStr"/>
      <c r="H188" s="18" t="inlineStr"/>
      <c r="I188" s="20" t="inlineStr">
        <is>
          <t>TARCIANA PAULA GOMES MEDEIROS</t>
        </is>
      </c>
      <c r="J188" s="20" t="inlineStr">
        <is>
          <t>Presidente</t>
        </is>
      </c>
      <c r="K188" s="20" t="inlineStr">
        <is>
          <t>(61) 3493-9002</t>
        </is>
      </c>
      <c r="L188" s="20" t="inlineStr"/>
      <c r="M188" s="20" t="inlineStr"/>
      <c r="N188" s="20" t="inlineStr"/>
      <c r="O188" s="20" t="inlineStr"/>
      <c r="P188" s="20" t="inlineStr">
        <is>
          <t>ALAN CARLOS GUEDES DE OLIVEIRA</t>
        </is>
      </c>
      <c r="Q188" s="20" t="inlineStr">
        <is>
          <t>Diretor</t>
        </is>
      </c>
      <c r="R188" s="20" t="inlineStr">
        <is>
          <t>(61) 3493-9002</t>
        </is>
      </c>
      <c r="S188" s="20" t="inlineStr"/>
      <c r="T188" s="21" t="n">
        <v>2120288.66</v>
      </c>
      <c r="U188" s="22" t="inlineStr">
        <is>
          <t>B</t>
        </is>
      </c>
      <c r="V188" s="23">
        <f>IFERROR(VLOOKUP(U188,Assumptions!$A$7:$D$11,2,FALSE),0)</f>
        <v/>
      </c>
      <c r="W188" s="24">
        <f>MAX(0.5,IFERROR(VLOOKUP(U188,Assumptions!$A$7:$D$11,3,FALSE),3)+IFERROR(VLOOKUP(U188,Assumptions!$A$7:$D$11,4,FALSE),8)/2-IF(AN188="",0,YEAR(TODAY())-AN188))</f>
        <v/>
      </c>
      <c r="X188" s="21">
        <f>T188*V188/(1+Assumptions!$B$3)^W188</f>
        <v/>
      </c>
      <c r="Y188" s="25">
        <f>IF(T188=0,"",ROUND(X188/T188*100,1))</f>
        <v/>
      </c>
      <c r="Z188" s="26">
        <f>X188*Assumptions!$B$4</f>
        <v/>
      </c>
      <c r="AA188" s="25">
        <f>IF(T188=0,"",ROUND(Z188/T188*100,1))</f>
        <v/>
      </c>
      <c r="AB188" s="26">
        <f>X188-Z188</f>
        <v/>
      </c>
      <c r="AC188" s="25">
        <f>IF(T188=0,"",ROUND((X188-Z188)/T188*100,1))</f>
        <v/>
      </c>
      <c r="AD188" s="27" t="inlineStr">
        <is>
          <t>ESTIMATED</t>
        </is>
      </c>
      <c r="AE188" s="28" t="inlineStr">
        <is>
          <t>https://marquesadmjudicial.com.br/sgc/download.php?file=files/processo_documento/processo_documento18581929042026_1_.pdf&amp;nome=3º Edital - Relação de Credores e PRJ</t>
        </is>
      </c>
      <c r="AF188" s="27" t="inlineStr">
        <is>
          <t>p1 r37</t>
        </is>
      </c>
      <c r="AG188" s="27" t="inlineStr">
        <is>
          <t>p1: R$ 2.120.288,66</t>
        </is>
      </c>
      <c r="AH188" s="27" t="inlineStr">
        <is>
          <t>AJ_LIST</t>
        </is>
      </c>
      <c r="AI188" s="27" t="inlineStr">
        <is>
          <t>2025-09-12</t>
        </is>
      </c>
      <c r="AJ188" s="27" t="inlineStr">
        <is>
          <t>OK_NO_TOTALS</t>
        </is>
      </c>
      <c r="AK188" s="29" t="inlineStr">
        <is>
          <t>0043030-30.2025.8.16.0021</t>
        </is>
      </c>
      <c r="AL188" s="29" t="inlineStr">
        <is>
          <t>TJPR</t>
        </is>
      </c>
      <c r="AM188" s="29" t="inlineStr">
        <is>
          <t>ACTIVE</t>
        </is>
      </c>
      <c r="AN188" s="29" t="n">
        <v>2025</v>
      </c>
      <c r="AO188" s="29" t="inlineStr">
        <is>
          <t>live case, no plan document yet</t>
        </is>
      </c>
      <c r="AP188" s="29" t="inlineStr">
        <is>
          <t>BRASILIA</t>
        </is>
      </c>
      <c r="AQ188" s="29" t="inlineStr">
        <is>
          <t>DF</t>
        </is>
      </c>
      <c r="AR188" s="29" t="inlineStr">
        <is>
          <t>Bancos múltiplos, com carteira comercial</t>
        </is>
      </c>
      <c r="AS188" s="29" t="inlineStr">
        <is>
          <t>DEMAIS</t>
        </is>
      </c>
      <c r="AT188" s="29" t="inlineStr">
        <is>
          <t>LARGE CORP</t>
        </is>
      </c>
      <c r="AU188" s="29" t="inlineStr">
        <is>
          <t>00000000</t>
        </is>
      </c>
      <c r="AV188" s="29" t="n">
        <v>1</v>
      </c>
      <c r="AW188" s="29" t="inlineStr">
        <is>
          <t>LIKELY_FINANCIAL_BY_NAME ROWS:p1r37 UNRECONCILED_SOURCE</t>
        </is>
      </c>
    </row>
    <row r="189">
      <c r="A189" s="15" t="inlineStr">
        <is>
          <t>BANCO SAFRA S A</t>
        </is>
      </c>
      <c r="B189" s="16" t="n">
        <v>1340263.4</v>
      </c>
      <c r="C189" s="17" t="inlineStr"/>
      <c r="D189" s="18" t="inlineStr">
        <is>
          <t>NEW</t>
        </is>
      </c>
      <c r="E189" s="19" t="inlineStr"/>
      <c r="F189" s="18" t="inlineStr"/>
      <c r="G189" s="19" t="inlineStr"/>
      <c r="H189" s="18" t="inlineStr"/>
      <c r="I189" s="20" t="inlineStr">
        <is>
          <t>RAFAEL BORDALO QUINTAS</t>
        </is>
      </c>
      <c r="J189" s="20" t="inlineStr">
        <is>
          <t>Administrador</t>
        </is>
      </c>
      <c r="K189" s="20" t="inlineStr">
        <is>
          <t>(11) 3175-7575</t>
        </is>
      </c>
      <c r="L189" s="20" t="inlineStr"/>
      <c r="M189" s="20" t="inlineStr"/>
      <c r="N189" s="20" t="inlineStr"/>
      <c r="O189" s="20" t="inlineStr"/>
      <c r="P189" s="20" t="inlineStr">
        <is>
          <t>ADRIANO MACIEL PEDROTI</t>
        </is>
      </c>
      <c r="Q189" s="20" t="inlineStr">
        <is>
          <t>Diretor</t>
        </is>
      </c>
      <c r="R189" s="20" t="inlineStr">
        <is>
          <t>(11) 3175-7575</t>
        </is>
      </c>
      <c r="S189" s="20" t="inlineStr"/>
      <c r="T189" s="21" t="n">
        <v>1340263.4</v>
      </c>
      <c r="U189" s="22" t="inlineStr">
        <is>
          <t>B</t>
        </is>
      </c>
      <c r="V189" s="23">
        <f>IFERROR(VLOOKUP(U189,Assumptions!$A$7:$D$11,2,FALSE),0)</f>
        <v/>
      </c>
      <c r="W189" s="24">
        <f>MAX(0.5,IFERROR(VLOOKUP(U189,Assumptions!$A$7:$D$11,3,FALSE),3)+IFERROR(VLOOKUP(U189,Assumptions!$A$7:$D$11,4,FALSE),8)/2-IF(AN189="",0,YEAR(TODAY())-AN189))</f>
        <v/>
      </c>
      <c r="X189" s="21">
        <f>T189*V189/(1+Assumptions!$B$3)^W189</f>
        <v/>
      </c>
      <c r="Y189" s="25">
        <f>IF(T189=0,"",ROUND(X189/T189*100,1))</f>
        <v/>
      </c>
      <c r="Z189" s="26">
        <f>X189*Assumptions!$B$4</f>
        <v/>
      </c>
      <c r="AA189" s="25">
        <f>IF(T189=0,"",ROUND(Z189/T189*100,1))</f>
        <v/>
      </c>
      <c r="AB189" s="26">
        <f>X189-Z189</f>
        <v/>
      </c>
      <c r="AC189" s="25">
        <f>IF(T189=0,"",ROUND((X189-Z189)/T189*100,1))</f>
        <v/>
      </c>
      <c r="AD189" s="27" t="inlineStr">
        <is>
          <t>UNKNOWN</t>
        </is>
      </c>
      <c r="AE189" s="28" t="inlineStr">
        <is>
          <t>https://bbsadvogados.com.br/wp-content/uploads/2025/04/Equipseg-Edital-Relacao-de-Credores-da-Administradora-Judicial-art.-7o2o-da-LRF.pdf</t>
        </is>
      </c>
      <c r="AF189" s="27" t="inlineStr">
        <is>
          <t>p38 r7</t>
        </is>
      </c>
      <c r="AG189" s="27" t="inlineStr">
        <is>
          <t>p38: R$ 1.340.263,40</t>
        </is>
      </c>
      <c r="AH189" s="27" t="inlineStr">
        <is>
          <t>AJ_LIST</t>
        </is>
      </c>
      <c r="AI189" s="27" t="inlineStr">
        <is>
          <t>2025-04-08</t>
        </is>
      </c>
      <c r="AJ189" s="27" t="inlineStr">
        <is>
          <t>OK_NO_TOTALS</t>
        </is>
      </c>
      <c r="AK189" s="29" t="inlineStr">
        <is>
          <t>0033736-15.2023.8.16.0185</t>
        </is>
      </c>
      <c r="AL189" s="29" t="inlineStr">
        <is>
          <t>TJ</t>
        </is>
      </c>
      <c r="AM189" s="29" t="inlineStr"/>
      <c r="AN189" s="29" t="n">
        <v>2023</v>
      </c>
      <c r="AO189" s="29" t="inlineStr">
        <is>
          <t>live case, no plan document yet</t>
        </is>
      </c>
      <c r="AP189" s="29" t="inlineStr">
        <is>
          <t>SAO PAULO</t>
        </is>
      </c>
      <c r="AQ189" s="29" t="inlineStr">
        <is>
          <t>SP</t>
        </is>
      </c>
      <c r="AR189" s="29" t="inlineStr">
        <is>
          <t>Bancos múltiplos, com carteira comercial</t>
        </is>
      </c>
      <c r="AS189" s="29" t="inlineStr">
        <is>
          <t>DEMAIS</t>
        </is>
      </c>
      <c r="AT189" s="29" t="inlineStr">
        <is>
          <t>LARGE CORP</t>
        </is>
      </c>
      <c r="AU189" s="29" t="inlineStr">
        <is>
          <t>58160789</t>
        </is>
      </c>
      <c r="AV189" s="29" t="n">
        <v>1</v>
      </c>
      <c r="AW189" s="29" t="inlineStr">
        <is>
          <t>LIKELY_FINANCIAL_BY_NAME ROWS:p38r7 UNRECONCILED_SOURCE</t>
        </is>
      </c>
    </row>
    <row r="190">
      <c r="A190" s="15" t="inlineStr">
        <is>
          <t>COOPERATIVA DE CREDITO DE LIVRE ADMISSAO DO CENTRO NORTE BRASILEIRO</t>
        </is>
      </c>
      <c r="B190" s="16" t="n">
        <v>2092386.84</v>
      </c>
      <c r="C190" s="17" t="inlineStr">
        <is>
          <t>BOI VERDE LEILOES LTDA</t>
        </is>
      </c>
      <c r="D190" s="18" t="inlineStr">
        <is>
          <t>NEW</t>
        </is>
      </c>
      <c r="E190" s="19" t="inlineStr"/>
      <c r="F190" s="18" t="inlineStr"/>
      <c r="G190" s="19" t="inlineStr"/>
      <c r="H190" s="18" t="inlineStr"/>
      <c r="I190" s="20" t="inlineStr">
        <is>
          <t>ANGELICA ARAUJO DINIZ CALDEIRA</t>
        </is>
      </c>
      <c r="J190" s="20" t="inlineStr">
        <is>
          <t>Diretor</t>
        </is>
      </c>
      <c r="K190" s="20" t="inlineStr">
        <is>
          <t>(62) 3311-3810</t>
        </is>
      </c>
      <c r="L190" s="20" t="inlineStr"/>
      <c r="M190" s="20" t="inlineStr"/>
      <c r="N190" s="20" t="inlineStr"/>
      <c r="O190" s="20" t="inlineStr"/>
      <c r="P190" s="20" t="inlineStr">
        <is>
          <t>ARNALDO DE SOUSA TEIXEIRA JUNIOR</t>
        </is>
      </c>
      <c r="Q190" s="20" t="inlineStr">
        <is>
          <t>Diretor</t>
        </is>
      </c>
      <c r="R190" s="20" t="inlineStr">
        <is>
          <t>(62) 3311-3810</t>
        </is>
      </c>
      <c r="S190" s="20" t="inlineStr"/>
      <c r="T190" s="21" t="n">
        <v>2092386.84</v>
      </c>
      <c r="U190" s="22" t="inlineStr">
        <is>
          <t>B</t>
        </is>
      </c>
      <c r="V190" s="23">
        <f>IFERROR(VLOOKUP(U190,Assumptions!$A$7:$D$11,2,FALSE),0)</f>
        <v/>
      </c>
      <c r="W190" s="24">
        <f>MAX(0.5,IFERROR(VLOOKUP(U190,Assumptions!$A$7:$D$11,3,FALSE),3)+IFERROR(VLOOKUP(U190,Assumptions!$A$7:$D$11,4,FALSE),8)/2-IF(AN190="",0,YEAR(TODAY())-AN190))</f>
        <v/>
      </c>
      <c r="X190" s="21">
        <f>T190*V190/(1+Assumptions!$B$3)^W190</f>
        <v/>
      </c>
      <c r="Y190" s="25">
        <f>IF(T190=0,"",ROUND(X190/T190*100,1))</f>
        <v/>
      </c>
      <c r="Z190" s="26">
        <f>X190*Assumptions!$B$4</f>
        <v/>
      </c>
      <c r="AA190" s="25">
        <f>IF(T190=0,"",ROUND(Z190/T190*100,1))</f>
        <v/>
      </c>
      <c r="AB190" s="26">
        <f>X190-Z190</f>
        <v/>
      </c>
      <c r="AC190" s="25">
        <f>IF(T190=0,"",ROUND((X190-Z190)/T190*100,1))</f>
        <v/>
      </c>
      <c r="AD190" s="27" t="inlineStr">
        <is>
          <t>ESTIMATED</t>
        </is>
      </c>
      <c r="AE190" s="28" t="inlineStr">
        <is>
          <t>https://stenius.com.br/wp-content/uploads/2026/06/EDITAL-GRUPO-FAEL.pdf</t>
        </is>
      </c>
      <c r="AF190" s="27" t="inlineStr">
        <is>
          <t>p2 r2</t>
        </is>
      </c>
      <c r="AG190" s="27" t="inlineStr">
        <is>
          <t>p2: R$ 2.092.386,84</t>
        </is>
      </c>
      <c r="AH190" s="27" t="inlineStr">
        <is>
          <t>AJ_LIST</t>
        </is>
      </c>
      <c r="AI190" s="27" t="inlineStr">
        <is>
          <t>2026-06-30</t>
        </is>
      </c>
      <c r="AJ190" s="27" t="inlineStr">
        <is>
          <t>OK_NO_TOTALS</t>
        </is>
      </c>
      <c r="AK190" s="29" t="inlineStr">
        <is>
          <t>5264228-81.2025.8.09.0172</t>
        </is>
      </c>
      <c r="AL190" s="29" t="inlineStr">
        <is>
          <t>TJGO</t>
        </is>
      </c>
      <c r="AM190" s="29" t="inlineStr">
        <is>
          <t>ACTIVE</t>
        </is>
      </c>
      <c r="AN190" s="29" t="n">
        <v>2025</v>
      </c>
      <c r="AO190" s="29" t="inlineStr">
        <is>
          <t>live case, no plan document yet</t>
        </is>
      </c>
      <c r="AP190" s="29" t="inlineStr">
        <is>
          <t>ANAPOLIS</t>
        </is>
      </c>
      <c r="AQ190" s="29" t="inlineStr">
        <is>
          <t>GO</t>
        </is>
      </c>
      <c r="AR190" s="29" t="inlineStr">
        <is>
          <t>Cooperativas de crédito mútuo</t>
        </is>
      </c>
      <c r="AS190" s="29" t="inlineStr">
        <is>
          <t>DEMAIS</t>
        </is>
      </c>
      <c r="AT190" s="29" t="inlineStr">
        <is>
          <t>MID-MARKET</t>
        </is>
      </c>
      <c r="AU190" s="29" t="inlineStr">
        <is>
          <t>02282709</t>
        </is>
      </c>
      <c r="AV190" s="29" t="n">
        <v>1</v>
      </c>
      <c r="AW190" s="29" t="inlineStr">
        <is>
          <t>ROWS:p2r2 UNRECONCILED_SOURCE VALUE_COL:Valor_Do_Crédito</t>
        </is>
      </c>
    </row>
    <row r="191">
      <c r="A191" s="15" t="inlineStr">
        <is>
          <t>BB ADMINISTRADORA DE CONSORCIOS S.A.</t>
        </is>
      </c>
      <c r="B191" s="16" t="n">
        <v>1332074.41</v>
      </c>
      <c r="C191" s="17" t="inlineStr">
        <is>
          <t>ADVOCACIA WANDERLEI DE PAULA BARRETO</t>
        </is>
      </c>
      <c r="D191" s="18" t="inlineStr">
        <is>
          <t>NEW</t>
        </is>
      </c>
      <c r="E191" s="19" t="inlineStr"/>
      <c r="F191" s="18" t="inlineStr"/>
      <c r="G191" s="19" t="inlineStr"/>
      <c r="H191" s="18" t="inlineStr"/>
      <c r="I191" s="20" t="inlineStr">
        <is>
          <t>RENATO BARRETO DE SOUZA</t>
        </is>
      </c>
      <c r="J191" s="20" t="inlineStr">
        <is>
          <t>Presidente</t>
        </is>
      </c>
      <c r="K191" s="20" t="inlineStr">
        <is>
          <t>(61) 3493-9002</t>
        </is>
      </c>
      <c r="L191" s="20" t="inlineStr">
        <is>
          <t>(61) 3493-1118</t>
        </is>
      </c>
      <c r="M191" s="20" t="inlineStr"/>
      <c r="N191" s="20" t="inlineStr"/>
      <c r="O191" s="20" t="inlineStr"/>
      <c r="P191" s="20" t="inlineStr">
        <is>
          <t>JEAN MICHEL MOURA DA CAMARA</t>
        </is>
      </c>
      <c r="Q191" s="20" t="inlineStr">
        <is>
          <t>Diretor</t>
        </is>
      </c>
      <c r="R191" s="20" t="inlineStr">
        <is>
          <t>(61) 3493-1118</t>
        </is>
      </c>
      <c r="S191" s="20" t="inlineStr"/>
      <c r="T191" s="21" t="n">
        <v>1332074.41</v>
      </c>
      <c r="U191" s="22" t="inlineStr">
        <is>
          <t>B</t>
        </is>
      </c>
      <c r="V191" s="23">
        <f>IFERROR(VLOOKUP(U191,Assumptions!$A$7:$D$11,2,FALSE),0)</f>
        <v/>
      </c>
      <c r="W191" s="24">
        <f>MAX(0.5,IFERROR(VLOOKUP(U191,Assumptions!$A$7:$D$11,3,FALSE),3)+IFERROR(VLOOKUP(U191,Assumptions!$A$7:$D$11,4,FALSE),8)/2-IF(AN191="",0,YEAR(TODAY())-AN191))</f>
        <v/>
      </c>
      <c r="X191" s="21">
        <f>T191*V191/(1+Assumptions!$B$3)^W191</f>
        <v/>
      </c>
      <c r="Y191" s="25">
        <f>IF(T191=0,"",ROUND(X191/T191*100,1))</f>
        <v/>
      </c>
      <c r="Z191" s="26">
        <f>X191*Assumptions!$B$4</f>
        <v/>
      </c>
      <c r="AA191" s="25">
        <f>IF(T191=0,"",ROUND(Z191/T191*100,1))</f>
        <v/>
      </c>
      <c r="AB191" s="26">
        <f>X191-Z191</f>
        <v/>
      </c>
      <c r="AC191" s="25">
        <f>IF(T191=0,"",ROUND((X191-Z191)/T191*100,1))</f>
        <v/>
      </c>
      <c r="AD191" s="27" t="inlineStr">
        <is>
          <t>ESTIMATED</t>
        </is>
      </c>
      <c r="AE191" s="28" t="inlineStr">
        <is>
          <t>https://marquesadmjudicial.com.br/sgc/download.php?file=files/processo_documento/processo_documento17040729052024_1_.pdf&amp;nome=Relação Nominal de Credores AJ-Sintética</t>
        </is>
      </c>
      <c r="AF191" s="27" t="inlineStr">
        <is>
          <t>p10 r7</t>
        </is>
      </c>
      <c r="AG191" s="27" t="inlineStr">
        <is>
          <t>p10: R$ 1.332.074,41</t>
        </is>
      </c>
      <c r="AH191" s="27" t="inlineStr">
        <is>
          <t>AJ_LIST</t>
        </is>
      </c>
      <c r="AI191" s="27" t="inlineStr">
        <is>
          <t>2024-05-27</t>
        </is>
      </c>
      <c r="AJ191" s="27" t="inlineStr">
        <is>
          <t>QUARANTINED</t>
        </is>
      </c>
      <c r="AK191" s="29" t="inlineStr">
        <is>
          <t>0003971-03.2023.8.16.0119</t>
        </is>
      </c>
      <c r="AL191" s="29" t="inlineStr">
        <is>
          <t>TJPR</t>
        </is>
      </c>
      <c r="AM191" s="29" t="inlineStr">
        <is>
          <t>ACTIVE</t>
        </is>
      </c>
      <c r="AN191" s="29" t="n">
        <v>2023</v>
      </c>
      <c r="AO191" s="29" t="inlineStr">
        <is>
          <t>live case, no plan document yet</t>
        </is>
      </c>
      <c r="AP191" s="29" t="inlineStr">
        <is>
          <t>BRASILIA</t>
        </is>
      </c>
      <c r="AQ191" s="29" t="inlineStr">
        <is>
          <t>DF</t>
        </is>
      </c>
      <c r="AR191" s="29" t="inlineStr">
        <is>
          <t>Administração de consórcios para aquisição de bens e direitos</t>
        </is>
      </c>
      <c r="AS191" s="29" t="inlineStr">
        <is>
          <t>DEMAIS</t>
        </is>
      </c>
      <c r="AT191" s="29" t="inlineStr">
        <is>
          <t>LARGE CORP</t>
        </is>
      </c>
      <c r="AU191" s="29" t="inlineStr">
        <is>
          <t>06043050</t>
        </is>
      </c>
      <c r="AV191" s="29" t="n">
        <v>1</v>
      </c>
      <c r="AW191" s="29" t="inlineStr">
        <is>
          <t>PARTIAL_DOC_CLASS_III_RECONCILED ROWS:p10r7</t>
        </is>
      </c>
    </row>
    <row r="192">
      <c r="A192" s="15" t="inlineStr">
        <is>
          <t>Audax Capital Fundo de Investimento em Direitos Creditórios</t>
        </is>
      </c>
      <c r="B192" s="16" t="n">
        <v>1945689.5</v>
      </c>
      <c r="C192" s="17" t="inlineStr">
        <is>
          <t>COMERCIO RACOES BEM BOM LTDA</t>
        </is>
      </c>
      <c r="D192" s="18" t="inlineStr">
        <is>
          <t>NEW</t>
        </is>
      </c>
      <c r="E192" s="19" t="inlineStr"/>
      <c r="F192" s="18" t="inlineStr"/>
      <c r="G192" s="19" t="inlineStr"/>
      <c r="H192" s="18" t="inlineStr"/>
      <c r="I192" s="20" t="inlineStr"/>
      <c r="J192" s="20" t="inlineStr"/>
      <c r="K192" s="20" t="inlineStr"/>
      <c r="L192" s="20" t="inlineStr"/>
      <c r="M192" s="20" t="inlineStr"/>
      <c r="N192" s="20" t="inlineStr"/>
      <c r="O192" s="20" t="inlineStr"/>
      <c r="P192" s="20" t="inlineStr"/>
      <c r="Q192" s="20" t="inlineStr"/>
      <c r="R192" s="20" t="inlineStr"/>
      <c r="S192" s="20" t="inlineStr"/>
      <c r="T192" s="21" t="n">
        <v>1945689.5</v>
      </c>
      <c r="U192" s="32" t="inlineStr">
        <is>
          <t>A</t>
        </is>
      </c>
      <c r="V192" s="23">
        <f>IFERROR(VLOOKUP(U192,Assumptions!$A$7:$D$11,2,FALSE),0)</f>
        <v/>
      </c>
      <c r="W192" s="24">
        <f>MAX(0.5,IFERROR(VLOOKUP(U192,Assumptions!$A$7:$D$11,3,FALSE),3)+IFERROR(VLOOKUP(U192,Assumptions!$A$7:$D$11,4,FALSE),8)/2-IF(AN192="",0,YEAR(TODAY())-AN192))</f>
        <v/>
      </c>
      <c r="X192" s="21">
        <f>T192*V192/(1+Assumptions!$B$3)^W192</f>
        <v/>
      </c>
      <c r="Y192" s="25">
        <f>IF(T192=0,"",ROUND(X192/T192*100,1))</f>
        <v/>
      </c>
      <c r="Z192" s="26">
        <f>X192*Assumptions!$B$4</f>
        <v/>
      </c>
      <c r="AA192" s="25">
        <f>IF(T192=0,"",ROUND(Z192/T192*100,1))</f>
        <v/>
      </c>
      <c r="AB192" s="26">
        <f>X192-Z192</f>
        <v/>
      </c>
      <c r="AC192" s="25">
        <f>IF(T192=0,"",ROUND((X192-Z192)/T192*100,1))</f>
        <v/>
      </c>
      <c r="AD192" s="27" t="inlineStr">
        <is>
          <t>CONFIRMED</t>
        </is>
      </c>
      <c r="AE192" s="28" t="inlineStr">
        <is>
          <t>https://stenius.com.br/wp-content/uploads/2026/06/EDITAL-GRUPO-3E.pdf</t>
        </is>
      </c>
      <c r="AF192" s="27" t="inlineStr">
        <is>
          <t>p10 r19</t>
        </is>
      </c>
      <c r="AG192" s="27" t="inlineStr">
        <is>
          <t>p10: R$ 1.945.689,50</t>
        </is>
      </c>
      <c r="AH192" s="27" t="inlineStr">
        <is>
          <t>DEBTOR_LIST</t>
        </is>
      </c>
      <c r="AI192" s="27" t="inlineStr">
        <is>
          <t>2026-06-22</t>
        </is>
      </c>
      <c r="AJ192" s="27" t="inlineStr">
        <is>
          <t>OK_NO_TOTALS</t>
        </is>
      </c>
      <c r="AK192" s="29" t="inlineStr">
        <is>
          <t>5341375-33.2026.8.09.0049</t>
        </is>
      </c>
      <c r="AL192" s="29" t="inlineStr">
        <is>
          <t>TJGO</t>
        </is>
      </c>
      <c r="AM192" s="29" t="inlineStr">
        <is>
          <t>ACTIVE</t>
        </is>
      </c>
      <c r="AN192" s="29" t="n">
        <v>2026</v>
      </c>
      <c r="AO192" s="29" t="inlineStr">
        <is>
          <t>plan/homologation document found</t>
        </is>
      </c>
      <c r="AP192" s="29" t="inlineStr"/>
      <c r="AQ192" s="29" t="inlineStr"/>
      <c r="AR192" s="29" t="inlineStr"/>
      <c r="AS192" s="29" t="inlineStr"/>
      <c r="AT192" s="29" t="inlineStr">
        <is>
          <t>MID-MARKET</t>
        </is>
      </c>
      <c r="AU192" s="29" t="inlineStr">
        <is>
          <t>40895649</t>
        </is>
      </c>
      <c r="AV192" s="29" t="n">
        <v>1</v>
      </c>
      <c r="AW192" s="29" t="inlineStr">
        <is>
          <t>LIKELY_FINANCIAL_BY_NAME ROWS:p10r19 UNRECONCILED_SOURCE</t>
        </is>
      </c>
    </row>
    <row r="193">
      <c r="A193" s="15" t="inlineStr">
        <is>
          <t>BANCO C6 S.A.</t>
        </is>
      </c>
      <c r="B193" s="16" t="n">
        <v>2046618.39</v>
      </c>
      <c r="C193" s="17" t="inlineStr">
        <is>
          <t>Cerealista Sa</t>
        </is>
      </c>
      <c r="D193" s="18" t="inlineStr">
        <is>
          <t>NEW</t>
        </is>
      </c>
      <c r="E193" s="19" t="inlineStr"/>
      <c r="F193" s="18" t="inlineStr"/>
      <c r="G193" s="19" t="inlineStr"/>
      <c r="H193" s="18" t="inlineStr"/>
      <c r="I193" s="20" t="inlineStr">
        <is>
          <t>FERNANDO NOGUEIRA NOLASCO ASTOLFI</t>
        </is>
      </c>
      <c r="J193" s="20" t="inlineStr">
        <is>
          <t>Diretor</t>
        </is>
      </c>
      <c r="K193" s="20" t="inlineStr">
        <is>
          <t>(11) 2832-6000</t>
        </is>
      </c>
      <c r="L193" s="20" t="inlineStr"/>
      <c r="M193" s="20" t="inlineStr"/>
      <c r="N193" s="20" t="inlineStr"/>
      <c r="O193" s="20" t="inlineStr"/>
      <c r="P193" s="20" t="inlineStr">
        <is>
          <t>GUSTAVO CALDAS DA SILVA</t>
        </is>
      </c>
      <c r="Q193" s="20" t="inlineStr">
        <is>
          <t>Diretor</t>
        </is>
      </c>
      <c r="R193" s="20" t="inlineStr">
        <is>
          <t>(11) 2832-6000</t>
        </is>
      </c>
      <c r="S193" s="20" t="inlineStr"/>
      <c r="T193" s="21" t="n">
        <v>2046618.39</v>
      </c>
      <c r="U193" s="22" t="inlineStr">
        <is>
          <t>B</t>
        </is>
      </c>
      <c r="V193" s="23">
        <f>IFERROR(VLOOKUP(U193,Assumptions!$A$7:$D$11,2,FALSE),0)</f>
        <v/>
      </c>
      <c r="W193" s="24">
        <f>MAX(0.5,IFERROR(VLOOKUP(U193,Assumptions!$A$7:$D$11,3,FALSE),3)+IFERROR(VLOOKUP(U193,Assumptions!$A$7:$D$11,4,FALSE),8)/2-IF(AN193="",0,YEAR(TODAY())-AN193))</f>
        <v/>
      </c>
      <c r="X193" s="21">
        <f>T193*V193/(1+Assumptions!$B$3)^W193</f>
        <v/>
      </c>
      <c r="Y193" s="25">
        <f>IF(T193=0,"",ROUND(X193/T193*100,1))</f>
        <v/>
      </c>
      <c r="Z193" s="26">
        <f>X193*Assumptions!$B$4</f>
        <v/>
      </c>
      <c r="AA193" s="25">
        <f>IF(T193=0,"",ROUND(Z193/T193*100,1))</f>
        <v/>
      </c>
      <c r="AB193" s="26">
        <f>X193-Z193</f>
        <v/>
      </c>
      <c r="AC193" s="25">
        <f>IF(T193=0,"",ROUND((X193-Z193)/T193*100,1))</f>
        <v/>
      </c>
      <c r="AD193" s="27" t="inlineStr">
        <is>
          <t>ESTIMATED</t>
        </is>
      </c>
      <c r="AE193" s="28" t="inlineStr">
        <is>
          <t>https://ajruiz.com.br/sites/default/files/public/arquivos-processos/2026-01/safrasul_relacao_de_credores_recuperanda.pdf</t>
        </is>
      </c>
      <c r="AF193" s="27" t="inlineStr">
        <is>
          <t>p8 r2; p8 r3</t>
        </is>
      </c>
      <c r="AG193" s="27" t="inlineStr">
        <is>
          <t>p8: R$ 2.045.018,39; p8: R$ 1.600,00</t>
        </is>
      </c>
      <c r="AH193" s="27" t="inlineStr">
        <is>
          <t>AJ_LIST</t>
        </is>
      </c>
      <c r="AI193" s="27" t="inlineStr">
        <is>
          <t>2026-01-14</t>
        </is>
      </c>
      <c r="AJ193" s="27" t="inlineStr">
        <is>
          <t>OK_NO_TOTALS</t>
        </is>
      </c>
      <c r="AK193" s="29" t="inlineStr">
        <is>
          <t>4000167-23.2025.8.26.0373</t>
        </is>
      </c>
      <c r="AL193" s="29" t="inlineStr">
        <is>
          <t>TJSP</t>
        </is>
      </c>
      <c r="AM193" s="29" t="inlineStr">
        <is>
          <t>ACTIVE</t>
        </is>
      </c>
      <c r="AN193" s="29" t="n">
        <v>2025</v>
      </c>
      <c r="AO193" s="29" t="inlineStr">
        <is>
          <t>live case, no plan document yet</t>
        </is>
      </c>
      <c r="AP193" s="29" t="inlineStr">
        <is>
          <t>SAO PAULO</t>
        </is>
      </c>
      <c r="AQ193" s="29" t="inlineStr">
        <is>
          <t>SP</t>
        </is>
      </c>
      <c r="AR193" s="29" t="inlineStr">
        <is>
          <t>Bancos múltiplos, com carteira comercial</t>
        </is>
      </c>
      <c r="AS193" s="29" t="inlineStr">
        <is>
          <t>DEMAIS</t>
        </is>
      </c>
      <c r="AT193" s="29" t="inlineStr">
        <is>
          <t>LARGE CORP</t>
        </is>
      </c>
      <c r="AU193" s="29" t="inlineStr">
        <is>
          <t>31872495</t>
        </is>
      </c>
      <c r="AV193" s="29" t="n">
        <v>2</v>
      </c>
      <c r="AW193" s="29" t="inlineStr">
        <is>
          <t>LIKELY_FINANCIAL_BY_NAME ROWS:p8r2,p8r3 UNRECONCILED_SOURCE</t>
        </is>
      </c>
    </row>
    <row r="194">
      <c r="A194" s="15" t="inlineStr">
        <is>
          <t>BANCO DA AMAZONIA SA</t>
        </is>
      </c>
      <c r="B194" s="16" t="n">
        <v>1484078.44</v>
      </c>
      <c r="C194" s="17" t="inlineStr">
        <is>
          <t>empresa</t>
        </is>
      </c>
      <c r="D194" s="18" t="inlineStr">
        <is>
          <t>NEW</t>
        </is>
      </c>
      <c r="E194" s="19" t="inlineStr"/>
      <c r="F194" s="18" t="inlineStr"/>
      <c r="G194" s="19" t="inlineStr"/>
      <c r="H194" s="18" t="inlineStr"/>
      <c r="I194" s="20" t="inlineStr">
        <is>
          <t>LUIZ CLAUDIO MOREIRA LESSA</t>
        </is>
      </c>
      <c r="J194" s="20" t="inlineStr">
        <is>
          <t>Presidente</t>
        </is>
      </c>
      <c r="K194" s="20" t="inlineStr">
        <is>
          <t>(91) 4008-3316</t>
        </is>
      </c>
      <c r="L194" s="20" t="inlineStr">
        <is>
          <t>(91) 4008-2409</t>
        </is>
      </c>
      <c r="M194" s="20" t="inlineStr"/>
      <c r="N194" s="20" t="inlineStr"/>
      <c r="O194" s="20" t="inlineStr"/>
      <c r="P194" s="20" t="inlineStr">
        <is>
          <t>DIEGO SANTOS LIMA</t>
        </is>
      </c>
      <c r="Q194" s="20" t="inlineStr">
        <is>
          <t>Diretor</t>
        </is>
      </c>
      <c r="R194" s="20" t="inlineStr">
        <is>
          <t>(91) 4008-2409</t>
        </is>
      </c>
      <c r="S194" s="20" t="inlineStr"/>
      <c r="T194" s="21" t="n">
        <v>1484078.44</v>
      </c>
      <c r="U194" s="31" t="inlineStr">
        <is>
          <t>C</t>
        </is>
      </c>
      <c r="V194" s="23">
        <f>IFERROR(VLOOKUP(U194,Assumptions!$A$7:$D$11,2,FALSE),0)</f>
        <v/>
      </c>
      <c r="W194" s="24">
        <f>MAX(0.5,IFERROR(VLOOKUP(U194,Assumptions!$A$7:$D$11,3,FALSE),3)+IFERROR(VLOOKUP(U194,Assumptions!$A$7:$D$11,4,FALSE),8)/2-IF(AN194="",0,YEAR(TODAY())-AN194))</f>
        <v/>
      </c>
      <c r="X194" s="21">
        <f>T194*V194/(1+Assumptions!$B$3)^W194</f>
        <v/>
      </c>
      <c r="Y194" s="25">
        <f>IF(T194=0,"",ROUND(X194/T194*100,1))</f>
        <v/>
      </c>
      <c r="Z194" s="26">
        <f>X194*Assumptions!$B$4</f>
        <v/>
      </c>
      <c r="AA194" s="25">
        <f>IF(T194=0,"",ROUND(Z194/T194*100,1))</f>
        <v/>
      </c>
      <c r="AB194" s="26">
        <f>X194-Z194</f>
        <v/>
      </c>
      <c r="AC194" s="25">
        <f>IF(T194=0,"",ROUND((X194-Z194)/T194*100,1))</f>
        <v/>
      </c>
      <c r="AD194" s="27" t="inlineStr">
        <is>
          <t>UNKNOWN</t>
        </is>
      </c>
      <c r="AE194" s="28" t="inlineStr">
        <is>
          <t>https://realbrasil.com.br/wp-content/uploads/2017/05/Relação-de-Credores_-Mastter-1.pdf</t>
        </is>
      </c>
      <c r="AF194" s="27" t="inlineStr">
        <is>
          <t>p2 r1; p2 r2; p2 r3; p2 r4; p2 r5</t>
        </is>
      </c>
      <c r="AG194" s="27" t="inlineStr">
        <is>
          <t>p2: R$ 16.856,60; p2: R$ 172.222,05; p2: R$ 433.333,29; p2: R$ 666.666,50; p2: R$ 195.000,00</t>
        </is>
      </c>
      <c r="AH194" s="27" t="inlineStr">
        <is>
          <t>DEBTOR_LIST</t>
        </is>
      </c>
      <c r="AI194" s="27" t="inlineStr">
        <is>
          <t>2016-02-10</t>
        </is>
      </c>
      <c r="AJ194" s="27" t="inlineStr">
        <is>
          <t>OK_NO_TOTALS</t>
        </is>
      </c>
      <c r="AK194" s="29" t="inlineStr">
        <is>
          <t>0801893-91.2016.8.12.0011</t>
        </is>
      </c>
      <c r="AL194" s="29" t="inlineStr">
        <is>
          <t>TJ</t>
        </is>
      </c>
      <c r="AM194" s="29" t="inlineStr"/>
      <c r="AN194" s="29" t="n">
        <v>2016</v>
      </c>
      <c r="AO194" s="29" t="inlineStr">
        <is>
          <t>10y since filing, no plan document</t>
        </is>
      </c>
      <c r="AP194" s="29" t="inlineStr">
        <is>
          <t>BELEM</t>
        </is>
      </c>
      <c r="AQ194" s="29" t="inlineStr">
        <is>
          <t>PA</t>
        </is>
      </c>
      <c r="AR194" s="29" t="inlineStr">
        <is>
          <t>Bancos comerciais</t>
        </is>
      </c>
      <c r="AS194" s="29" t="inlineStr">
        <is>
          <t>DEMAIS</t>
        </is>
      </c>
      <c r="AT194" s="29" t="inlineStr">
        <is>
          <t>LARGE CORP</t>
        </is>
      </c>
      <c r="AU194" s="29" t="inlineStr">
        <is>
          <t>04902979</t>
        </is>
      </c>
      <c r="AV194" s="29" t="n">
        <v>5</v>
      </c>
      <c r="AW194" s="29" t="inlineStr">
        <is>
          <t>ALT_VALUE:R$16.856,60 ALT_VALUE:R$26.666,66 ALT_VALUE:R$33.333,33 ALT_VALUE:R$5.555,55 ALT_VALUE:R$6.500,00 ROWS:p2r1,p2r2,p2r3,p2r4,p2r5 UNRECONCILED_SOURCE VALUE_COL:Valor_Da_Parcela</t>
        </is>
      </c>
    </row>
    <row r="195">
      <c r="A195" s="15" t="inlineStr">
        <is>
          <t>BANCO DO NORDESTE DO BRASIL SA</t>
        </is>
      </c>
      <c r="B195" s="16" t="n">
        <v>1031880.52</v>
      </c>
      <c r="C195" s="17" t="inlineStr">
        <is>
          <t>R W CONSTRUCOES LTDA</t>
        </is>
      </c>
      <c r="D195" s="18" t="inlineStr">
        <is>
          <t>NEW</t>
        </is>
      </c>
      <c r="E195" s="19" t="inlineStr"/>
      <c r="F195" s="18" t="inlineStr"/>
      <c r="G195" s="19" t="inlineStr"/>
      <c r="H195" s="18" t="inlineStr"/>
      <c r="I195" s="20" t="inlineStr">
        <is>
          <t>PAULO HENRIQUE SARAIVA CAMARA</t>
        </is>
      </c>
      <c r="J195" s="20" t="inlineStr">
        <is>
          <t>Presidente</t>
        </is>
      </c>
      <c r="K195" s="20" t="inlineStr">
        <is>
          <t>(85) 3299-3000</t>
        </is>
      </c>
      <c r="L195" s="20" t="inlineStr"/>
      <c r="M195" s="20" t="inlineStr"/>
      <c r="N195" s="20" t="inlineStr"/>
      <c r="O195" s="20" t="inlineStr"/>
      <c r="P195" s="20" t="inlineStr">
        <is>
          <t>ANA TERESA BARBOSA DE CARVALHO</t>
        </is>
      </c>
      <c r="Q195" s="20" t="inlineStr">
        <is>
          <t>Diretor</t>
        </is>
      </c>
      <c r="R195" s="20" t="inlineStr">
        <is>
          <t>(85) 3299-3000</t>
        </is>
      </c>
      <c r="S195" s="20" t="inlineStr"/>
      <c r="T195" s="21" t="n">
        <v>1031880.52</v>
      </c>
      <c r="U195" s="22" t="inlineStr">
        <is>
          <t>B</t>
        </is>
      </c>
      <c r="V195" s="23">
        <f>IFERROR(VLOOKUP(U195,Assumptions!$A$7:$D$11,2,FALSE),0)</f>
        <v/>
      </c>
      <c r="W195" s="24">
        <f>MAX(0.5,IFERROR(VLOOKUP(U195,Assumptions!$A$7:$D$11,3,FALSE),3)+IFERROR(VLOOKUP(U195,Assumptions!$A$7:$D$11,4,FALSE),8)/2-IF(AN195="",0,YEAR(TODAY())-AN195))</f>
        <v/>
      </c>
      <c r="X195" s="21">
        <f>T195*V195/(1+Assumptions!$B$3)^W195</f>
        <v/>
      </c>
      <c r="Y195" s="25">
        <f>IF(T195=0,"",ROUND(X195/T195*100,1))</f>
        <v/>
      </c>
      <c r="Z195" s="26">
        <f>X195*Assumptions!$B$4</f>
        <v/>
      </c>
      <c r="AA195" s="25">
        <f>IF(T195=0,"",ROUND(Z195/T195*100,1))</f>
        <v/>
      </c>
      <c r="AB195" s="26">
        <f>X195-Z195</f>
        <v/>
      </c>
      <c r="AC195" s="25">
        <f>IF(T195=0,"",ROUND((X195-Z195)/T195*100,1))</f>
        <v/>
      </c>
      <c r="AD195" s="27" t="inlineStr">
        <is>
          <t>ESTIMATED</t>
        </is>
      </c>
      <c r="AE195" s="28" t="inlineStr">
        <is>
          <t>https://lrflideres.com.br/wp-content/plugins/download-attachments/includes/download.php?id=4023</t>
        </is>
      </c>
      <c r="AF195" s="27" t="inlineStr">
        <is>
          <t>p7 r78; p9 r59</t>
        </is>
      </c>
      <c r="AG195" s="27" t="inlineStr">
        <is>
          <t>p7: R$ 837.075,43; p9: R$ 194.805,09</t>
        </is>
      </c>
      <c r="AH195" s="27" t="inlineStr">
        <is>
          <t>DEBTOR_LIST</t>
        </is>
      </c>
      <c r="AI195" s="27" t="inlineStr"/>
      <c r="AJ195" s="27" t="inlineStr">
        <is>
          <t>QUARANTINED</t>
        </is>
      </c>
      <c r="AK195" s="29" t="inlineStr">
        <is>
          <t>0002484-82.2022.8.17.2001</t>
        </is>
      </c>
      <c r="AL195" s="29" t="inlineStr">
        <is>
          <t>TJPE</t>
        </is>
      </c>
      <c r="AM195" s="29" t="inlineStr">
        <is>
          <t>ACTIVE</t>
        </is>
      </c>
      <c r="AN195" s="29" t="n">
        <v>2022</v>
      </c>
      <c r="AO195" s="29" t="inlineStr">
        <is>
          <t>live case, no plan document yet</t>
        </is>
      </c>
      <c r="AP195" s="29" t="inlineStr">
        <is>
          <t>FORTALEZA</t>
        </is>
      </c>
      <c r="AQ195" s="29" t="inlineStr">
        <is>
          <t>CE</t>
        </is>
      </c>
      <c r="AR195" s="29" t="inlineStr">
        <is>
          <t>Bancos múltiplos, com carteira comercial</t>
        </is>
      </c>
      <c r="AS195" s="29" t="inlineStr">
        <is>
          <t>DEMAIS</t>
        </is>
      </c>
      <c r="AT195" s="29" t="inlineStr">
        <is>
          <t>LARGE CORP</t>
        </is>
      </c>
      <c r="AU195" s="29" t="inlineStr">
        <is>
          <t>07237373</t>
        </is>
      </c>
      <c r="AV195" s="29" t="n">
        <v>2</v>
      </c>
      <c r="AW195" s="29" t="inlineStr">
        <is>
          <t>LIKELY_FINANCIAL_BY_NAME PARTIAL_DOC_CLASS_III_RECONCILED ROWS:p7r78,p9r59</t>
        </is>
      </c>
    </row>
    <row r="196">
      <c r="A196" s="15" t="inlineStr">
        <is>
          <t>BANCO DO BRASIL SA</t>
        </is>
      </c>
      <c r="B196" s="16" t="n">
        <v>2502948.23</v>
      </c>
      <c r="C196" s="17" t="inlineStr">
        <is>
          <t>DIAGSON DIAGNOSTICO EM ULTRA SONOGRAFIA MED FETAL LTDA - EM RECUPERACAO JUDICIAL</t>
        </is>
      </c>
      <c r="D196" s="18" t="inlineStr">
        <is>
          <t>NEW</t>
        </is>
      </c>
      <c r="E196" s="19" t="inlineStr"/>
      <c r="F196" s="18" t="inlineStr"/>
      <c r="G196" s="19" t="inlineStr"/>
      <c r="H196" s="18" t="inlineStr"/>
      <c r="I196" s="20" t="inlineStr">
        <is>
          <t>TARCIANA PAULA GOMES MEDEIROS</t>
        </is>
      </c>
      <c r="J196" s="20" t="inlineStr">
        <is>
          <t>Presidente</t>
        </is>
      </c>
      <c r="K196" s="20" t="inlineStr">
        <is>
          <t>(61) 3493-9002</t>
        </is>
      </c>
      <c r="L196" s="20" t="inlineStr"/>
      <c r="M196" s="20" t="inlineStr"/>
      <c r="N196" s="20" t="inlineStr"/>
      <c r="O196" s="20" t="inlineStr"/>
      <c r="P196" s="20" t="inlineStr">
        <is>
          <t>ALAN CARLOS GUEDES DE OLIVEIRA</t>
        </is>
      </c>
      <c r="Q196" s="20" t="inlineStr">
        <is>
          <t>Diretor</t>
        </is>
      </c>
      <c r="R196" s="20" t="inlineStr">
        <is>
          <t>(61) 3493-9002</t>
        </is>
      </c>
      <c r="S196" s="20" t="inlineStr"/>
      <c r="T196" s="21" t="n">
        <v>2502948.23</v>
      </c>
      <c r="U196" s="22" t="inlineStr">
        <is>
          <t>B</t>
        </is>
      </c>
      <c r="V196" s="23">
        <f>IFERROR(VLOOKUP(U196,Assumptions!$A$7:$D$11,2,FALSE),0)</f>
        <v/>
      </c>
      <c r="W196" s="24">
        <f>MAX(0.5,IFERROR(VLOOKUP(U196,Assumptions!$A$7:$D$11,3,FALSE),3)+IFERROR(VLOOKUP(U196,Assumptions!$A$7:$D$11,4,FALSE),8)/2-IF(AN196="",0,YEAR(TODAY())-AN196))</f>
        <v/>
      </c>
      <c r="X196" s="21">
        <f>T196*V196/(1+Assumptions!$B$3)^W196</f>
        <v/>
      </c>
      <c r="Y196" s="25">
        <f>IF(T196=0,"",ROUND(X196/T196*100,1))</f>
        <v/>
      </c>
      <c r="Z196" s="26">
        <f>X196*Assumptions!$B$4</f>
        <v/>
      </c>
      <c r="AA196" s="25">
        <f>IF(T196=0,"",ROUND(Z196/T196*100,1))</f>
        <v/>
      </c>
      <c r="AB196" s="26">
        <f>X196-Z196</f>
        <v/>
      </c>
      <c r="AC196" s="25">
        <f>IF(T196=0,"",ROUND((X196-Z196)/T196*100,1))</f>
        <v/>
      </c>
      <c r="AD196" s="27" t="inlineStr">
        <is>
          <t>ESTIMATED</t>
        </is>
      </c>
      <c r="AE196" s="28" t="inlineStr">
        <is>
          <t>https://lrflideres.com.br/wp-content/plugins/download-attachments/includes/download.php?id=7418</t>
        </is>
      </c>
      <c r="AF196" s="27" t="inlineStr">
        <is>
          <t>p2 r40</t>
        </is>
      </c>
      <c r="AG196" s="27" t="inlineStr">
        <is>
          <t>p2: R$ 2.502.948,23</t>
        </is>
      </c>
      <c r="AH196" s="27" t="inlineStr">
        <is>
          <t>DEBTOR_LIST</t>
        </is>
      </c>
      <c r="AI196" s="27" t="inlineStr">
        <is>
          <t>2026-07-28</t>
        </is>
      </c>
      <c r="AJ196" s="27" t="inlineStr">
        <is>
          <t>QUARANTINED</t>
        </is>
      </c>
      <c r="AK196" s="29" t="inlineStr">
        <is>
          <t>0822279-56.2026.8.15.2001</t>
        </is>
      </c>
      <c r="AL196" s="29" t="inlineStr">
        <is>
          <t>TJPB</t>
        </is>
      </c>
      <c r="AM196" s="29" t="inlineStr">
        <is>
          <t>ACTIVE</t>
        </is>
      </c>
      <c r="AN196" s="29" t="n">
        <v>2026</v>
      </c>
      <c r="AO196" s="29" t="inlineStr">
        <is>
          <t>live case, no plan document yet</t>
        </is>
      </c>
      <c r="AP196" s="29" t="inlineStr">
        <is>
          <t>BRASILIA</t>
        </is>
      </c>
      <c r="AQ196" s="29" t="inlineStr">
        <is>
          <t>DF</t>
        </is>
      </c>
      <c r="AR196" s="29" t="inlineStr">
        <is>
          <t>Bancos múltiplos, com carteira comercial</t>
        </is>
      </c>
      <c r="AS196" s="29" t="inlineStr">
        <is>
          <t>DEMAIS</t>
        </is>
      </c>
      <c r="AT196" s="29" t="inlineStr">
        <is>
          <t>LARGE CORP</t>
        </is>
      </c>
      <c r="AU196" s="29" t="inlineStr">
        <is>
          <t>00000000</t>
        </is>
      </c>
      <c r="AV196" s="29" t="n">
        <v>1</v>
      </c>
      <c r="AW196" s="29" t="inlineStr">
        <is>
          <t>LIKELY_FINANCIAL_BY_NAME PARTIAL_DOC_CLASS_III_RECONCILED ROWS:p2r40</t>
        </is>
      </c>
    </row>
    <row r="197">
      <c r="A197" s="15" t="inlineStr">
        <is>
          <t>BANCO BRADESCO S.A.</t>
        </is>
      </c>
      <c r="B197" s="16" t="n">
        <v>1593391.75</v>
      </c>
      <c r="C197" s="17" t="inlineStr">
        <is>
          <t>CEAM NUCLEO ESPECIALIZADO EM APOIO MULTIDISCIPLINAR LTDA - EM RECUPERACAO JUDICIAL</t>
        </is>
      </c>
      <c r="D197" s="18" t="inlineStr">
        <is>
          <t>NEW</t>
        </is>
      </c>
      <c r="E197" s="19" t="inlineStr"/>
      <c r="F197" s="18" t="inlineStr"/>
      <c r="G197" s="19" t="inlineStr"/>
      <c r="H197" s="18" t="inlineStr"/>
      <c r="I197" s="20" t="inlineStr">
        <is>
          <t>MARCELO DE ARAUJO NORONHA</t>
        </is>
      </c>
      <c r="J197" s="20" t="inlineStr">
        <is>
          <t>Presidente</t>
        </is>
      </c>
      <c r="K197" s="20" t="inlineStr">
        <is>
          <t>(11) 3684-5122</t>
        </is>
      </c>
      <c r="L197" s="20" t="inlineStr"/>
      <c r="M197" s="20" t="inlineStr"/>
      <c r="N197" s="20" t="inlineStr"/>
      <c r="O197" s="20" t="inlineStr"/>
      <c r="P197" s="20" t="inlineStr">
        <is>
          <t>AFRANIO CARLOS CAMARGO DANTZGER</t>
        </is>
      </c>
      <c r="Q197" s="20" t="inlineStr">
        <is>
          <t>Diretor</t>
        </is>
      </c>
      <c r="R197" s="20" t="inlineStr">
        <is>
          <t>(11) 3684-5122</t>
        </is>
      </c>
      <c r="S197" s="20" t="inlineStr"/>
      <c r="T197" s="21" t="n">
        <v>1593391.75</v>
      </c>
      <c r="U197" s="22" t="inlineStr">
        <is>
          <t>B</t>
        </is>
      </c>
      <c r="V197" s="23">
        <f>IFERROR(VLOOKUP(U197,Assumptions!$A$7:$D$11,2,FALSE),0)</f>
        <v/>
      </c>
      <c r="W197" s="24">
        <f>MAX(0.5,IFERROR(VLOOKUP(U197,Assumptions!$A$7:$D$11,3,FALSE),3)+IFERROR(VLOOKUP(U197,Assumptions!$A$7:$D$11,4,FALSE),8)/2-IF(AN197="",0,YEAR(TODAY())-AN197))</f>
        <v/>
      </c>
      <c r="X197" s="21">
        <f>T197*V197/(1+Assumptions!$B$3)^W197</f>
        <v/>
      </c>
      <c r="Y197" s="25">
        <f>IF(T197=0,"",ROUND(X197/T197*100,1))</f>
        <v/>
      </c>
      <c r="Z197" s="26">
        <f>X197*Assumptions!$B$4</f>
        <v/>
      </c>
      <c r="AA197" s="25">
        <f>IF(T197=0,"",ROUND(Z197/T197*100,1))</f>
        <v/>
      </c>
      <c r="AB197" s="26">
        <f>X197-Z197</f>
        <v/>
      </c>
      <c r="AC197" s="25">
        <f>IF(T197=0,"",ROUND((X197-Z197)/T197*100,1))</f>
        <v/>
      </c>
      <c r="AD197" s="27" t="inlineStr">
        <is>
          <t>ESTIMATED</t>
        </is>
      </c>
      <c r="AE197" s="28" t="inlineStr">
        <is>
          <t>https://recuperasolucoes.com/wp-content/plugins/download-attachments/includes/download.php?id=1492</t>
        </is>
      </c>
      <c r="AF197" s="27" t="inlineStr">
        <is>
          <t>p5 r52</t>
        </is>
      </c>
      <c r="AG197" s="27" t="inlineStr">
        <is>
          <t>p5: R$ 1.593.391,75</t>
        </is>
      </c>
      <c r="AH197" s="27" t="inlineStr">
        <is>
          <t>AJ_LIST</t>
        </is>
      </c>
      <c r="AI197" s="27" t="inlineStr">
        <is>
          <t>2025-09-12</t>
        </is>
      </c>
      <c r="AJ197" s="27" t="inlineStr">
        <is>
          <t>OK</t>
        </is>
      </c>
      <c r="AK197" s="29" t="inlineStr">
        <is>
          <t>0133628-14.2024.8.17.2001</t>
        </is>
      </c>
      <c r="AL197" s="29" t="inlineStr">
        <is>
          <t>TJPE</t>
        </is>
      </c>
      <c r="AM197" s="29" t="inlineStr">
        <is>
          <t>ACTIVE</t>
        </is>
      </c>
      <c r="AN197" s="29" t="n">
        <v>2024</v>
      </c>
      <c r="AO197" s="29" t="inlineStr">
        <is>
          <t>live case, no plan document yet</t>
        </is>
      </c>
      <c r="AP197" s="29" t="inlineStr">
        <is>
          <t>OSASCO</t>
        </is>
      </c>
      <c r="AQ197" s="29" t="inlineStr">
        <is>
          <t>SP</t>
        </is>
      </c>
      <c r="AR197" s="29" t="inlineStr">
        <is>
          <t>Bancos múltiplos, com carteira comercial</t>
        </is>
      </c>
      <c r="AS197" s="29" t="inlineStr">
        <is>
          <t>DEMAIS</t>
        </is>
      </c>
      <c r="AT197" s="29" t="inlineStr">
        <is>
          <t>LARGE CORP</t>
        </is>
      </c>
      <c r="AU197" s="29" t="inlineStr">
        <is>
          <t>60746948</t>
        </is>
      </c>
      <c r="AV197" s="29" t="n">
        <v>1</v>
      </c>
      <c r="AW197" s="29" t="inlineStr">
        <is>
          <t>LIKELY_FINANCIAL_BY_NAME ROWS:p5r52</t>
        </is>
      </c>
    </row>
    <row r="198">
      <c r="A198" s="15" t="inlineStr">
        <is>
          <t>SCANIA BANCO S.A.</t>
        </is>
      </c>
      <c r="B198" s="16" t="n">
        <v>2485108.25</v>
      </c>
      <c r="C198" s="17" t="inlineStr">
        <is>
          <t>E FALENCIA</t>
        </is>
      </c>
      <c r="D198" s="18" t="inlineStr">
        <is>
          <t>NEW</t>
        </is>
      </c>
      <c r="E198" s="19" t="inlineStr"/>
      <c r="F198" s="18" t="inlineStr"/>
      <c r="G198" s="19" t="inlineStr"/>
      <c r="H198" s="18" t="inlineStr"/>
      <c r="I198" s="20" t="inlineStr">
        <is>
          <t>OSCAR LARS RUNE JAERN</t>
        </is>
      </c>
      <c r="J198" s="20" t="inlineStr">
        <is>
          <t>Presidente</t>
        </is>
      </c>
      <c r="K198" s="20" t="inlineStr">
        <is>
          <t>(11) 3214-0820</t>
        </is>
      </c>
      <c r="L198" s="20" t="inlineStr"/>
      <c r="M198" s="20" t="inlineStr"/>
      <c r="N198" s="20" t="inlineStr"/>
      <c r="O198" s="20" t="inlineStr"/>
      <c r="P198" s="20" t="inlineStr">
        <is>
          <t>CARLOS JOSE RIVERA DE OLIVEIRA</t>
        </is>
      </c>
      <c r="Q198" s="20" t="inlineStr">
        <is>
          <t>Diretor</t>
        </is>
      </c>
      <c r="R198" s="20" t="inlineStr">
        <is>
          <t>(11) 3214-0820</t>
        </is>
      </c>
      <c r="S198" s="20" t="inlineStr"/>
      <c r="T198" s="21" t="n">
        <v>2485108.25</v>
      </c>
      <c r="U198" s="22" t="inlineStr">
        <is>
          <t>B</t>
        </is>
      </c>
      <c r="V198" s="23">
        <f>IFERROR(VLOOKUP(U198,Assumptions!$A$7:$D$11,2,FALSE),0)</f>
        <v/>
      </c>
      <c r="W198" s="24">
        <f>MAX(0.5,IFERROR(VLOOKUP(U198,Assumptions!$A$7:$D$11,3,FALSE),3)+IFERROR(VLOOKUP(U198,Assumptions!$A$7:$D$11,4,FALSE),8)/2-IF(AN198="",0,YEAR(TODAY())-AN198))</f>
        <v/>
      </c>
      <c r="X198" s="21">
        <f>T198*V198/(1+Assumptions!$B$3)^W198</f>
        <v/>
      </c>
      <c r="Y198" s="25">
        <f>IF(T198=0,"",ROUND(X198/T198*100,1))</f>
        <v/>
      </c>
      <c r="Z198" s="26">
        <f>X198*Assumptions!$B$4</f>
        <v/>
      </c>
      <c r="AA198" s="25">
        <f>IF(T198=0,"",ROUND(Z198/T198*100,1))</f>
        <v/>
      </c>
      <c r="AB198" s="26">
        <f>X198-Z198</f>
        <v/>
      </c>
      <c r="AC198" s="25">
        <f>IF(T198=0,"",ROUND((X198-Z198)/T198*100,1))</f>
        <v/>
      </c>
      <c r="AD198" s="27" t="inlineStr">
        <is>
          <t>ESTIMATED</t>
        </is>
      </c>
      <c r="AE198" s="28" t="inlineStr">
        <is>
          <t>https://recuperasolucoes.com/wp-content/plugins/download-attachments/includes/download.php?id=1597</t>
        </is>
      </c>
      <c r="AF198" s="27" t="inlineStr">
        <is>
          <t>p13 r20</t>
        </is>
      </c>
      <c r="AG198" s="27" t="inlineStr">
        <is>
          <t>p13: R$ 2.485.108,25</t>
        </is>
      </c>
      <c r="AH198" s="27" t="inlineStr">
        <is>
          <t>DEBTOR_LIST</t>
        </is>
      </c>
      <c r="AI198" s="27" t="inlineStr">
        <is>
          <t>2026-05-21</t>
        </is>
      </c>
      <c r="AJ198" s="27" t="inlineStr">
        <is>
          <t>OK</t>
        </is>
      </c>
      <c r="AK198" s="29" t="inlineStr">
        <is>
          <t>0001639-09.2026.8.17.2810</t>
        </is>
      </c>
      <c r="AL198" s="29" t="inlineStr">
        <is>
          <t>TJPE</t>
        </is>
      </c>
      <c r="AM198" s="29" t="inlineStr">
        <is>
          <t>ACTIVE</t>
        </is>
      </c>
      <c r="AN198" s="29" t="n">
        <v>2026</v>
      </c>
      <c r="AO198" s="29" t="inlineStr">
        <is>
          <t>live case, no plan document yet</t>
        </is>
      </c>
      <c r="AP198" s="29" t="inlineStr">
        <is>
          <t>SAO BERNARDO DO CAMPO</t>
        </is>
      </c>
      <c r="AQ198" s="29" t="inlineStr">
        <is>
          <t>SP</t>
        </is>
      </c>
      <c r="AR198" s="29" t="inlineStr">
        <is>
          <t>Bancos múltiplos, sem carteira comercial</t>
        </is>
      </c>
      <c r="AS198" s="29" t="inlineStr">
        <is>
          <t>DEMAIS</t>
        </is>
      </c>
      <c r="AT198" s="29" t="inlineStr">
        <is>
          <t>LARGE CORP</t>
        </is>
      </c>
      <c r="AU198" s="29" t="inlineStr">
        <is>
          <t>11417016</t>
        </is>
      </c>
      <c r="AV198" s="29" t="n">
        <v>1</v>
      </c>
      <c r="AW198" s="29" t="inlineStr">
        <is>
          <t>ROWS:p13r20</t>
        </is>
      </c>
    </row>
    <row r="199">
      <c r="A199" s="15" t="inlineStr">
        <is>
          <t>Banco Industrial do e Brasil S.A.</t>
        </is>
      </c>
      <c r="B199" s="16" t="n">
        <v>2537596.28</v>
      </c>
      <c r="C199" s="17" t="inlineStr">
        <is>
          <t>FORMAPLAN FORMAS PLANEJADAS INDUSTRIA E COMERCIO LTDA EM RECUPERACAO JUDICIAL</t>
        </is>
      </c>
      <c r="D199" s="18" t="inlineStr">
        <is>
          <t>NEW</t>
        </is>
      </c>
      <c r="E199" s="19" t="inlineStr"/>
      <c r="F199" s="18" t="inlineStr"/>
      <c r="G199" s="19" t="inlineStr"/>
      <c r="H199" s="18" t="inlineStr"/>
      <c r="I199" s="20" t="inlineStr"/>
      <c r="J199" s="20" t="inlineStr"/>
      <c r="K199" s="20" t="inlineStr"/>
      <c r="L199" s="20" t="inlineStr"/>
      <c r="M199" s="20" t="inlineStr"/>
      <c r="N199" s="20" t="inlineStr"/>
      <c r="O199" s="20" t="inlineStr"/>
      <c r="P199" s="20" t="inlineStr"/>
      <c r="Q199" s="20" t="inlineStr"/>
      <c r="R199" s="20" t="inlineStr"/>
      <c r="S199" s="20" t="inlineStr"/>
      <c r="T199" s="21" t="n">
        <v>2537596.28</v>
      </c>
      <c r="U199" s="31" t="inlineStr">
        <is>
          <t>C</t>
        </is>
      </c>
      <c r="V199" s="23">
        <f>IFERROR(VLOOKUP(U199,Assumptions!$A$7:$D$11,2,FALSE),0)</f>
        <v/>
      </c>
      <c r="W199" s="24">
        <f>MAX(0.5,IFERROR(VLOOKUP(U199,Assumptions!$A$7:$D$11,3,FALSE),3)+IFERROR(VLOOKUP(U199,Assumptions!$A$7:$D$11,4,FALSE),8)/2-IF(AN199="",0,YEAR(TODAY())-AN199))</f>
        <v/>
      </c>
      <c r="X199" s="21">
        <f>T199*V199/(1+Assumptions!$B$3)^W199</f>
        <v/>
      </c>
      <c r="Y199" s="25">
        <f>IF(T199=0,"",ROUND(X199/T199*100,1))</f>
        <v/>
      </c>
      <c r="Z199" s="26">
        <f>X199*Assumptions!$B$4</f>
        <v/>
      </c>
      <c r="AA199" s="25">
        <f>IF(T199=0,"",ROUND(Z199/T199*100,1))</f>
        <v/>
      </c>
      <c r="AB199" s="26">
        <f>X199-Z199</f>
        <v/>
      </c>
      <c r="AC199" s="25">
        <f>IF(T199=0,"",ROUND((X199-Z199)/T199*100,1))</f>
        <v/>
      </c>
      <c r="AD199" s="27" t="inlineStr">
        <is>
          <t>ESTIMATED</t>
        </is>
      </c>
      <c r="AE199" s="28" t="inlineStr">
        <is>
          <t>https://marquesadmjudicial.com.br/sgc/download.php?file=files/processo_documento/processo_documento15232121112024_1_.pdf&amp;nome=Relação de Credores</t>
        </is>
      </c>
      <c r="AF199" s="27" t="inlineStr">
        <is>
          <t>p13 r8</t>
        </is>
      </c>
      <c r="AG199" s="27" t="inlineStr">
        <is>
          <t>p13: R$ 2.537.596,28</t>
        </is>
      </c>
      <c r="AH199" s="27" t="inlineStr">
        <is>
          <t>AJ_LIST</t>
        </is>
      </c>
      <c r="AI199" s="27" t="inlineStr">
        <is>
          <t>2021-01-22</t>
        </is>
      </c>
      <c r="AJ199" s="27" t="inlineStr">
        <is>
          <t>QUARANTINED</t>
        </is>
      </c>
      <c r="AK199" s="29" t="inlineStr">
        <is>
          <t>0000410-68.2021.8.16.0174</t>
        </is>
      </c>
      <c r="AL199" s="29" t="inlineStr">
        <is>
          <t>TJPR</t>
        </is>
      </c>
      <c r="AM199" s="29" t="inlineStr">
        <is>
          <t>ACTIVE</t>
        </is>
      </c>
      <c r="AN199" s="29" t="n">
        <v>2021</v>
      </c>
      <c r="AO199" s="29" t="inlineStr">
        <is>
          <t>5y since filing, no plan document</t>
        </is>
      </c>
      <c r="AP199" s="29" t="inlineStr"/>
      <c r="AQ199" s="29" t="inlineStr"/>
      <c r="AR199" s="29" t="inlineStr"/>
      <c r="AS199" s="29" t="inlineStr"/>
      <c r="AT199" s="29" t="inlineStr">
        <is>
          <t>MID-MARKET</t>
        </is>
      </c>
      <c r="AU199" s="29" t="inlineStr">
        <is>
          <t>31895683</t>
        </is>
      </c>
      <c r="AV199" s="29" t="n">
        <v>1</v>
      </c>
      <c r="AW199" s="29" t="inlineStr">
        <is>
          <t>LIKELY_FINANCIAL_BY_NAME PARTIAL_DOC_CLASS_III_RECONCILED ROWS:p13r8</t>
        </is>
      </c>
    </row>
    <row r="200">
      <c r="A200" s="15" t="inlineStr">
        <is>
          <t>BANCO SOFISA S.A.</t>
        </is>
      </c>
      <c r="B200" s="16" t="n">
        <v>2007489.79</v>
      </c>
      <c r="C200" s="17" t="inlineStr">
        <is>
          <t>aludida empresa</t>
        </is>
      </c>
      <c r="D200" s="18" t="inlineStr">
        <is>
          <t>NEW</t>
        </is>
      </c>
      <c r="E200" s="19" t="inlineStr"/>
      <c r="F200" s="18" t="inlineStr"/>
      <c r="G200" s="19" t="inlineStr"/>
      <c r="H200" s="18" t="inlineStr"/>
      <c r="I200" s="20" t="inlineStr">
        <is>
          <t>ALEXANDRE BURMAIAN</t>
        </is>
      </c>
      <c r="J200" s="20" t="inlineStr">
        <is>
          <t>Presidente</t>
        </is>
      </c>
      <c r="K200" s="20" t="inlineStr">
        <is>
          <t>(11) 3176-5500</t>
        </is>
      </c>
      <c r="L200" s="20" t="inlineStr"/>
      <c r="M200" s="20" t="inlineStr"/>
      <c r="N200" s="20" t="inlineStr"/>
      <c r="O200" s="20" t="inlineStr"/>
      <c r="P200" s="20" t="inlineStr">
        <is>
          <t>CESAR AUGUSTO DE OLIVEIRA GONCALVES</t>
        </is>
      </c>
      <c r="Q200" s="20" t="inlineStr">
        <is>
          <t>Diretor</t>
        </is>
      </c>
      <c r="R200" s="20" t="inlineStr">
        <is>
          <t>(11) 3176-5500</t>
        </is>
      </c>
      <c r="S200" s="20" t="inlineStr"/>
      <c r="T200" s="21" t="n">
        <v>2007489.79</v>
      </c>
      <c r="U200" s="31" t="inlineStr">
        <is>
          <t>C</t>
        </is>
      </c>
      <c r="V200" s="23">
        <f>IFERROR(VLOOKUP(U200,Assumptions!$A$7:$D$11,2,FALSE),0)</f>
        <v/>
      </c>
      <c r="W200" s="24">
        <f>MAX(0.5,IFERROR(VLOOKUP(U200,Assumptions!$A$7:$D$11,3,FALSE),3)+IFERROR(VLOOKUP(U200,Assumptions!$A$7:$D$11,4,FALSE),8)/2-IF(AN200="",0,YEAR(TODAY())-AN200))</f>
        <v/>
      </c>
      <c r="X200" s="21">
        <f>T200*V200/(1+Assumptions!$B$3)^W200</f>
        <v/>
      </c>
      <c r="Y200" s="25">
        <f>IF(T200=0,"",ROUND(X200/T200*100,1))</f>
        <v/>
      </c>
      <c r="Z200" s="26">
        <f>X200*Assumptions!$B$4</f>
        <v/>
      </c>
      <c r="AA200" s="25">
        <f>IF(T200=0,"",ROUND(Z200/T200*100,1))</f>
        <v/>
      </c>
      <c r="AB200" s="26">
        <f>X200-Z200</f>
        <v/>
      </c>
      <c r="AC200" s="25">
        <f>IF(T200=0,"",ROUND((X200-Z200)/T200*100,1))</f>
        <v/>
      </c>
      <c r="AD200" s="27" t="inlineStr">
        <is>
          <t>ESTIMATED</t>
        </is>
      </c>
      <c r="AE200" s="28" t="inlineStr">
        <is>
          <t>https://recuperacaojudicial.squarespace.com/s/RJ-Credimoveis-QGC-01082025.pdf</t>
        </is>
      </c>
      <c r="AF200" s="27" t="inlineStr">
        <is>
          <t>p15 r16</t>
        </is>
      </c>
      <c r="AG200" s="27" t="inlineStr">
        <is>
          <t>p15: R$ 2.007.489,79</t>
        </is>
      </c>
      <c r="AH200" s="27" t="inlineStr">
        <is>
          <t>QGC</t>
        </is>
      </c>
      <c r="AI200" s="27" t="inlineStr">
        <is>
          <t>2026-01-28</t>
        </is>
      </c>
      <c r="AJ200" s="27" t="inlineStr">
        <is>
          <t>OK</t>
        </is>
      </c>
      <c r="AK200" s="29" t="inlineStr">
        <is>
          <t>0007565-40.2020.8.17.2370</t>
        </is>
      </c>
      <c r="AL200" s="29" t="inlineStr">
        <is>
          <t>TJPE</t>
        </is>
      </c>
      <c r="AM200" s="29" t="inlineStr">
        <is>
          <t>ACTIVE</t>
        </is>
      </c>
      <c r="AN200" s="29" t="n">
        <v>2020</v>
      </c>
      <c r="AO200" s="29" t="inlineStr">
        <is>
          <t>6y since filing, no plan document</t>
        </is>
      </c>
      <c r="AP200" s="29" t="inlineStr">
        <is>
          <t>SAO PAULO</t>
        </is>
      </c>
      <c r="AQ200" s="29" t="inlineStr">
        <is>
          <t>SP</t>
        </is>
      </c>
      <c r="AR200" s="29" t="inlineStr">
        <is>
          <t>Bancos múltiplos, com carteira comercial</t>
        </is>
      </c>
      <c r="AS200" s="29" t="inlineStr">
        <is>
          <t>DEMAIS</t>
        </is>
      </c>
      <c r="AT200" s="29" t="inlineStr">
        <is>
          <t>LARGE CORP</t>
        </is>
      </c>
      <c r="AU200" s="29" t="inlineStr">
        <is>
          <t>60889128</t>
        </is>
      </c>
      <c r="AV200" s="29" t="n">
        <v>1</v>
      </c>
      <c r="AW200" s="29" t="inlineStr">
        <is>
          <t>ROWS:p15r16</t>
        </is>
      </c>
    </row>
    <row r="201">
      <c r="A201" s="15" t="inlineStr">
        <is>
          <t>BANCO DO BRASIL SA</t>
        </is>
      </c>
      <c r="B201" s="16" t="n">
        <v>1428907.29</v>
      </c>
      <c r="C201" s="17" t="inlineStr">
        <is>
          <t>DECOR MOVEIS PARA LOJA LTDA</t>
        </is>
      </c>
      <c r="D201" s="18" t="inlineStr">
        <is>
          <t>NEW</t>
        </is>
      </c>
      <c r="E201" s="19" t="inlineStr"/>
      <c r="F201" s="18" t="inlineStr"/>
      <c r="G201" s="19" t="inlineStr"/>
      <c r="H201" s="18" t="inlineStr"/>
      <c r="I201" s="20" t="inlineStr">
        <is>
          <t>TARCIANA PAULA GOMES MEDEIROS</t>
        </is>
      </c>
      <c r="J201" s="20" t="inlineStr">
        <is>
          <t>Presidente</t>
        </is>
      </c>
      <c r="K201" s="20" t="inlineStr">
        <is>
          <t>(61) 3493-9002</t>
        </is>
      </c>
      <c r="L201" s="20" t="inlineStr"/>
      <c r="M201" s="20" t="inlineStr"/>
      <c r="N201" s="20" t="inlineStr"/>
      <c r="O201" s="20" t="inlineStr"/>
      <c r="P201" s="20" t="inlineStr">
        <is>
          <t>ALAN CARLOS GUEDES DE OLIVEIRA</t>
        </is>
      </c>
      <c r="Q201" s="20" t="inlineStr">
        <is>
          <t>Diretor</t>
        </is>
      </c>
      <c r="R201" s="20" t="inlineStr">
        <is>
          <t>(61) 3493-9002</t>
        </is>
      </c>
      <c r="S201" s="20" t="inlineStr"/>
      <c r="T201" s="21" t="n">
        <v>1428907.29</v>
      </c>
      <c r="U201" s="31" t="inlineStr">
        <is>
          <t>C</t>
        </is>
      </c>
      <c r="V201" s="23">
        <f>IFERROR(VLOOKUP(U201,Assumptions!$A$7:$D$11,2,FALSE),0)</f>
        <v/>
      </c>
      <c r="W201" s="24">
        <f>MAX(0.5,IFERROR(VLOOKUP(U201,Assumptions!$A$7:$D$11,3,FALSE),3)+IFERROR(VLOOKUP(U201,Assumptions!$A$7:$D$11,4,FALSE),8)/2-IF(AN201="",0,YEAR(TODAY())-AN201))</f>
        <v/>
      </c>
      <c r="X201" s="21">
        <f>T201*V201/(1+Assumptions!$B$3)^W201</f>
        <v/>
      </c>
      <c r="Y201" s="25">
        <f>IF(T201=0,"",ROUND(X201/T201*100,1))</f>
        <v/>
      </c>
      <c r="Z201" s="26">
        <f>X201*Assumptions!$B$4</f>
        <v/>
      </c>
      <c r="AA201" s="25">
        <f>IF(T201=0,"",ROUND(Z201/T201*100,1))</f>
        <v/>
      </c>
      <c r="AB201" s="26">
        <f>X201-Z201</f>
        <v/>
      </c>
      <c r="AC201" s="25">
        <f>IF(T201=0,"",ROUND((X201-Z201)/T201*100,1))</f>
        <v/>
      </c>
      <c r="AD201" s="27" t="inlineStr">
        <is>
          <t>UNKNOWN</t>
        </is>
      </c>
      <c r="AE201" s="28" t="inlineStr">
        <is>
          <t>https://administradorajudicialgs.com.br/wp-content/uploads/2023/08/edital-quadro-geral-de-credores.pdf</t>
        </is>
      </c>
      <c r="AF201" s="27" t="inlineStr">
        <is>
          <t>p2 r15</t>
        </is>
      </c>
      <c r="AG201" s="27" t="inlineStr">
        <is>
          <t>p2: R$ 1.428.907,29</t>
        </is>
      </c>
      <c r="AH201" s="27" t="inlineStr">
        <is>
          <t>QGC</t>
        </is>
      </c>
      <c r="AI201" s="27" t="inlineStr">
        <is>
          <t>2024-07-05</t>
        </is>
      </c>
      <c r="AJ201" s="27" t="inlineStr">
        <is>
          <t>OK_NO_TOTALS</t>
        </is>
      </c>
      <c r="AK201" s="29" t="inlineStr">
        <is>
          <t>0301015-33.2016.8.24.0031</t>
        </is>
      </c>
      <c r="AL201" s="29" t="inlineStr">
        <is>
          <t>TJ</t>
        </is>
      </c>
      <c r="AM201" s="29" t="inlineStr"/>
      <c r="AN201" s="29" t="n">
        <v>2016</v>
      </c>
      <c r="AO201" s="29" t="inlineStr">
        <is>
          <t>10y since filing, no plan document</t>
        </is>
      </c>
      <c r="AP201" s="29" t="inlineStr">
        <is>
          <t>BRASILIA</t>
        </is>
      </c>
      <c r="AQ201" s="29" t="inlineStr">
        <is>
          <t>DF</t>
        </is>
      </c>
      <c r="AR201" s="29" t="inlineStr">
        <is>
          <t>Bancos múltiplos, com carteira comercial</t>
        </is>
      </c>
      <c r="AS201" s="29" t="inlineStr">
        <is>
          <t>DEMAIS</t>
        </is>
      </c>
      <c r="AT201" s="29" t="inlineStr">
        <is>
          <t>LARGE CORP</t>
        </is>
      </c>
      <c r="AU201" s="29" t="inlineStr">
        <is>
          <t>00000000</t>
        </is>
      </c>
      <c r="AV201" s="29" t="n">
        <v>1</v>
      </c>
      <c r="AW201" s="29" t="inlineStr">
        <is>
          <t>LIKELY_FINANCIAL_BY_NAME ROWS:p2r15 UNRECONCILED_SOURCE</t>
        </is>
      </c>
    </row>
    <row r="202">
      <c r="A202" s="15" t="inlineStr">
        <is>
          <t>ITAU UNIBANCO S.A.</t>
        </is>
      </c>
      <c r="B202" s="16" t="n">
        <v>2425507.4</v>
      </c>
      <c r="C202" s="17" t="inlineStr">
        <is>
          <t>E FALENCIA</t>
        </is>
      </c>
      <c r="D202" s="18" t="inlineStr">
        <is>
          <t>NEW</t>
        </is>
      </c>
      <c r="E202" s="19" t="inlineStr"/>
      <c r="F202" s="18" t="inlineStr"/>
      <c r="G202" s="19" t="inlineStr"/>
      <c r="H202" s="18" t="inlineStr"/>
      <c r="I202" s="20" t="inlineStr">
        <is>
          <t>FELIPE SAMPAIO NABUCO</t>
        </is>
      </c>
      <c r="J202" s="20" t="inlineStr">
        <is>
          <t>Administrador</t>
        </is>
      </c>
      <c r="K202" s="20" t="inlineStr">
        <is>
          <t>(11) 3003-4828</t>
        </is>
      </c>
      <c r="L202" s="20" t="inlineStr"/>
      <c r="M202" s="20" t="inlineStr"/>
      <c r="N202" s="20" t="inlineStr"/>
      <c r="O202" s="20" t="inlineStr"/>
      <c r="P202" s="20" t="inlineStr">
        <is>
          <t>MILTON MALUHY FILHO</t>
        </is>
      </c>
      <c r="Q202" s="20" t="inlineStr">
        <is>
          <t>Presidente</t>
        </is>
      </c>
      <c r="R202" s="20" t="inlineStr">
        <is>
          <t>(11) 3003-4828</t>
        </is>
      </c>
      <c r="S202" s="20" t="inlineStr"/>
      <c r="T202" s="21" t="n">
        <v>2425507.4</v>
      </c>
      <c r="U202" s="22" t="inlineStr">
        <is>
          <t>B</t>
        </is>
      </c>
      <c r="V202" s="23">
        <f>IFERROR(VLOOKUP(U202,Assumptions!$A$7:$D$11,2,FALSE),0)</f>
        <v/>
      </c>
      <c r="W202" s="24">
        <f>MAX(0.5,IFERROR(VLOOKUP(U202,Assumptions!$A$7:$D$11,3,FALSE),3)+IFERROR(VLOOKUP(U202,Assumptions!$A$7:$D$11,4,FALSE),8)/2-IF(AN202="",0,YEAR(TODAY())-AN202))</f>
        <v/>
      </c>
      <c r="X202" s="21">
        <f>T202*V202/(1+Assumptions!$B$3)^W202</f>
        <v/>
      </c>
      <c r="Y202" s="25">
        <f>IF(T202=0,"",ROUND(X202/T202*100,1))</f>
        <v/>
      </c>
      <c r="Z202" s="26">
        <f>X202*Assumptions!$B$4</f>
        <v/>
      </c>
      <c r="AA202" s="25">
        <f>IF(T202=0,"",ROUND(Z202/T202*100,1))</f>
        <v/>
      </c>
      <c r="AB202" s="26">
        <f>X202-Z202</f>
        <v/>
      </c>
      <c r="AC202" s="25">
        <f>IF(T202=0,"",ROUND((X202-Z202)/T202*100,1))</f>
        <v/>
      </c>
      <c r="AD202" s="27" t="inlineStr">
        <is>
          <t>ESTIMATED</t>
        </is>
      </c>
      <c r="AE202" s="28" t="inlineStr">
        <is>
          <t>https://recuperasolucoes.com/wp-content/plugins/download-attachments/includes/download.php?id=1597</t>
        </is>
      </c>
      <c r="AF202" s="27" t="inlineStr">
        <is>
          <t>p13 r15</t>
        </is>
      </c>
      <c r="AG202" s="27" t="inlineStr">
        <is>
          <t>p13: R$ 2.425.507,40</t>
        </is>
      </c>
      <c r="AH202" s="27" t="inlineStr">
        <is>
          <t>DEBTOR_LIST</t>
        </is>
      </c>
      <c r="AI202" s="27" t="inlineStr">
        <is>
          <t>2026-05-21</t>
        </is>
      </c>
      <c r="AJ202" s="27" t="inlineStr">
        <is>
          <t>OK</t>
        </is>
      </c>
      <c r="AK202" s="29" t="inlineStr">
        <is>
          <t>0001639-09.2026.8.17.2810</t>
        </is>
      </c>
      <c r="AL202" s="29" t="inlineStr">
        <is>
          <t>TJPE</t>
        </is>
      </c>
      <c r="AM202" s="29" t="inlineStr">
        <is>
          <t>ACTIVE</t>
        </is>
      </c>
      <c r="AN202" s="29" t="n">
        <v>2026</v>
      </c>
      <c r="AO202" s="29" t="inlineStr">
        <is>
          <t>live case, no plan document yet</t>
        </is>
      </c>
      <c r="AP202" s="29" t="inlineStr">
        <is>
          <t>SAO PAULO</t>
        </is>
      </c>
      <c r="AQ202" s="29" t="inlineStr">
        <is>
          <t>SP</t>
        </is>
      </c>
      <c r="AR202" s="29" t="inlineStr">
        <is>
          <t>Bancos comerciais</t>
        </is>
      </c>
      <c r="AS202" s="29" t="inlineStr">
        <is>
          <t>DEMAIS</t>
        </is>
      </c>
      <c r="AT202" s="29" t="inlineStr">
        <is>
          <t>LARGE CORP</t>
        </is>
      </c>
      <c r="AU202" s="29" t="inlineStr">
        <is>
          <t>60701190</t>
        </is>
      </c>
      <c r="AV202" s="29" t="n">
        <v>1</v>
      </c>
      <c r="AW202" s="29" t="inlineStr">
        <is>
          <t>LIKELY_FINANCIAL_BY_NAME ROWS:p13r15</t>
        </is>
      </c>
    </row>
    <row r="203">
      <c r="A203" s="15" t="inlineStr">
        <is>
          <t>Gavea Open Fundo De Investimento Em Direitos Creditorios</t>
        </is>
      </c>
      <c r="B203" s="16" t="n">
        <v>1218763.3</v>
      </c>
      <c r="C203" s="17" t="inlineStr">
        <is>
          <t>ADVOCACIA WANDERLEI DE PAULA BARRETO</t>
        </is>
      </c>
      <c r="D203" s="18" t="inlineStr">
        <is>
          <t>NEW</t>
        </is>
      </c>
      <c r="E203" s="19" t="inlineStr"/>
      <c r="F203" s="18" t="inlineStr"/>
      <c r="G203" s="19" t="inlineStr"/>
      <c r="H203" s="18" t="inlineStr"/>
      <c r="I203" s="20" t="inlineStr"/>
      <c r="J203" s="20" t="inlineStr"/>
      <c r="K203" s="20" t="inlineStr"/>
      <c r="L203" s="20" t="inlineStr"/>
      <c r="M203" s="20" t="inlineStr"/>
      <c r="N203" s="20" t="inlineStr"/>
      <c r="O203" s="20" t="inlineStr"/>
      <c r="P203" s="20" t="inlineStr"/>
      <c r="Q203" s="20" t="inlineStr"/>
      <c r="R203" s="20" t="inlineStr"/>
      <c r="S203" s="20" t="inlineStr"/>
      <c r="T203" s="21" t="n">
        <v>1218763.3</v>
      </c>
      <c r="U203" s="22" t="inlineStr">
        <is>
          <t>B</t>
        </is>
      </c>
      <c r="V203" s="23">
        <f>IFERROR(VLOOKUP(U203,Assumptions!$A$7:$D$11,2,FALSE),0)</f>
        <v/>
      </c>
      <c r="W203" s="24">
        <f>MAX(0.5,IFERROR(VLOOKUP(U203,Assumptions!$A$7:$D$11,3,FALSE),3)+IFERROR(VLOOKUP(U203,Assumptions!$A$7:$D$11,4,FALSE),8)/2-IF(AN203="",0,YEAR(TODAY())-AN203))</f>
        <v/>
      </c>
      <c r="X203" s="21">
        <f>T203*V203/(1+Assumptions!$B$3)^W203</f>
        <v/>
      </c>
      <c r="Y203" s="25">
        <f>IF(T203=0,"",ROUND(X203/T203*100,1))</f>
        <v/>
      </c>
      <c r="Z203" s="26">
        <f>X203*Assumptions!$B$4</f>
        <v/>
      </c>
      <c r="AA203" s="25">
        <f>IF(T203=0,"",ROUND(Z203/T203*100,1))</f>
        <v/>
      </c>
      <c r="AB203" s="26">
        <f>X203-Z203</f>
        <v/>
      </c>
      <c r="AC203" s="25">
        <f>IF(T203=0,"",ROUND((X203-Z203)/T203*100,1))</f>
        <v/>
      </c>
      <c r="AD203" s="27" t="inlineStr">
        <is>
          <t>ESTIMATED</t>
        </is>
      </c>
      <c r="AE203" s="28" t="inlineStr">
        <is>
          <t>https://marquesadmjudicial.com.br/sgc/download.php?file=files/processo_documento/processo_documento17040729052024_1_.pdf&amp;nome=Relação Nominal de Credores AJ-Sintética</t>
        </is>
      </c>
      <c r="AF203" s="27" t="inlineStr">
        <is>
          <t>p11 r10</t>
        </is>
      </c>
      <c r="AG203" s="27" t="inlineStr">
        <is>
          <t>p11: R$ 1.218.763,30</t>
        </is>
      </c>
      <c r="AH203" s="27" t="inlineStr">
        <is>
          <t>AJ_LIST</t>
        </is>
      </c>
      <c r="AI203" s="27" t="inlineStr">
        <is>
          <t>2024-05-27</t>
        </is>
      </c>
      <c r="AJ203" s="27" t="inlineStr">
        <is>
          <t>QUARANTINED</t>
        </is>
      </c>
      <c r="AK203" s="29" t="inlineStr">
        <is>
          <t>0003971-03.2023.8.16.0119</t>
        </is>
      </c>
      <c r="AL203" s="29" t="inlineStr">
        <is>
          <t>TJPR</t>
        </is>
      </c>
      <c r="AM203" s="29" t="inlineStr">
        <is>
          <t>ACTIVE</t>
        </is>
      </c>
      <c r="AN203" s="29" t="n">
        <v>2023</v>
      </c>
      <c r="AO203" s="29" t="inlineStr">
        <is>
          <t>live case, no plan document yet</t>
        </is>
      </c>
      <c r="AP203" s="29" t="inlineStr"/>
      <c r="AQ203" s="29" t="inlineStr"/>
      <c r="AR203" s="29" t="inlineStr"/>
      <c r="AS203" s="29" t="inlineStr"/>
      <c r="AT203" s="29" t="inlineStr">
        <is>
          <t>MID-MARKET</t>
        </is>
      </c>
      <c r="AU203" s="29" t="inlineStr">
        <is>
          <t>31024386</t>
        </is>
      </c>
      <c r="AV203" s="29" t="n">
        <v>1</v>
      </c>
      <c r="AW203" s="29" t="inlineStr">
        <is>
          <t>LIKELY_FINANCIAL_BY_NAME PARTIAL_DOC_CLASS_III_RECONCILED ROWS:p11r10</t>
        </is>
      </c>
    </row>
    <row r="204">
      <c r="A204" s="15" t="inlineStr">
        <is>
          <t>ITAU UNIBANCO S.A.</t>
        </is>
      </c>
      <c r="B204" s="16" t="n">
        <v>2433378.27</v>
      </c>
      <c r="C204" s="17" t="inlineStr">
        <is>
          <t>VECTOR INDUSTRIA DE PRODUTOS METALURGICOS LTDA - EM RECUPERACAO JUDICIAL</t>
        </is>
      </c>
      <c r="D204" s="18" t="inlineStr">
        <is>
          <t>NEW</t>
        </is>
      </c>
      <c r="E204" s="19" t="inlineStr"/>
      <c r="F204" s="18" t="inlineStr"/>
      <c r="G204" s="19" t="inlineStr"/>
      <c r="H204" s="18" t="inlineStr"/>
      <c r="I204" s="20" t="inlineStr">
        <is>
          <t>FELIPE SAMPAIO NABUCO</t>
        </is>
      </c>
      <c r="J204" s="20" t="inlineStr">
        <is>
          <t>Administrador</t>
        </is>
      </c>
      <c r="K204" s="20" t="inlineStr">
        <is>
          <t>(11) 3003-4828</t>
        </is>
      </c>
      <c r="L204" s="20" t="inlineStr"/>
      <c r="M204" s="20" t="inlineStr"/>
      <c r="N204" s="20" t="inlineStr"/>
      <c r="O204" s="20" t="inlineStr"/>
      <c r="P204" s="20" t="inlineStr">
        <is>
          <t>MILTON MALUHY FILHO</t>
        </is>
      </c>
      <c r="Q204" s="20" t="inlineStr">
        <is>
          <t>Presidente</t>
        </is>
      </c>
      <c r="R204" s="20" t="inlineStr">
        <is>
          <t>(11) 3003-4828</t>
        </is>
      </c>
      <c r="S204" s="20" t="inlineStr"/>
      <c r="T204" s="21" t="n">
        <v>2433378.27</v>
      </c>
      <c r="U204" s="31" t="inlineStr">
        <is>
          <t>C</t>
        </is>
      </c>
      <c r="V204" s="23">
        <f>IFERROR(VLOOKUP(U204,Assumptions!$A$7:$D$11,2,FALSE),0)</f>
        <v/>
      </c>
      <c r="W204" s="24">
        <f>MAX(0.5,IFERROR(VLOOKUP(U204,Assumptions!$A$7:$D$11,3,FALSE),3)+IFERROR(VLOOKUP(U204,Assumptions!$A$7:$D$11,4,FALSE),8)/2-IF(AN204="",0,YEAR(TODAY())-AN204))</f>
        <v/>
      </c>
      <c r="X204" s="21">
        <f>T204*V204/(1+Assumptions!$B$3)^W204</f>
        <v/>
      </c>
      <c r="Y204" s="25">
        <f>IF(T204=0,"",ROUND(X204/T204*100,1))</f>
        <v/>
      </c>
      <c r="Z204" s="26">
        <f>X204*Assumptions!$B$4</f>
        <v/>
      </c>
      <c r="AA204" s="25">
        <f>IF(T204=0,"",ROUND(Z204/T204*100,1))</f>
        <v/>
      </c>
      <c r="AB204" s="26">
        <f>X204-Z204</f>
        <v/>
      </c>
      <c r="AC204" s="25">
        <f>IF(T204=0,"",ROUND((X204-Z204)/T204*100,1))</f>
        <v/>
      </c>
      <c r="AD204" s="27" t="inlineStr">
        <is>
          <t>ESTIMATED</t>
        </is>
      </c>
      <c r="AE204" s="28" t="inlineStr">
        <is>
          <t>https://scalzilliaj.com.br/sgc/download.php?file=files/processo_documento/processo_documento15513401112022_1_.pdf&amp;nome=15 - Edital do art. 7º, §2º (segunda lista de credores) e do art. 53 da Lei 11.101/2005 (recebimento do plano)</t>
        </is>
      </c>
      <c r="AF204" s="27" t="inlineStr">
        <is>
          <t>p7 r30</t>
        </is>
      </c>
      <c r="AG204" s="27" t="inlineStr">
        <is>
          <t>p7: R$ 2.433.378,27</t>
        </is>
      </c>
      <c r="AH204" s="27" t="inlineStr">
        <is>
          <t>AJ_LIST</t>
        </is>
      </c>
      <c r="AI204" s="27" t="inlineStr">
        <is>
          <t>2022-11-01</t>
        </is>
      </c>
      <c r="AJ204" s="27" t="inlineStr">
        <is>
          <t>OK_NO_TOTALS</t>
        </is>
      </c>
      <c r="AK204" s="29" t="inlineStr">
        <is>
          <t>5014104-85.2021.8.21.0010</t>
        </is>
      </c>
      <c r="AL204" s="29" t="inlineStr">
        <is>
          <t>TJRS</t>
        </is>
      </c>
      <c r="AM204" s="29" t="inlineStr">
        <is>
          <t>ACTIVE</t>
        </is>
      </c>
      <c r="AN204" s="29" t="n">
        <v>2021</v>
      </c>
      <c r="AO204" s="29" t="inlineStr">
        <is>
          <t>5y since filing, no plan document</t>
        </is>
      </c>
      <c r="AP204" s="29" t="inlineStr">
        <is>
          <t>SAO PAULO</t>
        </is>
      </c>
      <c r="AQ204" s="29" t="inlineStr">
        <is>
          <t>SP</t>
        </is>
      </c>
      <c r="AR204" s="29" t="inlineStr">
        <is>
          <t>Bancos comerciais</t>
        </is>
      </c>
      <c r="AS204" s="29" t="inlineStr">
        <is>
          <t>DEMAIS</t>
        </is>
      </c>
      <c r="AT204" s="29" t="inlineStr">
        <is>
          <t>LARGE CORP</t>
        </is>
      </c>
      <c r="AU204" s="29" t="inlineStr">
        <is>
          <t>60701190</t>
        </is>
      </c>
      <c r="AV204" s="29" t="n">
        <v>1</v>
      </c>
      <c r="AW204" s="29" t="inlineStr">
        <is>
          <t>LIKELY_FINANCIAL_BY_NAME ROWS:p7r30 UNRECONCILED_SOURCE</t>
        </is>
      </c>
    </row>
    <row r="205">
      <c r="A205" s="15" t="inlineStr">
        <is>
          <t>BRADESCO SAUDE S/A</t>
        </is>
      </c>
      <c r="B205" s="16" t="n">
        <v>1213228.4</v>
      </c>
      <c r="C205" s="17" t="inlineStr"/>
      <c r="D205" s="18" t="inlineStr">
        <is>
          <t>NEW</t>
        </is>
      </c>
      <c r="E205" s="19" t="inlineStr"/>
      <c r="F205" s="18" t="inlineStr"/>
      <c r="G205" s="19" t="inlineStr"/>
      <c r="H205" s="18" t="inlineStr"/>
      <c r="I205" s="20" t="inlineStr">
        <is>
          <t>ANTONIO ALEXANDRE ARIAS</t>
        </is>
      </c>
      <c r="J205" s="20" t="inlineStr">
        <is>
          <t>Diretor</t>
        </is>
      </c>
      <c r="K205" s="20" t="inlineStr">
        <is>
          <t>(21) 2503-1111</t>
        </is>
      </c>
      <c r="L205" s="20" t="inlineStr"/>
      <c r="M205" s="20" t="inlineStr"/>
      <c r="N205" s="20" t="inlineStr"/>
      <c r="O205" s="20" t="inlineStr"/>
      <c r="P205" s="20" t="inlineStr">
        <is>
          <t>CARLOS ALBERTO IWATA MARINELLI</t>
        </is>
      </c>
      <c r="Q205" s="20" t="inlineStr">
        <is>
          <t>Diretor</t>
        </is>
      </c>
      <c r="R205" s="20" t="inlineStr">
        <is>
          <t>(21) 2503-1111</t>
        </is>
      </c>
      <c r="S205" s="20" t="inlineStr"/>
      <c r="T205" s="21" t="n">
        <v>1213228.4</v>
      </c>
      <c r="U205" s="22" t="inlineStr">
        <is>
          <t>B</t>
        </is>
      </c>
      <c r="V205" s="23">
        <f>IFERROR(VLOOKUP(U205,Assumptions!$A$7:$D$11,2,FALSE),0)</f>
        <v/>
      </c>
      <c r="W205" s="24">
        <f>MAX(0.5,IFERROR(VLOOKUP(U205,Assumptions!$A$7:$D$11,3,FALSE),3)+IFERROR(VLOOKUP(U205,Assumptions!$A$7:$D$11,4,FALSE),8)/2-IF(AN205="",0,YEAR(TODAY())-AN205))</f>
        <v/>
      </c>
      <c r="X205" s="21">
        <f>T205*V205/(1+Assumptions!$B$3)^W205</f>
        <v/>
      </c>
      <c r="Y205" s="25">
        <f>IF(T205=0,"",ROUND(X205/T205*100,1))</f>
        <v/>
      </c>
      <c r="Z205" s="26">
        <f>X205*Assumptions!$B$4</f>
        <v/>
      </c>
      <c r="AA205" s="25">
        <f>IF(T205=0,"",ROUND(Z205/T205*100,1))</f>
        <v/>
      </c>
      <c r="AB205" s="26">
        <f>X205-Z205</f>
        <v/>
      </c>
      <c r="AC205" s="25">
        <f>IF(T205=0,"",ROUND((X205-Z205)/T205*100,1))</f>
        <v/>
      </c>
      <c r="AD205" s="27" t="inlineStr">
        <is>
          <t>ESTIMATED</t>
        </is>
      </c>
      <c r="AE205" s="28" t="inlineStr">
        <is>
          <t>https://cataliseaj.com.br/sgc/download.php?file=files/processo_documento/processo_documento15092204102024_1_.pdf&amp;nome=02. RELAÇÃO DE CREDORES</t>
        </is>
      </c>
      <c r="AF205" s="27" t="inlineStr">
        <is>
          <t>p2 r12</t>
        </is>
      </c>
      <c r="AG205" s="27" t="inlineStr">
        <is>
          <t>p2: R$ 1.213.228,40</t>
        </is>
      </c>
      <c r="AH205" s="27" t="inlineStr">
        <is>
          <t>DEBTOR_LIST</t>
        </is>
      </c>
      <c r="AI205" s="27" t="inlineStr"/>
      <c r="AJ205" s="27" t="inlineStr">
        <is>
          <t>OK_NO_TOTALS</t>
        </is>
      </c>
      <c r="AK205" s="29" t="inlineStr">
        <is>
          <t>5011460-87.2023.8.24.0020</t>
        </is>
      </c>
      <c r="AL205" s="29" t="inlineStr">
        <is>
          <t>TJSC</t>
        </is>
      </c>
      <c r="AM205" s="29" t="inlineStr">
        <is>
          <t>ACTIVE</t>
        </is>
      </c>
      <c r="AN205" s="29" t="n">
        <v>2023</v>
      </c>
      <c r="AO205" s="29" t="inlineStr">
        <is>
          <t>live case, no plan document yet</t>
        </is>
      </c>
      <c r="AP205" s="29" t="inlineStr">
        <is>
          <t>RIO DE JANEIRO</t>
        </is>
      </c>
      <c r="AQ205" s="29" t="inlineStr">
        <is>
          <t>RJ</t>
        </is>
      </c>
      <c r="AR205" s="29" t="inlineStr">
        <is>
          <t>Sociedade seguradora de seguros saúde</t>
        </is>
      </c>
      <c r="AS205" s="29" t="inlineStr">
        <is>
          <t>DEMAIS</t>
        </is>
      </c>
      <c r="AT205" s="29" t="inlineStr">
        <is>
          <t>LARGE CORP</t>
        </is>
      </c>
      <c r="AU205" s="29" t="inlineStr">
        <is>
          <t>92693118</t>
        </is>
      </c>
      <c r="AV205" s="29" t="n">
        <v>1</v>
      </c>
      <c r="AW205" s="29" t="inlineStr">
        <is>
          <t>ROWS:p2r12 UNRECONCILED_SOURCE</t>
        </is>
      </c>
    </row>
    <row r="206">
      <c r="A206" s="15" t="inlineStr">
        <is>
          <t>BANCO ABC BRASIL S.A.</t>
        </is>
      </c>
      <c r="B206" s="16" t="n">
        <v>2355675.34</v>
      </c>
      <c r="C206" s="17" t="inlineStr">
        <is>
          <t>E FALENCIA</t>
        </is>
      </c>
      <c r="D206" s="18" t="inlineStr">
        <is>
          <t>NEW</t>
        </is>
      </c>
      <c r="E206" s="19" t="inlineStr"/>
      <c r="F206" s="18" t="inlineStr"/>
      <c r="G206" s="19" t="inlineStr"/>
      <c r="H206" s="18" t="inlineStr"/>
      <c r="I206" s="20" t="inlineStr">
        <is>
          <t>SERGIO LULIA JACOB</t>
        </is>
      </c>
      <c r="J206" s="20" t="inlineStr">
        <is>
          <t>Presidente</t>
        </is>
      </c>
      <c r="K206" s="20" t="inlineStr">
        <is>
          <t>(11) 3170-2000</t>
        </is>
      </c>
      <c r="L206" s="20" t="inlineStr"/>
      <c r="M206" s="20" t="inlineStr"/>
      <c r="N206" s="20" t="inlineStr"/>
      <c r="O206" s="20" t="inlineStr"/>
      <c r="P206" s="20" t="inlineStr">
        <is>
          <t>ADRIANA FERNANDES PERES</t>
        </is>
      </c>
      <c r="Q206" s="20" t="inlineStr">
        <is>
          <t>Diretor</t>
        </is>
      </c>
      <c r="R206" s="20" t="inlineStr">
        <is>
          <t>(11) 3170-2000</t>
        </is>
      </c>
      <c r="S206" s="20" t="inlineStr"/>
      <c r="T206" s="21" t="n">
        <v>2355675.34</v>
      </c>
      <c r="U206" s="22" t="inlineStr">
        <is>
          <t>B</t>
        </is>
      </c>
      <c r="V206" s="23">
        <f>IFERROR(VLOOKUP(U206,Assumptions!$A$7:$D$11,2,FALSE),0)</f>
        <v/>
      </c>
      <c r="W206" s="24">
        <f>MAX(0.5,IFERROR(VLOOKUP(U206,Assumptions!$A$7:$D$11,3,FALSE),3)+IFERROR(VLOOKUP(U206,Assumptions!$A$7:$D$11,4,FALSE),8)/2-IF(AN206="",0,YEAR(TODAY())-AN206))</f>
        <v/>
      </c>
      <c r="X206" s="21">
        <f>T206*V206/(1+Assumptions!$B$3)^W206</f>
        <v/>
      </c>
      <c r="Y206" s="25">
        <f>IF(T206=0,"",ROUND(X206/T206*100,1))</f>
        <v/>
      </c>
      <c r="Z206" s="26">
        <f>X206*Assumptions!$B$4</f>
        <v/>
      </c>
      <c r="AA206" s="25">
        <f>IF(T206=0,"",ROUND(Z206/T206*100,1))</f>
        <v/>
      </c>
      <c r="AB206" s="26">
        <f>X206-Z206</f>
        <v/>
      </c>
      <c r="AC206" s="25">
        <f>IF(T206=0,"",ROUND((X206-Z206)/T206*100,1))</f>
        <v/>
      </c>
      <c r="AD206" s="27" t="inlineStr">
        <is>
          <t>ESTIMATED</t>
        </is>
      </c>
      <c r="AE206" s="28" t="inlineStr">
        <is>
          <t>https://recuperasolucoes.com/wp-content/plugins/download-attachments/includes/download.php?id=1597</t>
        </is>
      </c>
      <c r="AF206" s="27" t="inlineStr">
        <is>
          <t>p13 r2</t>
        </is>
      </c>
      <c r="AG206" s="27" t="inlineStr">
        <is>
          <t>p13: R$ 2.355.675,34</t>
        </is>
      </c>
      <c r="AH206" s="27" t="inlineStr">
        <is>
          <t>DEBTOR_LIST</t>
        </is>
      </c>
      <c r="AI206" s="27" t="inlineStr">
        <is>
          <t>2026-05-21</t>
        </is>
      </c>
      <c r="AJ206" s="27" t="inlineStr">
        <is>
          <t>OK</t>
        </is>
      </c>
      <c r="AK206" s="29" t="inlineStr">
        <is>
          <t>0001639-09.2026.8.17.2810</t>
        </is>
      </c>
      <c r="AL206" s="29" t="inlineStr">
        <is>
          <t>TJPE</t>
        </is>
      </c>
      <c r="AM206" s="29" t="inlineStr">
        <is>
          <t>ACTIVE</t>
        </is>
      </c>
      <c r="AN206" s="29" t="n">
        <v>2026</v>
      </c>
      <c r="AO206" s="29" t="inlineStr">
        <is>
          <t>live case, no plan document yet</t>
        </is>
      </c>
      <c r="AP206" s="29" t="inlineStr">
        <is>
          <t>SAO PAULO</t>
        </is>
      </c>
      <c r="AQ206" s="29" t="inlineStr">
        <is>
          <t>SP</t>
        </is>
      </c>
      <c r="AR206" s="29" t="inlineStr">
        <is>
          <t>Bancos múltiplos, com carteira comercial</t>
        </is>
      </c>
      <c r="AS206" s="29" t="inlineStr">
        <is>
          <t>DEMAIS</t>
        </is>
      </c>
      <c r="AT206" s="29" t="inlineStr">
        <is>
          <t>LARGE CORP</t>
        </is>
      </c>
      <c r="AU206" s="29" t="inlineStr">
        <is>
          <t>28195667</t>
        </is>
      </c>
      <c r="AV206" s="29" t="n">
        <v>1</v>
      </c>
      <c r="AW206" s="29" t="inlineStr">
        <is>
          <t>LIKELY_FINANCIAL_BY_NAME ROWS:p13r2</t>
        </is>
      </c>
    </row>
    <row r="207">
      <c r="A207" s="15" t="inlineStr">
        <is>
          <t>ASA SOCIEDADE DE CREDITO FINANCIAMENTO E INVESTIMENTO S.A.</t>
        </is>
      </c>
      <c r="B207" s="16" t="n">
        <v>1766223.81</v>
      </c>
      <c r="C207" s="17" t="inlineStr">
        <is>
          <t>COMERCIO RACOES BEM BOM LTDA</t>
        </is>
      </c>
      <c r="D207" s="18" t="inlineStr">
        <is>
          <t>NEW</t>
        </is>
      </c>
      <c r="E207" s="19" t="inlineStr"/>
      <c r="F207" s="18" t="inlineStr"/>
      <c r="G207" s="19" t="inlineStr"/>
      <c r="H207" s="18" t="inlineStr"/>
      <c r="I207" s="20" t="inlineStr">
        <is>
          <t>ALBERTO JOSEPH SAFRA</t>
        </is>
      </c>
      <c r="J207" s="20" t="inlineStr">
        <is>
          <t>Diretor</t>
        </is>
      </c>
      <c r="K207" s="20" t="inlineStr">
        <is>
          <t>(11) 3900-5236</t>
        </is>
      </c>
      <c r="L207" s="20" t="inlineStr"/>
      <c r="M207" s="20" t="inlineStr"/>
      <c r="N207" s="20" t="inlineStr"/>
      <c r="O207" s="20" t="inlineStr"/>
      <c r="P207" s="20" t="inlineStr">
        <is>
          <t>CARLOS MIGUEL MARTINS FERNANDES COSTA</t>
        </is>
      </c>
      <c r="Q207" s="20" t="inlineStr">
        <is>
          <t>Diretor</t>
        </is>
      </c>
      <c r="R207" s="20" t="inlineStr">
        <is>
          <t>(11) 3900-5236</t>
        </is>
      </c>
      <c r="S207" s="20" t="inlineStr"/>
      <c r="T207" s="21" t="n">
        <v>1766223.81</v>
      </c>
      <c r="U207" s="32" t="inlineStr">
        <is>
          <t>A</t>
        </is>
      </c>
      <c r="V207" s="23">
        <f>IFERROR(VLOOKUP(U207,Assumptions!$A$7:$D$11,2,FALSE),0)</f>
        <v/>
      </c>
      <c r="W207" s="24">
        <f>MAX(0.5,IFERROR(VLOOKUP(U207,Assumptions!$A$7:$D$11,3,FALSE),3)+IFERROR(VLOOKUP(U207,Assumptions!$A$7:$D$11,4,FALSE),8)/2-IF(AN207="",0,YEAR(TODAY())-AN207))</f>
        <v/>
      </c>
      <c r="X207" s="21">
        <f>T207*V207/(1+Assumptions!$B$3)^W207</f>
        <v/>
      </c>
      <c r="Y207" s="25">
        <f>IF(T207=0,"",ROUND(X207/T207*100,1))</f>
        <v/>
      </c>
      <c r="Z207" s="26">
        <f>X207*Assumptions!$B$4</f>
        <v/>
      </c>
      <c r="AA207" s="25">
        <f>IF(T207=0,"",ROUND(Z207/T207*100,1))</f>
        <v/>
      </c>
      <c r="AB207" s="26">
        <f>X207-Z207</f>
        <v/>
      </c>
      <c r="AC207" s="25">
        <f>IF(T207=0,"",ROUND((X207-Z207)/T207*100,1))</f>
        <v/>
      </c>
      <c r="AD207" s="27" t="inlineStr">
        <is>
          <t>CONFIRMED</t>
        </is>
      </c>
      <c r="AE207" s="28" t="inlineStr">
        <is>
          <t>https://stenius.com.br/wp-content/uploads/2026/06/EDITAL-GRUPO-3E.pdf</t>
        </is>
      </c>
      <c r="AF207" s="27" t="inlineStr">
        <is>
          <t>p10 r10</t>
        </is>
      </c>
      <c r="AG207" s="27" t="inlineStr">
        <is>
          <t>p10: R$ 1.766.223,81</t>
        </is>
      </c>
      <c r="AH207" s="27" t="inlineStr">
        <is>
          <t>DEBTOR_LIST</t>
        </is>
      </c>
      <c r="AI207" s="27" t="inlineStr">
        <is>
          <t>2026-06-22</t>
        </is>
      </c>
      <c r="AJ207" s="27" t="inlineStr">
        <is>
          <t>OK_NO_TOTALS</t>
        </is>
      </c>
      <c r="AK207" s="29" t="inlineStr">
        <is>
          <t>5341375-33.2026.8.09.0049</t>
        </is>
      </c>
      <c r="AL207" s="29" t="inlineStr">
        <is>
          <t>TJGO</t>
        </is>
      </c>
      <c r="AM207" s="29" t="inlineStr">
        <is>
          <t>ACTIVE</t>
        </is>
      </c>
      <c r="AN207" s="29" t="n">
        <v>2026</v>
      </c>
      <c r="AO207" s="29" t="inlineStr">
        <is>
          <t>plan/homologation document found</t>
        </is>
      </c>
      <c r="AP207" s="29" t="inlineStr">
        <is>
          <t>SAO PAULO</t>
        </is>
      </c>
      <c r="AQ207" s="29" t="inlineStr">
        <is>
          <t>SP</t>
        </is>
      </c>
      <c r="AR207" s="29" t="inlineStr">
        <is>
          <t>Sociedades de crédito, financiamento e investimento - financeiras</t>
        </is>
      </c>
      <c r="AS207" s="29" t="inlineStr">
        <is>
          <t>DEMAIS</t>
        </is>
      </c>
      <c r="AT207" s="29" t="inlineStr">
        <is>
          <t>LARGE CORP</t>
        </is>
      </c>
      <c r="AU207" s="29" t="inlineStr">
        <is>
          <t>48703388</t>
        </is>
      </c>
      <c r="AV207" s="29" t="n">
        <v>1</v>
      </c>
      <c r="AW207" s="29" t="inlineStr">
        <is>
          <t>ROWS:p10r10 UNRECONCILED_SOURCE</t>
        </is>
      </c>
    </row>
    <row r="208">
      <c r="A208" s="15" t="inlineStr">
        <is>
          <t>BMP SOCIEDADE DE CREDITO AO MICROEMPREENDEDOR E A EMPRESA DE PEQUENO PORTE LTDA</t>
        </is>
      </c>
      <c r="B208" s="16" t="n">
        <v>1881174.37</v>
      </c>
      <c r="C208" s="17" t="inlineStr">
        <is>
          <t>ATIVOS ADMINISTRAÇÃO JUDICIA</t>
        </is>
      </c>
      <c r="D208" s="18" t="inlineStr">
        <is>
          <t>NEW</t>
        </is>
      </c>
      <c r="E208" s="19" t="inlineStr"/>
      <c r="F208" s="18" t="inlineStr"/>
      <c r="G208" s="19" t="inlineStr"/>
      <c r="H208" s="18" t="inlineStr"/>
      <c r="I208" s="20" t="inlineStr">
        <is>
          <t>CARLOS EDUARDO BENITEZ</t>
        </is>
      </c>
      <c r="J208" s="20" t="inlineStr">
        <is>
          <t>Sócio-Administrador</t>
        </is>
      </c>
      <c r="K208" s="20" t="inlineStr">
        <is>
          <t>(11) 3810-9313</t>
        </is>
      </c>
      <c r="L208" s="20" t="inlineStr"/>
      <c r="M208" s="20" t="inlineStr"/>
      <c r="N208" s="20" t="inlineStr"/>
      <c r="O208" s="20" t="inlineStr"/>
      <c r="P208" s="20" t="inlineStr">
        <is>
          <t>FLAVIA SANTANA DE ALMEIDA MASSINI</t>
        </is>
      </c>
      <c r="Q208" s="20" t="inlineStr">
        <is>
          <t>Administrador</t>
        </is>
      </c>
      <c r="R208" s="20" t="inlineStr">
        <is>
          <t>(11) 3810-9313</t>
        </is>
      </c>
      <c r="S208" s="20" t="inlineStr"/>
      <c r="T208" s="21" t="n">
        <v>1881174.37</v>
      </c>
      <c r="U208" s="22" t="inlineStr">
        <is>
          <t>B</t>
        </is>
      </c>
      <c r="V208" s="23">
        <f>IFERROR(VLOOKUP(U208,Assumptions!$A$7:$D$11,2,FALSE),0)</f>
        <v/>
      </c>
      <c r="W208" s="24">
        <f>MAX(0.5,IFERROR(VLOOKUP(U208,Assumptions!$A$7:$D$11,3,FALSE),3)+IFERROR(VLOOKUP(U208,Assumptions!$A$7:$D$11,4,FALSE),8)/2-IF(AN208="",0,YEAR(TODAY())-AN208))</f>
        <v/>
      </c>
      <c r="X208" s="21">
        <f>T208*V208/(1+Assumptions!$B$3)^W208</f>
        <v/>
      </c>
      <c r="Y208" s="25">
        <f>IF(T208=0,"",ROUND(X208/T208*100,1))</f>
        <v/>
      </c>
      <c r="Z208" s="26">
        <f>X208*Assumptions!$B$4</f>
        <v/>
      </c>
      <c r="AA208" s="25">
        <f>IF(T208=0,"",ROUND(Z208/T208*100,1))</f>
        <v/>
      </c>
      <c r="AB208" s="26">
        <f>X208-Z208</f>
        <v/>
      </c>
      <c r="AC208" s="25">
        <f>IF(T208=0,"",ROUND((X208-Z208)/T208*100,1))</f>
        <v/>
      </c>
      <c r="AD208" s="27" t="inlineStr">
        <is>
          <t>ESTIMATED</t>
        </is>
      </c>
      <c r="AE208" s="28" t="inlineStr">
        <is>
          <t>https://ativosajce.com.br/admin/download.php?file=files/processo_documento/processo_documento13422625032025_1_.pdf&amp;nome=Relação de Credores - Art. 52º § 1º, da Lei nº 11.101/2005 - 25/02/2025</t>
        </is>
      </c>
      <c r="AF208" s="27" t="inlineStr">
        <is>
          <t>p3 r28; p3 r29</t>
        </is>
      </c>
      <c r="AG208" s="27" t="inlineStr">
        <is>
          <t>p3: R$ 686.369,53; p3: R$ 1.194.804,84</t>
        </is>
      </c>
      <c r="AH208" s="27" t="inlineStr">
        <is>
          <t>UNKNOWN</t>
        </is>
      </c>
      <c r="AI208" s="27" t="inlineStr">
        <is>
          <t>2025-02-28</t>
        </is>
      </c>
      <c r="AJ208" s="27" t="inlineStr">
        <is>
          <t>OK_NO_TOTALS</t>
        </is>
      </c>
      <c r="AK208" s="29" t="inlineStr">
        <is>
          <t>1000119-75.2025.8.26.0354</t>
        </is>
      </c>
      <c r="AL208" s="29" t="inlineStr">
        <is>
          <t>TJSP</t>
        </is>
      </c>
      <c r="AM208" s="29" t="inlineStr">
        <is>
          <t>ACTIVE</t>
        </is>
      </c>
      <c r="AN208" s="29" t="n">
        <v>2025</v>
      </c>
      <c r="AO208" s="29" t="inlineStr">
        <is>
          <t>live case, no plan document yet</t>
        </is>
      </c>
      <c r="AP208" s="29" t="inlineStr">
        <is>
          <t>SAO PAULO</t>
        </is>
      </c>
      <c r="AQ208" s="29" t="inlineStr">
        <is>
          <t>SP</t>
        </is>
      </c>
      <c r="AR208" s="29" t="inlineStr">
        <is>
          <t>Sociedades de crédito ao microempreendedor</t>
        </is>
      </c>
      <c r="AS208" s="29" t="inlineStr">
        <is>
          <t>DEMAIS</t>
        </is>
      </c>
      <c r="AT208" s="29" t="inlineStr">
        <is>
          <t>MID-MARKET</t>
        </is>
      </c>
      <c r="AU208" s="29" t="inlineStr">
        <is>
          <t>11581339</t>
        </is>
      </c>
      <c r="AV208" s="29" t="n">
        <v>2</v>
      </c>
      <c r="AW208" s="29" t="inlineStr">
        <is>
          <t>ROWS:p3r28,p3r29 UNRECONCILED_SOURCE</t>
        </is>
      </c>
    </row>
    <row r="209">
      <c r="A209" s="15" t="inlineStr">
        <is>
          <t>BANCO DAYCOVAL S.A.</t>
        </is>
      </c>
      <c r="B209" s="16" t="n">
        <v>1201117.72</v>
      </c>
      <c r="C209" s="17" t="inlineStr"/>
      <c r="D209" s="18" t="inlineStr">
        <is>
          <t>NEW</t>
        </is>
      </c>
      <c r="E209" s="19" t="inlineStr"/>
      <c r="F209" s="18" t="inlineStr"/>
      <c r="G209" s="19" t="inlineStr"/>
      <c r="H209" s="18" t="inlineStr"/>
      <c r="I209" s="20" t="inlineStr">
        <is>
          <t>ADELY DAYAN HAMOUI</t>
        </is>
      </c>
      <c r="J209" s="20" t="inlineStr">
        <is>
          <t>Diretor</t>
        </is>
      </c>
      <c r="K209" s="20" t="inlineStr">
        <is>
          <t>(11) 3138-0500</t>
        </is>
      </c>
      <c r="L209" s="20" t="inlineStr"/>
      <c r="M209" s="20" t="inlineStr"/>
      <c r="N209" s="20" t="inlineStr"/>
      <c r="O209" s="20" t="inlineStr"/>
      <c r="P209" s="20" t="inlineStr">
        <is>
          <t>ALBERT ROUBEN</t>
        </is>
      </c>
      <c r="Q209" s="20" t="inlineStr">
        <is>
          <t>Diretor</t>
        </is>
      </c>
      <c r="R209" s="20" t="inlineStr">
        <is>
          <t>(11) 3138-0500</t>
        </is>
      </c>
      <c r="S209" s="20" t="inlineStr"/>
      <c r="T209" s="21" t="n">
        <v>1201117.72</v>
      </c>
      <c r="U209" s="22" t="inlineStr">
        <is>
          <t>B</t>
        </is>
      </c>
      <c r="V209" s="23">
        <f>IFERROR(VLOOKUP(U209,Assumptions!$A$7:$D$11,2,FALSE),0)</f>
        <v/>
      </c>
      <c r="W209" s="24">
        <f>MAX(0.5,IFERROR(VLOOKUP(U209,Assumptions!$A$7:$D$11,3,FALSE),3)+IFERROR(VLOOKUP(U209,Assumptions!$A$7:$D$11,4,FALSE),8)/2-IF(AN209="",0,YEAR(TODAY())-AN209))</f>
        <v/>
      </c>
      <c r="X209" s="21">
        <f>T209*V209/(1+Assumptions!$B$3)^W209</f>
        <v/>
      </c>
      <c r="Y209" s="25">
        <f>IF(T209=0,"",ROUND(X209/T209*100,1))</f>
        <v/>
      </c>
      <c r="Z209" s="26">
        <f>X209*Assumptions!$B$4</f>
        <v/>
      </c>
      <c r="AA209" s="25">
        <f>IF(T209=0,"",ROUND(Z209/T209*100,1))</f>
        <v/>
      </c>
      <c r="AB209" s="26">
        <f>X209-Z209</f>
        <v/>
      </c>
      <c r="AC209" s="25">
        <f>IF(T209=0,"",ROUND((X209-Z209)/T209*100,1))</f>
        <v/>
      </c>
      <c r="AD209" s="27" t="inlineStr">
        <is>
          <t>ESTIMATED</t>
        </is>
      </c>
      <c r="AE209" s="28" t="inlineStr">
        <is>
          <t>https://cataliseaj.com.br/sgc/download.php?file=files/processo_documento/processo_documento15092204102024_1_.pdf&amp;nome=02. RELAÇÃO DE CREDORES</t>
        </is>
      </c>
      <c r="AF209" s="27" t="inlineStr">
        <is>
          <t>p2 r13</t>
        </is>
      </c>
      <c r="AG209" s="27" t="inlineStr">
        <is>
          <t>p2: R$ 1.201.117,72</t>
        </is>
      </c>
      <c r="AH209" s="27" t="inlineStr">
        <is>
          <t>DEBTOR_LIST</t>
        </is>
      </c>
      <c r="AI209" s="27" t="inlineStr"/>
      <c r="AJ209" s="27" t="inlineStr">
        <is>
          <t>OK_NO_TOTALS</t>
        </is>
      </c>
      <c r="AK209" s="29" t="inlineStr">
        <is>
          <t>5011460-87.2023.8.24.0020</t>
        </is>
      </c>
      <c r="AL209" s="29" t="inlineStr">
        <is>
          <t>TJSC</t>
        </is>
      </c>
      <c r="AM209" s="29" t="inlineStr">
        <is>
          <t>ACTIVE</t>
        </is>
      </c>
      <c r="AN209" s="29" t="n">
        <v>2023</v>
      </c>
      <c r="AO209" s="29" t="inlineStr">
        <is>
          <t>live case, no plan document yet</t>
        </is>
      </c>
      <c r="AP209" s="29" t="inlineStr">
        <is>
          <t>SAO PAULO</t>
        </is>
      </c>
      <c r="AQ209" s="29" t="inlineStr">
        <is>
          <t>SP</t>
        </is>
      </c>
      <c r="AR209" s="29" t="inlineStr">
        <is>
          <t>Bancos múltiplos, com carteira comercial</t>
        </is>
      </c>
      <c r="AS209" s="29" t="inlineStr">
        <is>
          <t>DEMAIS</t>
        </is>
      </c>
      <c r="AT209" s="29" t="inlineStr">
        <is>
          <t>LARGE CORP</t>
        </is>
      </c>
      <c r="AU209" s="29" t="inlineStr">
        <is>
          <t>62232889</t>
        </is>
      </c>
      <c r="AV209" s="29" t="n">
        <v>1</v>
      </c>
      <c r="AW209" s="29" t="inlineStr">
        <is>
          <t>ROWS:p2r13 UNRECONCILED_SOURCE</t>
        </is>
      </c>
    </row>
    <row r="210">
      <c r="A210" s="15" t="inlineStr">
        <is>
          <t>BANCO DO NORDESTE DO BRASIL SA</t>
        </is>
      </c>
      <c r="B210" s="16" t="n">
        <v>2341598.97</v>
      </c>
      <c r="C210" s="17" t="inlineStr">
        <is>
          <t>DIAGSON DIAGNOSTICO EM ULTRA SONOGRAFIA MED FETAL LTDA - EM RECUPERACAO JUDICIAL</t>
        </is>
      </c>
      <c r="D210" s="18" t="inlineStr">
        <is>
          <t>NEW</t>
        </is>
      </c>
      <c r="E210" s="19" t="inlineStr"/>
      <c r="F210" s="18" t="inlineStr"/>
      <c r="G210" s="19" t="inlineStr"/>
      <c r="H210" s="18" t="inlineStr"/>
      <c r="I210" s="20" t="inlineStr">
        <is>
          <t>PAULO HENRIQUE SARAIVA CAMARA</t>
        </is>
      </c>
      <c r="J210" s="20" t="inlineStr">
        <is>
          <t>Presidente</t>
        </is>
      </c>
      <c r="K210" s="20" t="inlineStr">
        <is>
          <t>(85) 3299-3000</t>
        </is>
      </c>
      <c r="L210" s="20" t="inlineStr"/>
      <c r="M210" s="20" t="inlineStr"/>
      <c r="N210" s="20" t="inlineStr"/>
      <c r="O210" s="20" t="inlineStr"/>
      <c r="P210" s="20" t="inlineStr">
        <is>
          <t>ANA TERESA BARBOSA DE CARVALHO</t>
        </is>
      </c>
      <c r="Q210" s="20" t="inlineStr">
        <is>
          <t>Diretor</t>
        </is>
      </c>
      <c r="R210" s="20" t="inlineStr">
        <is>
          <t>(85) 3299-3000</t>
        </is>
      </c>
      <c r="S210" s="20" t="inlineStr"/>
      <c r="T210" s="21" t="n">
        <v>2341598.97</v>
      </c>
      <c r="U210" s="22" t="inlineStr">
        <is>
          <t>B</t>
        </is>
      </c>
      <c r="V210" s="23">
        <f>IFERROR(VLOOKUP(U210,Assumptions!$A$7:$D$11,2,FALSE),0)</f>
        <v/>
      </c>
      <c r="W210" s="24">
        <f>MAX(0.5,IFERROR(VLOOKUP(U210,Assumptions!$A$7:$D$11,3,FALSE),3)+IFERROR(VLOOKUP(U210,Assumptions!$A$7:$D$11,4,FALSE),8)/2-IF(AN210="",0,YEAR(TODAY())-AN210))</f>
        <v/>
      </c>
      <c r="X210" s="21">
        <f>T210*V210/(1+Assumptions!$B$3)^W210</f>
        <v/>
      </c>
      <c r="Y210" s="25">
        <f>IF(T210=0,"",ROUND(X210/T210*100,1))</f>
        <v/>
      </c>
      <c r="Z210" s="26">
        <f>X210*Assumptions!$B$4</f>
        <v/>
      </c>
      <c r="AA210" s="25">
        <f>IF(T210=0,"",ROUND(Z210/T210*100,1))</f>
        <v/>
      </c>
      <c r="AB210" s="26">
        <f>X210-Z210</f>
        <v/>
      </c>
      <c r="AC210" s="25">
        <f>IF(T210=0,"",ROUND((X210-Z210)/T210*100,1))</f>
        <v/>
      </c>
      <c r="AD210" s="27" t="inlineStr">
        <is>
          <t>ESTIMATED</t>
        </is>
      </c>
      <c r="AE210" s="28" t="inlineStr">
        <is>
          <t>https://lrflideres.com.br/wp-content/plugins/download-attachments/includes/download.php?id=7418</t>
        </is>
      </c>
      <c r="AF210" s="27" t="inlineStr">
        <is>
          <t>p2 r41</t>
        </is>
      </c>
      <c r="AG210" s="27" t="inlineStr">
        <is>
          <t>p2: R$ 2.341.598,97</t>
        </is>
      </c>
      <c r="AH210" s="27" t="inlineStr">
        <is>
          <t>DEBTOR_LIST</t>
        </is>
      </c>
      <c r="AI210" s="27" t="inlineStr">
        <is>
          <t>2026-07-28</t>
        </is>
      </c>
      <c r="AJ210" s="27" t="inlineStr">
        <is>
          <t>QUARANTINED</t>
        </is>
      </c>
      <c r="AK210" s="29" t="inlineStr">
        <is>
          <t>0822279-56.2026.8.15.2001</t>
        </is>
      </c>
      <c r="AL210" s="29" t="inlineStr">
        <is>
          <t>TJPB</t>
        </is>
      </c>
      <c r="AM210" s="29" t="inlineStr">
        <is>
          <t>ACTIVE</t>
        </is>
      </c>
      <c r="AN210" s="29" t="n">
        <v>2026</v>
      </c>
      <c r="AO210" s="29" t="inlineStr">
        <is>
          <t>live case, no plan document yet</t>
        </is>
      </c>
      <c r="AP210" s="29" t="inlineStr">
        <is>
          <t>FORTALEZA</t>
        </is>
      </c>
      <c r="AQ210" s="29" t="inlineStr">
        <is>
          <t>CE</t>
        </is>
      </c>
      <c r="AR210" s="29" t="inlineStr">
        <is>
          <t>Bancos múltiplos, com carteira comercial</t>
        </is>
      </c>
      <c r="AS210" s="29" t="inlineStr">
        <is>
          <t>DEMAIS</t>
        </is>
      </c>
      <c r="AT210" s="29" t="inlineStr">
        <is>
          <t>LARGE CORP</t>
        </is>
      </c>
      <c r="AU210" s="29" t="inlineStr">
        <is>
          <t>07237373</t>
        </is>
      </c>
      <c r="AV210" s="29" t="n">
        <v>1</v>
      </c>
      <c r="AW210" s="29" t="inlineStr">
        <is>
          <t>LIKELY_FINANCIAL_BY_NAME PARTIAL_DOC_CLASS_III_RECONCILED ROWS:p2r41</t>
        </is>
      </c>
    </row>
    <row r="211">
      <c r="A211" s="15" t="inlineStr">
        <is>
          <t>CAIXA ECONOMICA FEDERAL</t>
        </is>
      </c>
      <c r="B211" s="16" t="n">
        <v>3489161.6</v>
      </c>
      <c r="C211" s="17" t="inlineStr"/>
      <c r="D211" s="18" t="inlineStr">
        <is>
          <t>NEW</t>
        </is>
      </c>
      <c r="E211" s="19" t="inlineStr"/>
      <c r="F211" s="18" t="inlineStr"/>
      <c r="G211" s="19" t="inlineStr"/>
      <c r="H211" s="18" t="inlineStr"/>
      <c r="I211" s="20" t="inlineStr">
        <is>
          <t>ADRIANO ASSIS MATIAS</t>
        </is>
      </c>
      <c r="J211" s="20" t="inlineStr">
        <is>
          <t>Administrador</t>
        </is>
      </c>
      <c r="K211" s="20" t="inlineStr">
        <is>
          <t>(00) 4004-0104</t>
        </is>
      </c>
      <c r="L211" s="20" t="inlineStr"/>
      <c r="M211" s="20" t="inlineStr"/>
      <c r="N211" s="20" t="inlineStr"/>
      <c r="O211" s="20" t="inlineStr"/>
      <c r="P211" s="20" t="inlineStr">
        <is>
          <t>HENRIETE ALEXANDRA SARTORI BERNABE</t>
        </is>
      </c>
      <c r="Q211" s="20" t="inlineStr">
        <is>
          <t>Administrador</t>
        </is>
      </c>
      <c r="R211" s="20" t="inlineStr">
        <is>
          <t>(00) 4004-0104</t>
        </is>
      </c>
      <c r="S211" s="20" t="inlineStr"/>
      <c r="T211" s="21" t="n">
        <v>3489161.6</v>
      </c>
      <c r="U211" s="30" t="inlineStr">
        <is>
          <t>?</t>
        </is>
      </c>
      <c r="V211" s="23">
        <f>IFERROR(VLOOKUP(U211,Assumptions!$A$7:$D$11,2,FALSE),0)</f>
        <v/>
      </c>
      <c r="W211" s="24">
        <f>MAX(0.5,IFERROR(VLOOKUP(U211,Assumptions!$A$7:$D$11,3,FALSE),3)+IFERROR(VLOOKUP(U211,Assumptions!$A$7:$D$11,4,FALSE),8)/2-IF(AN211="",0,YEAR(TODAY())-AN211))</f>
        <v/>
      </c>
      <c r="X211" s="21">
        <f>T211*V211/(1+Assumptions!$B$3)^W211</f>
        <v/>
      </c>
      <c r="Y211" s="25">
        <f>IF(T211=0,"",ROUND(X211/T211*100,1))</f>
        <v/>
      </c>
      <c r="Z211" s="26">
        <f>X211*Assumptions!$B$4</f>
        <v/>
      </c>
      <c r="AA211" s="25">
        <f>IF(T211=0,"",ROUND(Z211/T211*100,1))</f>
        <v/>
      </c>
      <c r="AB211" s="26">
        <f>X211-Z211</f>
        <v/>
      </c>
      <c r="AC211" s="25">
        <f>IF(T211=0,"",ROUND((X211-Z211)/T211*100,1))</f>
        <v/>
      </c>
      <c r="AD211" s="27" t="inlineStr">
        <is>
          <t>UNKNOWN</t>
        </is>
      </c>
      <c r="AE211" s="28" t="inlineStr">
        <is>
          <t>https://ajruiz.com.br/sites/default/files/public/arquivos-processos/2023-11/4_relacao_de_credores_analitica_art._51_iii_da_lre.pdf</t>
        </is>
      </c>
      <c r="AF211" s="27" t="inlineStr">
        <is>
          <t>p2 r24</t>
        </is>
      </c>
      <c r="AG211" s="27" t="inlineStr">
        <is>
          <t>p2: R$ 3.489.161,60</t>
        </is>
      </c>
      <c r="AH211" s="27" t="inlineStr">
        <is>
          <t>UNKNOWN</t>
        </is>
      </c>
      <c r="AI211" s="27" t="inlineStr"/>
      <c r="AJ211" s="27" t="inlineStr">
        <is>
          <t>OK</t>
        </is>
      </c>
      <c r="AK211" s="29" t="inlineStr">
        <is>
          <t>(not printed)</t>
        </is>
      </c>
      <c r="AL211" s="29" t="inlineStr"/>
      <c r="AM211" s="29" t="inlineStr"/>
      <c r="AN211" s="29" t="inlineStr"/>
      <c r="AO211" s="29" t="inlineStr">
        <is>
          <t>RJ case number not identified on the document</t>
        </is>
      </c>
      <c r="AP211" s="29" t="inlineStr">
        <is>
          <t>BRASILIA</t>
        </is>
      </c>
      <c r="AQ211" s="29" t="inlineStr">
        <is>
          <t>DF</t>
        </is>
      </c>
      <c r="AR211" s="29" t="inlineStr">
        <is>
          <t>Caixas econômicas</t>
        </is>
      </c>
      <c r="AS211" s="29" t="inlineStr">
        <is>
          <t>DEMAIS</t>
        </is>
      </c>
      <c r="AT211" s="29" t="inlineStr">
        <is>
          <t>LARGE CORP</t>
        </is>
      </c>
      <c r="AU211" s="29" t="inlineStr">
        <is>
          <t>00360305</t>
        </is>
      </c>
      <c r="AV211" s="29" t="n">
        <v>1</v>
      </c>
      <c r="AW211" s="29" t="inlineStr">
        <is>
          <t>ALT_VALUE:BANCOS ROWS:p2r24 VALUE_COL:Valor_Do_Crédito CASE_NUMBER_CORRECTED</t>
        </is>
      </c>
    </row>
    <row r="212">
      <c r="A212" s="15" t="inlineStr">
        <is>
          <t>Cooperativa de Crédito Poupança e Investimento Celeiro Centro Oeste - Sicredi Celeiro Centro Oeste</t>
        </is>
      </c>
      <c r="B212" s="16" t="n">
        <v>1743000.52</v>
      </c>
      <c r="C212" s="17" t="inlineStr">
        <is>
          <t>COMERCIO RACOES BEM BOM LTDA</t>
        </is>
      </c>
      <c r="D212" s="18" t="inlineStr">
        <is>
          <t>NEW</t>
        </is>
      </c>
      <c r="E212" s="19" t="inlineStr"/>
      <c r="F212" s="18" t="inlineStr"/>
      <c r="G212" s="19" t="inlineStr"/>
      <c r="H212" s="18" t="inlineStr"/>
      <c r="I212" s="20" t="inlineStr"/>
      <c r="J212" s="20" t="inlineStr"/>
      <c r="K212" s="20" t="inlineStr"/>
      <c r="L212" s="20" t="inlineStr"/>
      <c r="M212" s="20" t="inlineStr"/>
      <c r="N212" s="20" t="inlineStr"/>
      <c r="O212" s="20" t="inlineStr"/>
      <c r="P212" s="20" t="inlineStr"/>
      <c r="Q212" s="20" t="inlineStr"/>
      <c r="R212" s="20" t="inlineStr"/>
      <c r="S212" s="20" t="inlineStr"/>
      <c r="T212" s="21" t="n">
        <v>1743000.52</v>
      </c>
      <c r="U212" s="32" t="inlineStr">
        <is>
          <t>A</t>
        </is>
      </c>
      <c r="V212" s="23">
        <f>IFERROR(VLOOKUP(U212,Assumptions!$A$7:$D$11,2,FALSE),0)</f>
        <v/>
      </c>
      <c r="W212" s="24">
        <f>MAX(0.5,IFERROR(VLOOKUP(U212,Assumptions!$A$7:$D$11,3,FALSE),3)+IFERROR(VLOOKUP(U212,Assumptions!$A$7:$D$11,4,FALSE),8)/2-IF(AN212="",0,YEAR(TODAY())-AN212))</f>
        <v/>
      </c>
      <c r="X212" s="21">
        <f>T212*V212/(1+Assumptions!$B$3)^W212</f>
        <v/>
      </c>
      <c r="Y212" s="25">
        <f>IF(T212=0,"",ROUND(X212/T212*100,1))</f>
        <v/>
      </c>
      <c r="Z212" s="26">
        <f>X212*Assumptions!$B$4</f>
        <v/>
      </c>
      <c r="AA212" s="25">
        <f>IF(T212=0,"",ROUND(Z212/T212*100,1))</f>
        <v/>
      </c>
      <c r="AB212" s="26">
        <f>X212-Z212</f>
        <v/>
      </c>
      <c r="AC212" s="25">
        <f>IF(T212=0,"",ROUND((X212-Z212)/T212*100,1))</f>
        <v/>
      </c>
      <c r="AD212" s="27" t="inlineStr">
        <is>
          <t>CONFIRMED</t>
        </is>
      </c>
      <c r="AE212" s="28" t="inlineStr">
        <is>
          <t>https://stenius.com.br/wp-content/uploads/2026/06/EDITAL-GRUPO-3E.pdf</t>
        </is>
      </c>
      <c r="AF212" s="27" t="inlineStr">
        <is>
          <t>p12 r10</t>
        </is>
      </c>
      <c r="AG212" s="27" t="inlineStr">
        <is>
          <t>p12: R$ 1.743.000,52</t>
        </is>
      </c>
      <c r="AH212" s="27" t="inlineStr">
        <is>
          <t>DEBTOR_LIST</t>
        </is>
      </c>
      <c r="AI212" s="27" t="inlineStr">
        <is>
          <t>2026-06-22</t>
        </is>
      </c>
      <c r="AJ212" s="27" t="inlineStr">
        <is>
          <t>OK_NO_TOTALS</t>
        </is>
      </c>
      <c r="AK212" s="29" t="inlineStr">
        <is>
          <t>5341375-33.2026.8.09.0049</t>
        </is>
      </c>
      <c r="AL212" s="29" t="inlineStr">
        <is>
          <t>TJGO</t>
        </is>
      </c>
      <c r="AM212" s="29" t="inlineStr">
        <is>
          <t>ACTIVE</t>
        </is>
      </c>
      <c r="AN212" s="29" t="n">
        <v>2026</v>
      </c>
      <c r="AO212" s="29" t="inlineStr">
        <is>
          <t>plan/homologation document found</t>
        </is>
      </c>
      <c r="AP212" s="29" t="inlineStr"/>
      <c r="AQ212" s="29" t="inlineStr"/>
      <c r="AR212" s="29" t="inlineStr"/>
      <c r="AS212" s="29" t="inlineStr"/>
      <c r="AT212" s="29" t="inlineStr">
        <is>
          <t>MID-MARKET</t>
        </is>
      </c>
      <c r="AU212" s="29" t="inlineStr">
        <is>
          <t>03566655</t>
        </is>
      </c>
      <c r="AV212" s="29" t="n">
        <v>1</v>
      </c>
      <c r="AW212" s="29" t="inlineStr">
        <is>
          <t>LIKELY_FINANCIAL_BY_NAME ROWS:p12r10 UNRECONCILED_SOURCE</t>
        </is>
      </c>
    </row>
    <row r="213">
      <c r="A213" s="15" t="inlineStr">
        <is>
          <t>CAIXA ECONOMICA FEDERAL</t>
        </is>
      </c>
      <c r="B213" s="16" t="n">
        <v>1850337.87</v>
      </c>
      <c r="C213" s="17" t="inlineStr">
        <is>
          <t>GRUPO TSI BRASIL LTDA</t>
        </is>
      </c>
      <c r="D213" s="18" t="inlineStr">
        <is>
          <t>NEW</t>
        </is>
      </c>
      <c r="E213" s="19" t="inlineStr"/>
      <c r="F213" s="18" t="inlineStr"/>
      <c r="G213" s="19" t="inlineStr"/>
      <c r="H213" s="18" t="inlineStr"/>
      <c r="I213" s="20" t="inlineStr">
        <is>
          <t>ADRIANO ASSIS MATIAS</t>
        </is>
      </c>
      <c r="J213" s="20" t="inlineStr">
        <is>
          <t>Administrador</t>
        </is>
      </c>
      <c r="K213" s="20" t="inlineStr">
        <is>
          <t>(00) 4004-0104</t>
        </is>
      </c>
      <c r="L213" s="20" t="inlineStr"/>
      <c r="M213" s="20" t="inlineStr"/>
      <c r="N213" s="20" t="inlineStr"/>
      <c r="O213" s="20" t="inlineStr"/>
      <c r="P213" s="20" t="inlineStr">
        <is>
          <t>HENRIETE ALEXANDRA SARTORI BERNABE</t>
        </is>
      </c>
      <c r="Q213" s="20" t="inlineStr">
        <is>
          <t>Administrador</t>
        </is>
      </c>
      <c r="R213" s="20" t="inlineStr">
        <is>
          <t>(00) 4004-0104</t>
        </is>
      </c>
      <c r="S213" s="20" t="inlineStr"/>
      <c r="T213" s="21" t="n">
        <v>1850337.87</v>
      </c>
      <c r="U213" s="22" t="inlineStr">
        <is>
          <t>B</t>
        </is>
      </c>
      <c r="V213" s="23">
        <f>IFERROR(VLOOKUP(U213,Assumptions!$A$7:$D$11,2,FALSE),0)</f>
        <v/>
      </c>
      <c r="W213" s="24">
        <f>MAX(0.5,IFERROR(VLOOKUP(U213,Assumptions!$A$7:$D$11,3,FALSE),3)+IFERROR(VLOOKUP(U213,Assumptions!$A$7:$D$11,4,FALSE),8)/2-IF(AN213="",0,YEAR(TODAY())-AN213))</f>
        <v/>
      </c>
      <c r="X213" s="21">
        <f>T213*V213/(1+Assumptions!$B$3)^W213</f>
        <v/>
      </c>
      <c r="Y213" s="25">
        <f>IF(T213=0,"",ROUND(X213/T213*100,1))</f>
        <v/>
      </c>
      <c r="Z213" s="26">
        <f>X213*Assumptions!$B$4</f>
        <v/>
      </c>
      <c r="AA213" s="25">
        <f>IF(T213=0,"",ROUND(Z213/T213*100,1))</f>
        <v/>
      </c>
      <c r="AB213" s="26">
        <f>X213-Z213</f>
        <v/>
      </c>
      <c r="AC213" s="25">
        <f>IF(T213=0,"",ROUND((X213-Z213)/T213*100,1))</f>
        <v/>
      </c>
      <c r="AD213" s="27" t="inlineStr">
        <is>
          <t>ESTIMATED</t>
        </is>
      </c>
      <c r="AE213" s="28" t="inlineStr">
        <is>
          <t>https://marquesadmjudicial.com.br/sgc/download.php?file=files/processo_documento/processo_documento09444722082025_1_.pdf&amp;nome=2° Edital - Relação de Credores AJ e PRJ</t>
        </is>
      </c>
      <c r="AF213" s="27" t="inlineStr">
        <is>
          <t>p2 r152</t>
        </is>
      </c>
      <c r="AG213" s="27" t="inlineStr">
        <is>
          <t>p2: R$ 1.850.337,87</t>
        </is>
      </c>
      <c r="AH213" s="27" t="inlineStr">
        <is>
          <t>AJ_LIST</t>
        </is>
      </c>
      <c r="AI213" s="27" t="inlineStr">
        <is>
          <t>2025-04-08</t>
        </is>
      </c>
      <c r="AJ213" s="27" t="inlineStr">
        <is>
          <t>OK_NO_TOTALS</t>
        </is>
      </c>
      <c r="AK213" s="29" t="inlineStr">
        <is>
          <t>0008897-71.2025.8.16.0017</t>
        </is>
      </c>
      <c r="AL213" s="29" t="inlineStr">
        <is>
          <t>TJPR</t>
        </is>
      </c>
      <c r="AM213" s="29" t="inlineStr">
        <is>
          <t>ACTIVE</t>
        </is>
      </c>
      <c r="AN213" s="29" t="n">
        <v>2025</v>
      </c>
      <c r="AO213" s="29" t="inlineStr">
        <is>
          <t>live case, no plan document yet</t>
        </is>
      </c>
      <c r="AP213" s="29" t="inlineStr">
        <is>
          <t>BRASILIA</t>
        </is>
      </c>
      <c r="AQ213" s="29" t="inlineStr">
        <is>
          <t>DF</t>
        </is>
      </c>
      <c r="AR213" s="29" t="inlineStr">
        <is>
          <t>Caixas econômicas</t>
        </is>
      </c>
      <c r="AS213" s="29" t="inlineStr">
        <is>
          <t>DEMAIS</t>
        </is>
      </c>
      <c r="AT213" s="29" t="inlineStr">
        <is>
          <t>LARGE CORP</t>
        </is>
      </c>
      <c r="AU213" s="29" t="inlineStr">
        <is>
          <t>00360305</t>
        </is>
      </c>
      <c r="AV213" s="29" t="n">
        <v>1</v>
      </c>
      <c r="AW213" s="29" t="inlineStr">
        <is>
          <t>LIKELY_FINANCIAL_BY_NAME ROWS:p2r152 UNRECONCILED_SOURCE</t>
        </is>
      </c>
    </row>
    <row r="214">
      <c r="A214" s="15" t="inlineStr">
        <is>
          <t>BANCO DAYCOVAL S.A.</t>
        </is>
      </c>
      <c r="B214" s="16" t="n">
        <v>1850000</v>
      </c>
      <c r="C214" s="17" t="inlineStr">
        <is>
          <t>FOREST S.A.</t>
        </is>
      </c>
      <c r="D214" s="18" t="inlineStr">
        <is>
          <t>NEW</t>
        </is>
      </c>
      <c r="E214" s="19" t="inlineStr"/>
      <c r="F214" s="18" t="inlineStr"/>
      <c r="G214" s="19" t="inlineStr"/>
      <c r="H214" s="18" t="inlineStr"/>
      <c r="I214" s="20" t="inlineStr">
        <is>
          <t>ADELY DAYAN HAMOUI</t>
        </is>
      </c>
      <c r="J214" s="20" t="inlineStr">
        <is>
          <t>Diretor</t>
        </is>
      </c>
      <c r="K214" s="20" t="inlineStr">
        <is>
          <t>(11) 3138-0500</t>
        </is>
      </c>
      <c r="L214" s="20" t="inlineStr"/>
      <c r="M214" s="20" t="inlineStr"/>
      <c r="N214" s="20" t="inlineStr"/>
      <c r="O214" s="20" t="inlineStr"/>
      <c r="P214" s="20" t="inlineStr">
        <is>
          <t>ALBERT ROUBEN</t>
        </is>
      </c>
      <c r="Q214" s="20" t="inlineStr">
        <is>
          <t>Diretor</t>
        </is>
      </c>
      <c r="R214" s="20" t="inlineStr">
        <is>
          <t>(11) 3138-0500</t>
        </is>
      </c>
      <c r="S214" s="20" t="inlineStr"/>
      <c r="T214" s="21" t="n">
        <v>1850000</v>
      </c>
      <c r="U214" s="22" t="inlineStr">
        <is>
          <t>B</t>
        </is>
      </c>
      <c r="V214" s="23">
        <f>IFERROR(VLOOKUP(U214,Assumptions!$A$7:$D$11,2,FALSE),0)</f>
        <v/>
      </c>
      <c r="W214" s="24">
        <f>MAX(0.5,IFERROR(VLOOKUP(U214,Assumptions!$A$7:$D$11,3,FALSE),3)+IFERROR(VLOOKUP(U214,Assumptions!$A$7:$D$11,4,FALSE),8)/2-IF(AN214="",0,YEAR(TODAY())-AN214))</f>
        <v/>
      </c>
      <c r="X214" s="21">
        <f>T214*V214/(1+Assumptions!$B$3)^W214</f>
        <v/>
      </c>
      <c r="Y214" s="25">
        <f>IF(T214=0,"",ROUND(X214/T214*100,1))</f>
        <v/>
      </c>
      <c r="Z214" s="26">
        <f>X214*Assumptions!$B$4</f>
        <v/>
      </c>
      <c r="AA214" s="25">
        <f>IF(T214=0,"",ROUND(Z214/T214*100,1))</f>
        <v/>
      </c>
      <c r="AB214" s="26">
        <f>X214-Z214</f>
        <v/>
      </c>
      <c r="AC214" s="25">
        <f>IF(T214=0,"",ROUND((X214-Z214)/T214*100,1))</f>
        <v/>
      </c>
      <c r="AD214" s="27" t="inlineStr">
        <is>
          <t>ESTIMATED</t>
        </is>
      </c>
      <c r="AE214" s="28" t="inlineStr">
        <is>
          <t>https://administradorajudicialgs.com.br/wp-content/uploads/2025/09/relacao-de-credores-forest-sa.pdf</t>
        </is>
      </c>
      <c r="AF214" s="27" t="inlineStr">
        <is>
          <t>p12 r1</t>
        </is>
      </c>
      <c r="AG214" s="27" t="inlineStr">
        <is>
          <t>p12: R$ 1.850.000,00</t>
        </is>
      </c>
      <c r="AH214" s="27" t="inlineStr">
        <is>
          <t>AJ_LIST</t>
        </is>
      </c>
      <c r="AI214" s="27" t="inlineStr">
        <is>
          <t>2025-08-01</t>
        </is>
      </c>
      <c r="AJ214" s="27" t="inlineStr">
        <is>
          <t>OK_NO_TOTALS</t>
        </is>
      </c>
      <c r="AK214" s="29" t="inlineStr">
        <is>
          <t>0026395-77.2025.8.16.0019</t>
        </is>
      </c>
      <c r="AL214" s="29" t="inlineStr">
        <is>
          <t>TJPR</t>
        </is>
      </c>
      <c r="AM214" s="29" t="inlineStr">
        <is>
          <t>ACTIVE</t>
        </is>
      </c>
      <c r="AN214" s="29" t="n">
        <v>2025</v>
      </c>
      <c r="AO214" s="29" t="inlineStr">
        <is>
          <t>live case, no plan document yet</t>
        </is>
      </c>
      <c r="AP214" s="29" t="inlineStr">
        <is>
          <t>SAO PAULO</t>
        </is>
      </c>
      <c r="AQ214" s="29" t="inlineStr">
        <is>
          <t>SP</t>
        </is>
      </c>
      <c r="AR214" s="29" t="inlineStr">
        <is>
          <t>Bancos múltiplos, com carteira comercial</t>
        </is>
      </c>
      <c r="AS214" s="29" t="inlineStr">
        <is>
          <t>DEMAIS</t>
        </is>
      </c>
      <c r="AT214" s="29" t="inlineStr">
        <is>
          <t>LARGE CORP</t>
        </is>
      </c>
      <c r="AU214" s="29" t="inlineStr">
        <is>
          <t>62232889</t>
        </is>
      </c>
      <c r="AV214" s="29" t="n">
        <v>1</v>
      </c>
      <c r="AW214" s="29" t="inlineStr">
        <is>
          <t>LIKELY_FINANCIAL_BY_NAME ROWS:p12r1 UNRECONCILED_SOURCE CASE_NUMBER_CORRECTED</t>
        </is>
      </c>
    </row>
    <row r="215">
      <c r="A215" s="15" t="inlineStr">
        <is>
          <t>URA AGRO FUNDO DE INVESTIMENTO EM DIREIT</t>
        </is>
      </c>
      <c r="B215" s="16" t="n">
        <v>1849550.98</v>
      </c>
      <c r="C215" s="17" t="inlineStr">
        <is>
          <t>NORTESUL COMERCIAL AGRICOLA LTDA EM RECUPERACAO JUDICIAL</t>
        </is>
      </c>
      <c r="D215" s="18" t="inlineStr">
        <is>
          <t>NEW</t>
        </is>
      </c>
      <c r="E215" s="19" t="inlineStr"/>
      <c r="F215" s="18" t="inlineStr"/>
      <c r="G215" s="19" t="inlineStr"/>
      <c r="H215" s="18" t="inlineStr"/>
      <c r="I215" s="20" t="inlineStr"/>
      <c r="J215" s="20" t="inlineStr"/>
      <c r="K215" s="20" t="inlineStr"/>
      <c r="L215" s="20" t="inlineStr"/>
      <c r="M215" s="20" t="inlineStr"/>
      <c r="N215" s="20" t="inlineStr"/>
      <c r="O215" s="20" t="inlineStr"/>
      <c r="P215" s="20" t="inlineStr"/>
      <c r="Q215" s="20" t="inlineStr"/>
      <c r="R215" s="20" t="inlineStr"/>
      <c r="S215" s="20" t="inlineStr"/>
      <c r="T215" s="21" t="n">
        <v>1849550.98</v>
      </c>
      <c r="U215" s="22" t="inlineStr">
        <is>
          <t>B</t>
        </is>
      </c>
      <c r="V215" s="23">
        <f>IFERROR(VLOOKUP(U215,Assumptions!$A$7:$D$11,2,FALSE),0)</f>
        <v/>
      </c>
      <c r="W215" s="24">
        <f>MAX(0.5,IFERROR(VLOOKUP(U215,Assumptions!$A$7:$D$11,3,FALSE),3)+IFERROR(VLOOKUP(U215,Assumptions!$A$7:$D$11,4,FALSE),8)/2-IF(AN215="",0,YEAR(TODAY())-AN215))</f>
        <v/>
      </c>
      <c r="X215" s="21">
        <f>T215*V215/(1+Assumptions!$B$3)^W215</f>
        <v/>
      </c>
      <c r="Y215" s="25">
        <f>IF(T215=0,"",ROUND(X215/T215*100,1))</f>
        <v/>
      </c>
      <c r="Z215" s="26">
        <f>X215*Assumptions!$B$4</f>
        <v/>
      </c>
      <c r="AA215" s="25">
        <f>IF(T215=0,"",ROUND(Z215/T215*100,1))</f>
        <v/>
      </c>
      <c r="AB215" s="26">
        <f>X215-Z215</f>
        <v/>
      </c>
      <c r="AC215" s="25">
        <f>IF(T215=0,"",ROUND((X215-Z215)/T215*100,1))</f>
        <v/>
      </c>
      <c r="AD215" s="27" t="inlineStr">
        <is>
          <t>ESTIMATED</t>
        </is>
      </c>
      <c r="AE215" s="28" t="inlineStr">
        <is>
          <t>https://lrflideres.com.br/wp-content/plugins/download-attachments/includes/download.php?id=6879</t>
        </is>
      </c>
      <c r="AF215" s="27" t="inlineStr">
        <is>
          <t>p2 r12</t>
        </is>
      </c>
      <c r="AG215" s="27" t="inlineStr">
        <is>
          <t>p2: R$ 1.849.550,98</t>
        </is>
      </c>
      <c r="AH215" s="27" t="inlineStr">
        <is>
          <t>AJ_LIST</t>
        </is>
      </c>
      <c r="AI215" s="27" t="inlineStr">
        <is>
          <t>2026-01-15</t>
        </is>
      </c>
      <c r="AJ215" s="27" t="inlineStr">
        <is>
          <t>OK</t>
        </is>
      </c>
      <c r="AK215" s="29" t="inlineStr">
        <is>
          <t>0804401-51.2025.8.14.0039</t>
        </is>
      </c>
      <c r="AL215" s="29" t="inlineStr">
        <is>
          <t>TJPA</t>
        </is>
      </c>
      <c r="AM215" s="29" t="inlineStr">
        <is>
          <t>ACTIVE</t>
        </is>
      </c>
      <c r="AN215" s="29" t="n">
        <v>2025</v>
      </c>
      <c r="AO215" s="29" t="inlineStr">
        <is>
          <t>live case, no plan document yet</t>
        </is>
      </c>
      <c r="AP215" s="29" t="inlineStr"/>
      <c r="AQ215" s="29" t="inlineStr"/>
      <c r="AR215" s="29" t="inlineStr"/>
      <c r="AS215" s="29" t="inlineStr"/>
      <c r="AT215" s="29" t="inlineStr">
        <is>
          <t>MID-MARKET</t>
        </is>
      </c>
      <c r="AU215" s="29" t="inlineStr">
        <is>
          <t>25382606</t>
        </is>
      </c>
      <c r="AV215" s="29" t="n">
        <v>1</v>
      </c>
      <c r="AW215" s="29" t="inlineStr">
        <is>
          <t>LIKELY_FINANCIAL_BY_NAME ROWS:p2r12</t>
        </is>
      </c>
    </row>
    <row r="216">
      <c r="A216" s="15" t="inlineStr">
        <is>
          <t>Banco John Deere S.A.</t>
        </is>
      </c>
      <c r="B216" s="16" t="n">
        <v>1728493.23</v>
      </c>
      <c r="C216" s="17" t="inlineStr">
        <is>
          <t>COMERCIO RACOES BEM BOM LTDA</t>
        </is>
      </c>
      <c r="D216" s="18" t="inlineStr">
        <is>
          <t>NEW</t>
        </is>
      </c>
      <c r="E216" s="19" t="inlineStr"/>
      <c r="F216" s="18" t="inlineStr"/>
      <c r="G216" s="19" t="inlineStr"/>
      <c r="H216" s="18" t="inlineStr"/>
      <c r="I216" s="20" t="inlineStr"/>
      <c r="J216" s="20" t="inlineStr"/>
      <c r="K216" s="20" t="inlineStr"/>
      <c r="L216" s="20" t="inlineStr"/>
      <c r="M216" s="20" t="inlineStr"/>
      <c r="N216" s="20" t="inlineStr"/>
      <c r="O216" s="20" t="inlineStr"/>
      <c r="P216" s="20" t="inlineStr"/>
      <c r="Q216" s="20" t="inlineStr"/>
      <c r="R216" s="20" t="inlineStr"/>
      <c r="S216" s="20" t="inlineStr"/>
      <c r="T216" s="21" t="n">
        <v>1728493.23</v>
      </c>
      <c r="U216" s="32" t="inlineStr">
        <is>
          <t>A</t>
        </is>
      </c>
      <c r="V216" s="23">
        <f>IFERROR(VLOOKUP(U216,Assumptions!$A$7:$D$11,2,FALSE),0)</f>
        <v/>
      </c>
      <c r="W216" s="24">
        <f>MAX(0.5,IFERROR(VLOOKUP(U216,Assumptions!$A$7:$D$11,3,FALSE),3)+IFERROR(VLOOKUP(U216,Assumptions!$A$7:$D$11,4,FALSE),8)/2-IF(AN216="",0,YEAR(TODAY())-AN216))</f>
        <v/>
      </c>
      <c r="X216" s="21">
        <f>T216*V216/(1+Assumptions!$B$3)^W216</f>
        <v/>
      </c>
      <c r="Y216" s="25">
        <f>IF(T216=0,"",ROUND(X216/T216*100,1))</f>
        <v/>
      </c>
      <c r="Z216" s="26">
        <f>X216*Assumptions!$B$4</f>
        <v/>
      </c>
      <c r="AA216" s="25">
        <f>IF(T216=0,"",ROUND(Z216/T216*100,1))</f>
        <v/>
      </c>
      <c r="AB216" s="26">
        <f>X216-Z216</f>
        <v/>
      </c>
      <c r="AC216" s="25">
        <f>IF(T216=0,"",ROUND((X216-Z216)/T216*100,1))</f>
        <v/>
      </c>
      <c r="AD216" s="27" t="inlineStr">
        <is>
          <t>CONFIRMED</t>
        </is>
      </c>
      <c r="AE216" s="28" t="inlineStr">
        <is>
          <t>https://stenius.com.br/wp-content/uploads/2026/06/EDITAL-GRUPO-3E.pdf</t>
        </is>
      </c>
      <c r="AF216" s="27" t="inlineStr">
        <is>
          <t>p10 r37</t>
        </is>
      </c>
      <c r="AG216" s="27" t="inlineStr">
        <is>
          <t>p10: R$ 1.728.493,23</t>
        </is>
      </c>
      <c r="AH216" s="27" t="inlineStr">
        <is>
          <t>DEBTOR_LIST</t>
        </is>
      </c>
      <c r="AI216" s="27" t="inlineStr">
        <is>
          <t>2026-06-22</t>
        </is>
      </c>
      <c r="AJ216" s="27" t="inlineStr">
        <is>
          <t>OK_NO_TOTALS</t>
        </is>
      </c>
      <c r="AK216" s="29" t="inlineStr">
        <is>
          <t>5341375-33.2026.8.09.0049</t>
        </is>
      </c>
      <c r="AL216" s="29" t="inlineStr">
        <is>
          <t>TJGO</t>
        </is>
      </c>
      <c r="AM216" s="29" t="inlineStr">
        <is>
          <t>ACTIVE</t>
        </is>
      </c>
      <c r="AN216" s="29" t="n">
        <v>2026</v>
      </c>
      <c r="AO216" s="29" t="inlineStr">
        <is>
          <t>plan/homologation document found</t>
        </is>
      </c>
      <c r="AP216" s="29" t="inlineStr"/>
      <c r="AQ216" s="29" t="inlineStr"/>
      <c r="AR216" s="29" t="inlineStr"/>
      <c r="AS216" s="29" t="inlineStr"/>
      <c r="AT216" s="29" t="inlineStr">
        <is>
          <t>MID-MARKET</t>
        </is>
      </c>
      <c r="AU216" s="29" t="inlineStr">
        <is>
          <t>91884981</t>
        </is>
      </c>
      <c r="AV216" s="29" t="n">
        <v>1</v>
      </c>
      <c r="AW216" s="29" t="inlineStr">
        <is>
          <t>LIKELY_FINANCIAL_BY_NAME ROWS:p10r37 UNRECONCILED_SOURCE</t>
        </is>
      </c>
    </row>
    <row r="217">
      <c r="A217" s="15" t="inlineStr">
        <is>
          <t>COOPERATIVA DE CREDITO POUPANCA E INVESTIMENTO DO ARAGUAIA E XINGU SICREDI ARAXINGU</t>
        </is>
      </c>
      <c r="B217" s="16" t="n">
        <v>2198652.05</v>
      </c>
      <c r="C217" s="17" t="inlineStr"/>
      <c r="D217" s="18" t="inlineStr">
        <is>
          <t>NEW</t>
        </is>
      </c>
      <c r="E217" s="19" t="inlineStr"/>
      <c r="F217" s="18" t="inlineStr"/>
      <c r="G217" s="19" t="inlineStr"/>
      <c r="H217" s="18" t="inlineStr"/>
      <c r="I217" s="20" t="inlineStr"/>
      <c r="J217" s="20" t="inlineStr"/>
      <c r="K217" s="20" t="inlineStr"/>
      <c r="L217" s="20" t="inlineStr"/>
      <c r="M217" s="20" t="inlineStr"/>
      <c r="N217" s="20" t="inlineStr"/>
      <c r="O217" s="20" t="inlineStr"/>
      <c r="P217" s="20" t="inlineStr"/>
      <c r="Q217" s="20" t="inlineStr"/>
      <c r="R217" s="20" t="inlineStr"/>
      <c r="S217" s="20" t="inlineStr"/>
      <c r="T217" s="21" t="n">
        <v>2198652.05</v>
      </c>
      <c r="U217" s="22" t="inlineStr">
        <is>
          <t>B</t>
        </is>
      </c>
      <c r="V217" s="23">
        <f>IFERROR(VLOOKUP(U217,Assumptions!$A$7:$D$11,2,FALSE),0)</f>
        <v/>
      </c>
      <c r="W217" s="24">
        <f>MAX(0.5,IFERROR(VLOOKUP(U217,Assumptions!$A$7:$D$11,3,FALSE),3)+IFERROR(VLOOKUP(U217,Assumptions!$A$7:$D$11,4,FALSE),8)/2-IF(AN217="",0,YEAR(TODAY())-AN217))</f>
        <v/>
      </c>
      <c r="X217" s="21">
        <f>T217*V217/(1+Assumptions!$B$3)^W217</f>
        <v/>
      </c>
      <c r="Y217" s="25">
        <f>IF(T217=0,"",ROUND(X217/T217*100,1))</f>
        <v/>
      </c>
      <c r="Z217" s="26">
        <f>X217*Assumptions!$B$4</f>
        <v/>
      </c>
      <c r="AA217" s="25">
        <f>IF(T217=0,"",ROUND(Z217/T217*100,1))</f>
        <v/>
      </c>
      <c r="AB217" s="26">
        <f>X217-Z217</f>
        <v/>
      </c>
      <c r="AC217" s="25">
        <f>IF(T217=0,"",ROUND((X217-Z217)/T217*100,1))</f>
        <v/>
      </c>
      <c r="AD217" s="27" t="inlineStr">
        <is>
          <t>ESTIMATED</t>
        </is>
      </c>
      <c r="AE217" s="28" t="inlineStr">
        <is>
          <t>https://stenius.com.br/wp-content/uploads/2026/07/EDITAL-1-RELACAO-DE-CREDORES-GRUPO-GE.pdf</t>
        </is>
      </c>
      <c r="AF217" s="27" t="inlineStr">
        <is>
          <t>p5 r34; p6 r1; p6 r2; p6 r3</t>
        </is>
      </c>
      <c r="AG217" s="27" t="inlineStr">
        <is>
          <t>p5: R$ 354.375,50; p6: R$ 500.000,00; p6: R$ 577.790,22; p6: R$ 766.486,33</t>
        </is>
      </c>
      <c r="AH217" s="27" t="inlineStr">
        <is>
          <t>DEBTOR_LIST</t>
        </is>
      </c>
      <c r="AI217" s="27" t="inlineStr">
        <is>
          <t>2026-07-01</t>
        </is>
      </c>
      <c r="AJ217" s="27" t="inlineStr">
        <is>
          <t>OK_NO_TOTALS</t>
        </is>
      </c>
      <c r="AK217" s="29" t="inlineStr">
        <is>
          <t>5164979-18.2026.8.09.0110</t>
        </is>
      </c>
      <c r="AL217" s="29" t="inlineStr">
        <is>
          <t>TJGO</t>
        </is>
      </c>
      <c r="AM217" s="29" t="inlineStr">
        <is>
          <t>ACTIVE</t>
        </is>
      </c>
      <c r="AN217" s="29" t="n">
        <v>2026</v>
      </c>
      <c r="AO217" s="29" t="inlineStr">
        <is>
          <t>live case, no plan document yet</t>
        </is>
      </c>
      <c r="AP217" s="29" t="inlineStr"/>
      <c r="AQ217" s="29" t="inlineStr"/>
      <c r="AR217" s="29" t="inlineStr"/>
      <c r="AS217" s="29" t="inlineStr"/>
      <c r="AT217" s="29" t="inlineStr">
        <is>
          <t>MID-MARKET</t>
        </is>
      </c>
      <c r="AU217" s="29" t="inlineStr">
        <is>
          <t>33021064</t>
        </is>
      </c>
      <c r="AV217" s="29" t="n">
        <v>4</v>
      </c>
      <c r="AW217" s="29" t="inlineStr">
        <is>
          <t>LIKELY_FINANCIAL_BY_NAME ROWS:p5r34,p6r1,p6r2,p6r3 UNRECONCILED_SOURCE</t>
        </is>
      </c>
    </row>
    <row r="218">
      <c r="A218" s="15" t="inlineStr">
        <is>
          <t>BANCO DO BRASIL SA</t>
        </is>
      </c>
      <c r="B218" s="16" t="n">
        <v>1125316.46</v>
      </c>
      <c r="C218" s="17" t="inlineStr">
        <is>
          <t>GAMAC IMPORTACAO E EXPORTACAO LTDA</t>
        </is>
      </c>
      <c r="D218" s="18" t="inlineStr">
        <is>
          <t>NEW</t>
        </is>
      </c>
      <c r="E218" s="19" t="inlineStr"/>
      <c r="F218" s="18" t="inlineStr"/>
      <c r="G218" s="19" t="inlineStr"/>
      <c r="H218" s="18" t="inlineStr"/>
      <c r="I218" s="20" t="inlineStr">
        <is>
          <t>TARCIANA PAULA GOMES MEDEIROS</t>
        </is>
      </c>
      <c r="J218" s="20" t="inlineStr">
        <is>
          <t>Presidente</t>
        </is>
      </c>
      <c r="K218" s="20" t="inlineStr">
        <is>
          <t>(61) 3493-9002</t>
        </is>
      </c>
      <c r="L218" s="20" t="inlineStr"/>
      <c r="M218" s="20" t="inlineStr"/>
      <c r="N218" s="20" t="inlineStr"/>
      <c r="O218" s="20" t="inlineStr"/>
      <c r="P218" s="20" t="inlineStr">
        <is>
          <t>ALAN CARLOS GUEDES DE OLIVEIRA</t>
        </is>
      </c>
      <c r="Q218" s="20" t="inlineStr">
        <is>
          <t>Diretor</t>
        </is>
      </c>
      <c r="R218" s="20" t="inlineStr">
        <is>
          <t>(61) 3493-9002</t>
        </is>
      </c>
      <c r="S218" s="20" t="inlineStr"/>
      <c r="T218" s="21" t="n">
        <v>1125316.46</v>
      </c>
      <c r="U218" s="22" t="inlineStr">
        <is>
          <t>B</t>
        </is>
      </c>
      <c r="V218" s="23">
        <f>IFERROR(VLOOKUP(U218,Assumptions!$A$7:$D$11,2,FALSE),0)</f>
        <v/>
      </c>
      <c r="W218" s="24">
        <f>MAX(0.5,IFERROR(VLOOKUP(U218,Assumptions!$A$7:$D$11,3,FALSE),3)+IFERROR(VLOOKUP(U218,Assumptions!$A$7:$D$11,4,FALSE),8)/2-IF(AN218="",0,YEAR(TODAY())-AN218))</f>
        <v/>
      </c>
      <c r="X218" s="21">
        <f>T218*V218/(1+Assumptions!$B$3)^W218</f>
        <v/>
      </c>
      <c r="Y218" s="25">
        <f>IF(T218=0,"",ROUND(X218/T218*100,1))</f>
        <v/>
      </c>
      <c r="Z218" s="26">
        <f>X218*Assumptions!$B$4</f>
        <v/>
      </c>
      <c r="AA218" s="25">
        <f>IF(T218=0,"",ROUND(Z218/T218*100,1))</f>
        <v/>
      </c>
      <c r="AB218" s="26">
        <f>X218-Z218</f>
        <v/>
      </c>
      <c r="AC218" s="25">
        <f>IF(T218=0,"",ROUND((X218-Z218)/T218*100,1))</f>
        <v/>
      </c>
      <c r="AD218" s="27" t="inlineStr">
        <is>
          <t>ESTIMATED</t>
        </is>
      </c>
      <c r="AE218" s="28" t="inlineStr">
        <is>
          <t>https://scalzilliaj.com.br/sgc/download.php?file=files/processo_documento/processo_documento10141405032024_1_.pdf&amp;nome=10 - Edital do art. 7º, §2º da Lei 11.101/2005 (segunda lista de credores)</t>
        </is>
      </c>
      <c r="AF218" s="27" t="inlineStr">
        <is>
          <t>p1 r10</t>
        </is>
      </c>
      <c r="AG218" s="27" t="inlineStr">
        <is>
          <t>p1: R$ 1.125.316,46</t>
        </is>
      </c>
      <c r="AH218" s="27" t="inlineStr">
        <is>
          <t>QGC</t>
        </is>
      </c>
      <c r="AI218" s="27" t="inlineStr">
        <is>
          <t>2024-03-05</t>
        </is>
      </c>
      <c r="AJ218" s="27" t="inlineStr">
        <is>
          <t>OK_NO_TOTALS</t>
        </is>
      </c>
      <c r="AK218" s="29" t="inlineStr">
        <is>
          <t>5012295-78.2023.8.24.0019</t>
        </is>
      </c>
      <c r="AL218" s="29" t="inlineStr">
        <is>
          <t>TJSC</t>
        </is>
      </c>
      <c r="AM218" s="29" t="inlineStr">
        <is>
          <t>ACTIVE</t>
        </is>
      </c>
      <c r="AN218" s="29" t="n">
        <v>2023</v>
      </c>
      <c r="AO218" s="29" t="inlineStr">
        <is>
          <t>live case, no plan document yet</t>
        </is>
      </c>
      <c r="AP218" s="29" t="inlineStr">
        <is>
          <t>BRASILIA</t>
        </is>
      </c>
      <c r="AQ218" s="29" t="inlineStr">
        <is>
          <t>DF</t>
        </is>
      </c>
      <c r="AR218" s="29" t="inlineStr">
        <is>
          <t>Bancos múltiplos, com carteira comercial</t>
        </is>
      </c>
      <c r="AS218" s="29" t="inlineStr">
        <is>
          <t>DEMAIS</t>
        </is>
      </c>
      <c r="AT218" s="29" t="inlineStr">
        <is>
          <t>LARGE CORP</t>
        </is>
      </c>
      <c r="AU218" s="29" t="inlineStr">
        <is>
          <t>00000000</t>
        </is>
      </c>
      <c r="AV218" s="29" t="n">
        <v>1</v>
      </c>
      <c r="AW218" s="29" t="inlineStr">
        <is>
          <t>LIKELY_FINANCIAL_BY_NAME ROWS:p1r10 UNRECONCILED_SOURCE</t>
        </is>
      </c>
    </row>
    <row r="219">
      <c r="A219" s="15" t="inlineStr">
        <is>
          <t>ITAU UNIBANCO S.A.</t>
        </is>
      </c>
      <c r="B219" s="16" t="n">
        <v>3279415.79</v>
      </c>
      <c r="C219" s="17" t="inlineStr"/>
      <c r="D219" s="18" t="inlineStr">
        <is>
          <t>NEW</t>
        </is>
      </c>
      <c r="E219" s="19" t="inlineStr"/>
      <c r="F219" s="18" t="inlineStr"/>
      <c r="G219" s="19" t="inlineStr"/>
      <c r="H219" s="18" t="inlineStr"/>
      <c r="I219" s="20" t="inlineStr">
        <is>
          <t>FELIPE SAMPAIO NABUCO</t>
        </is>
      </c>
      <c r="J219" s="20" t="inlineStr">
        <is>
          <t>Administrador</t>
        </is>
      </c>
      <c r="K219" s="20" t="inlineStr">
        <is>
          <t>(11) 3003-4828</t>
        </is>
      </c>
      <c r="L219" s="20" t="inlineStr"/>
      <c r="M219" s="20" t="inlineStr"/>
      <c r="N219" s="20" t="inlineStr"/>
      <c r="O219" s="20" t="inlineStr"/>
      <c r="P219" s="20" t="inlineStr">
        <is>
          <t>MILTON MALUHY FILHO</t>
        </is>
      </c>
      <c r="Q219" s="20" t="inlineStr">
        <is>
          <t>Presidente</t>
        </is>
      </c>
      <c r="R219" s="20" t="inlineStr">
        <is>
          <t>(11) 3003-4828</t>
        </is>
      </c>
      <c r="S219" s="20" t="inlineStr"/>
      <c r="T219" s="21" t="n">
        <v>3279415.79</v>
      </c>
      <c r="U219" s="30" t="inlineStr">
        <is>
          <t>?</t>
        </is>
      </c>
      <c r="V219" s="23">
        <f>IFERROR(VLOOKUP(U219,Assumptions!$A$7:$D$11,2,FALSE),0)</f>
        <v/>
      </c>
      <c r="W219" s="24">
        <f>MAX(0.5,IFERROR(VLOOKUP(U219,Assumptions!$A$7:$D$11,3,FALSE),3)+IFERROR(VLOOKUP(U219,Assumptions!$A$7:$D$11,4,FALSE),8)/2-IF(AN219="",0,YEAR(TODAY())-AN219))</f>
        <v/>
      </c>
      <c r="X219" s="21">
        <f>T219*V219/(1+Assumptions!$B$3)^W219</f>
        <v/>
      </c>
      <c r="Y219" s="25">
        <f>IF(T219=0,"",ROUND(X219/T219*100,1))</f>
        <v/>
      </c>
      <c r="Z219" s="26">
        <f>X219*Assumptions!$B$4</f>
        <v/>
      </c>
      <c r="AA219" s="25">
        <f>IF(T219=0,"",ROUND(Z219/T219*100,1))</f>
        <v/>
      </c>
      <c r="AB219" s="26">
        <f>X219-Z219</f>
        <v/>
      </c>
      <c r="AC219" s="25">
        <f>IF(T219=0,"",ROUND((X219-Z219)/T219*100,1))</f>
        <v/>
      </c>
      <c r="AD219" s="27" t="inlineStr">
        <is>
          <t>UNKNOWN</t>
        </is>
      </c>
      <c r="AE219" s="28" t="inlineStr">
        <is>
          <t>http://bernardobicalho.com.br/login/app/documents/Rela%C3%A7%C3%A3o%20de%20Credores/6.%20RVC-%20Nutricium%20-%20simplificada.pdf</t>
        </is>
      </c>
      <c r="AF219" s="27" t="inlineStr">
        <is>
          <t>p3 r4</t>
        </is>
      </c>
      <c r="AG219" s="27" t="inlineStr">
        <is>
          <t>p3: R$ 3.279.415,79</t>
        </is>
      </c>
      <c r="AH219" s="27" t="inlineStr">
        <is>
          <t>AJ_LIST</t>
        </is>
      </c>
      <c r="AI219" s="27" t="inlineStr"/>
      <c r="AJ219" s="27" t="inlineStr">
        <is>
          <t>OK</t>
        </is>
      </c>
      <c r="AK219" s="29" t="inlineStr">
        <is>
          <t>(not printed)</t>
        </is>
      </c>
      <c r="AL219" s="29" t="inlineStr"/>
      <c r="AM219" s="29" t="inlineStr"/>
      <c r="AN219" s="29" t="inlineStr"/>
      <c r="AO219" s="29" t="inlineStr">
        <is>
          <t>RJ case number not identified on the document</t>
        </is>
      </c>
      <c r="AP219" s="29" t="inlineStr">
        <is>
          <t>SAO PAULO</t>
        </is>
      </c>
      <c r="AQ219" s="29" t="inlineStr">
        <is>
          <t>SP</t>
        </is>
      </c>
      <c r="AR219" s="29" t="inlineStr">
        <is>
          <t>Bancos comerciais</t>
        </is>
      </c>
      <c r="AS219" s="29" t="inlineStr">
        <is>
          <t>DEMAIS</t>
        </is>
      </c>
      <c r="AT219" s="29" t="inlineStr">
        <is>
          <t>LARGE CORP</t>
        </is>
      </c>
      <c r="AU219" s="29" t="inlineStr">
        <is>
          <t>60701190</t>
        </is>
      </c>
      <c r="AV219" s="29" t="n">
        <v>1</v>
      </c>
      <c r="AW219" s="29" t="inlineStr">
        <is>
          <t>CASE_NUMBER_MISSING LIKELY_FINANCIAL_BY_NAME ROWS:p3r4</t>
        </is>
      </c>
    </row>
    <row r="220">
      <c r="A220" s="15" t="inlineStr">
        <is>
          <t>Banco Cooperativo Sicredi S.A.</t>
        </is>
      </c>
      <c r="B220" s="16" t="n">
        <v>1110075.23</v>
      </c>
      <c r="C220" s="17" t="inlineStr">
        <is>
          <t>ADVOCACIA WANDERLEI DE PAULA BARRETO</t>
        </is>
      </c>
      <c r="D220" s="18" t="inlineStr">
        <is>
          <t>NEW</t>
        </is>
      </c>
      <c r="E220" s="19" t="inlineStr"/>
      <c r="F220" s="18" t="inlineStr"/>
      <c r="G220" s="19" t="inlineStr"/>
      <c r="H220" s="18" t="inlineStr"/>
      <c r="I220" s="20" t="inlineStr"/>
      <c r="J220" s="20" t="inlineStr"/>
      <c r="K220" s="20" t="inlineStr"/>
      <c r="L220" s="20" t="inlineStr"/>
      <c r="M220" s="20" t="inlineStr"/>
      <c r="N220" s="20" t="inlineStr"/>
      <c r="O220" s="20" t="inlineStr"/>
      <c r="P220" s="20" t="inlineStr"/>
      <c r="Q220" s="20" t="inlineStr"/>
      <c r="R220" s="20" t="inlineStr"/>
      <c r="S220" s="20" t="inlineStr"/>
      <c r="T220" s="21" t="n">
        <v>1110075.23</v>
      </c>
      <c r="U220" s="22" t="inlineStr">
        <is>
          <t>B</t>
        </is>
      </c>
      <c r="V220" s="23">
        <f>IFERROR(VLOOKUP(U220,Assumptions!$A$7:$D$11,2,FALSE),0)</f>
        <v/>
      </c>
      <c r="W220" s="24">
        <f>MAX(0.5,IFERROR(VLOOKUP(U220,Assumptions!$A$7:$D$11,3,FALSE),3)+IFERROR(VLOOKUP(U220,Assumptions!$A$7:$D$11,4,FALSE),8)/2-IF(AN220="",0,YEAR(TODAY())-AN220))</f>
        <v/>
      </c>
      <c r="X220" s="21">
        <f>T220*V220/(1+Assumptions!$B$3)^W220</f>
        <v/>
      </c>
      <c r="Y220" s="25">
        <f>IF(T220=0,"",ROUND(X220/T220*100,1))</f>
        <v/>
      </c>
      <c r="Z220" s="26">
        <f>X220*Assumptions!$B$4</f>
        <v/>
      </c>
      <c r="AA220" s="25">
        <f>IF(T220=0,"",ROUND(Z220/T220*100,1))</f>
        <v/>
      </c>
      <c r="AB220" s="26">
        <f>X220-Z220</f>
        <v/>
      </c>
      <c r="AC220" s="25">
        <f>IF(T220=0,"",ROUND((X220-Z220)/T220*100,1))</f>
        <v/>
      </c>
      <c r="AD220" s="27" t="inlineStr">
        <is>
          <t>ESTIMATED</t>
        </is>
      </c>
      <c r="AE220" s="28" t="inlineStr">
        <is>
          <t>https://marquesadmjudicial.com.br/sgc/download.php?file=files/processo_documento/processo_documento17040729052024_1_.pdf&amp;nome=Relação Nominal de Credores AJ-Sintética</t>
        </is>
      </c>
      <c r="AF220" s="27" t="inlineStr">
        <is>
          <t>p9 r18</t>
        </is>
      </c>
      <c r="AG220" s="27" t="inlineStr">
        <is>
          <t>p9: R$ 1.110.075,23</t>
        </is>
      </c>
      <c r="AH220" s="27" t="inlineStr">
        <is>
          <t>AJ_LIST</t>
        </is>
      </c>
      <c r="AI220" s="27" t="inlineStr">
        <is>
          <t>2024-05-27</t>
        </is>
      </c>
      <c r="AJ220" s="27" t="inlineStr">
        <is>
          <t>QUARANTINED</t>
        </is>
      </c>
      <c r="AK220" s="29" t="inlineStr">
        <is>
          <t>0003971-03.2023.8.16.0119</t>
        </is>
      </c>
      <c r="AL220" s="29" t="inlineStr">
        <is>
          <t>TJPR</t>
        </is>
      </c>
      <c r="AM220" s="29" t="inlineStr">
        <is>
          <t>ACTIVE</t>
        </is>
      </c>
      <c r="AN220" s="29" t="n">
        <v>2023</v>
      </c>
      <c r="AO220" s="29" t="inlineStr">
        <is>
          <t>live case, no plan document yet</t>
        </is>
      </c>
      <c r="AP220" s="29" t="inlineStr"/>
      <c r="AQ220" s="29" t="inlineStr"/>
      <c r="AR220" s="29" t="inlineStr"/>
      <c r="AS220" s="29" t="inlineStr"/>
      <c r="AT220" s="29" t="inlineStr">
        <is>
          <t>MID-MARKET</t>
        </is>
      </c>
      <c r="AU220" s="29" t="inlineStr">
        <is>
          <t>79342069</t>
        </is>
      </c>
      <c r="AV220" s="29" t="n">
        <v>1</v>
      </c>
      <c r="AW220" s="29" t="inlineStr">
        <is>
          <t>LIKELY_FINANCIAL_BY_NAME PARTIAL_DOC_CLASS_III_RECONCILED ROWS:p9r18</t>
        </is>
      </c>
    </row>
    <row r="221">
      <c r="A221" s="15" t="inlineStr">
        <is>
          <t>BANCO SANTANDER (BRASIL) S.A.</t>
        </is>
      </c>
      <c r="B221" s="16" t="n">
        <v>1019858.75</v>
      </c>
      <c r="C221" s="17" t="inlineStr">
        <is>
          <t>JA SANTOS IMPORTACAO EXPORTACAO DE FERRAMENTAS E SERVICOS ESPECIALIZADOS LTDA</t>
        </is>
      </c>
      <c r="D221" s="18" t="inlineStr">
        <is>
          <t>NEW</t>
        </is>
      </c>
      <c r="E221" s="19" t="inlineStr"/>
      <c r="F221" s="18" t="inlineStr"/>
      <c r="G221" s="19" t="inlineStr"/>
      <c r="H221" s="18" t="inlineStr"/>
      <c r="I221" s="20" t="inlineStr">
        <is>
          <t>GILSON FINKELSZTAIN</t>
        </is>
      </c>
      <c r="J221" s="20" t="inlineStr">
        <is>
          <t>Presidente</t>
        </is>
      </c>
      <c r="K221" s="20" t="inlineStr">
        <is>
          <t>(11) 4004-3535</t>
        </is>
      </c>
      <c r="L221" s="20" t="inlineStr"/>
      <c r="M221" s="20" t="inlineStr"/>
      <c r="N221" s="20" t="inlineStr"/>
      <c r="O221" s="20" t="inlineStr"/>
      <c r="P221" s="20" t="inlineStr">
        <is>
          <t>ALESSANDRO CHAGAS FARIAS</t>
        </is>
      </c>
      <c r="Q221" s="20" t="inlineStr">
        <is>
          <t>Diretor</t>
        </is>
      </c>
      <c r="R221" s="20" t="inlineStr">
        <is>
          <t>(11) 4004-3535</t>
        </is>
      </c>
      <c r="S221" s="20" t="inlineStr"/>
      <c r="T221" s="21" t="n">
        <v>1019858.75</v>
      </c>
      <c r="U221" s="32" t="inlineStr">
        <is>
          <t>A</t>
        </is>
      </c>
      <c r="V221" s="23">
        <f>IFERROR(VLOOKUP(U221,Assumptions!$A$7:$D$11,2,FALSE),0)</f>
        <v/>
      </c>
      <c r="W221" s="24">
        <f>MAX(0.5,IFERROR(VLOOKUP(U221,Assumptions!$A$7:$D$11,3,FALSE),3)+IFERROR(VLOOKUP(U221,Assumptions!$A$7:$D$11,4,FALSE),8)/2-IF(AN221="",0,YEAR(TODAY())-AN221))</f>
        <v/>
      </c>
      <c r="X221" s="21">
        <f>T221*V221/(1+Assumptions!$B$3)^W221</f>
        <v/>
      </c>
      <c r="Y221" s="25">
        <f>IF(T221=0,"",ROUND(X221/T221*100,1))</f>
        <v/>
      </c>
      <c r="Z221" s="26">
        <f>X221*Assumptions!$B$4</f>
        <v/>
      </c>
      <c r="AA221" s="25">
        <f>IF(T221=0,"",ROUND(Z221/T221*100,1))</f>
        <v/>
      </c>
      <c r="AB221" s="26">
        <f>X221-Z221</f>
        <v/>
      </c>
      <c r="AC221" s="25">
        <f>IF(T221=0,"",ROUND((X221-Z221)/T221*100,1))</f>
        <v/>
      </c>
      <c r="AD221" s="27" t="inlineStr">
        <is>
          <t>CONFIRMED</t>
        </is>
      </c>
      <c r="AE221" s="28" t="inlineStr">
        <is>
          <t>https://vivanteaj.com.br/wp-content/uploads/2024/11/1a-lista-de-credores-JA-Santos.pdf</t>
        </is>
      </c>
      <c r="AF221" s="27" t="inlineStr">
        <is>
          <t>p1 r10; p1 r11; p1 r12; p1 r13; p1 r14</t>
        </is>
      </c>
      <c r="AG221" s="27" t="inlineStr">
        <is>
          <t>p1: R$ 29.999,97; p1: R$ 354.970,00; p1: R$ 386.666,57; p1: R$ 122.222,21; p1: R$ 126.000,00</t>
        </is>
      </c>
      <c r="AH221" s="27" t="inlineStr">
        <is>
          <t>UNKNOWN</t>
        </is>
      </c>
      <c r="AI221" s="27" t="inlineStr">
        <is>
          <t>2022-11-02</t>
        </is>
      </c>
      <c r="AJ221" s="27" t="inlineStr">
        <is>
          <t>OK</t>
        </is>
      </c>
      <c r="AK221" s="29" t="inlineStr">
        <is>
          <t>1018313-46.2024.8.26.0100</t>
        </is>
      </c>
      <c r="AL221" s="29" t="inlineStr">
        <is>
          <t>TJSP</t>
        </is>
      </c>
      <c r="AM221" s="29" t="inlineStr">
        <is>
          <t>ACTIVE</t>
        </is>
      </c>
      <c r="AN221" s="29" t="n">
        <v>2024</v>
      </c>
      <c r="AO221" s="29" t="inlineStr">
        <is>
          <t>plan/homologation document found</t>
        </is>
      </c>
      <c r="AP221" s="29" t="inlineStr">
        <is>
          <t>SAO PAULO</t>
        </is>
      </c>
      <c r="AQ221" s="29" t="inlineStr">
        <is>
          <t>SP</t>
        </is>
      </c>
      <c r="AR221" s="29" t="inlineStr">
        <is>
          <t>Bancos múltiplos, com carteira comercial</t>
        </is>
      </c>
      <c r="AS221" s="29" t="inlineStr">
        <is>
          <t>DEMAIS</t>
        </is>
      </c>
      <c r="AT221" s="29" t="inlineStr">
        <is>
          <t>LARGE CORP</t>
        </is>
      </c>
      <c r="AU221" s="29" t="inlineStr">
        <is>
          <t>90400888</t>
        </is>
      </c>
      <c r="AV221" s="29" t="n">
        <v>5</v>
      </c>
      <c r="AW221" s="29" t="inlineStr">
        <is>
          <t>ROWS:p1r10,p1r11,p1r12,p1r13,p1r14 VALUE_COL:Valor</t>
        </is>
      </c>
    </row>
    <row r="222">
      <c r="A222" s="15" t="inlineStr">
        <is>
          <t>BANCO DO BRASIL SA</t>
        </is>
      </c>
      <c r="B222" s="16" t="n">
        <v>1692874.41</v>
      </c>
      <c r="C222" s="17" t="inlineStr">
        <is>
          <t>- VENEZA SERVIÇOS ADMINISTRATIVOS LTDA</t>
        </is>
      </c>
      <c r="D222" s="18" t="inlineStr">
        <is>
          <t>NEW</t>
        </is>
      </c>
      <c r="E222" s="19" t="inlineStr"/>
      <c r="F222" s="18" t="inlineStr"/>
      <c r="G222" s="19" t="inlineStr"/>
      <c r="H222" s="18" t="inlineStr"/>
      <c r="I222" s="20" t="inlineStr">
        <is>
          <t>TARCIANA PAULA GOMES MEDEIROS</t>
        </is>
      </c>
      <c r="J222" s="20" t="inlineStr">
        <is>
          <t>Presidente</t>
        </is>
      </c>
      <c r="K222" s="20" t="inlineStr">
        <is>
          <t>(61) 3493-9002</t>
        </is>
      </c>
      <c r="L222" s="20" t="inlineStr"/>
      <c r="M222" s="20" t="inlineStr"/>
      <c r="N222" s="20" t="inlineStr"/>
      <c r="O222" s="20" t="inlineStr"/>
      <c r="P222" s="20" t="inlineStr">
        <is>
          <t>ALAN CARLOS GUEDES DE OLIVEIRA</t>
        </is>
      </c>
      <c r="Q222" s="20" t="inlineStr">
        <is>
          <t>Diretor</t>
        </is>
      </c>
      <c r="R222" s="20" t="inlineStr">
        <is>
          <t>(61) 3493-9002</t>
        </is>
      </c>
      <c r="S222" s="20" t="inlineStr"/>
      <c r="T222" s="21" t="n">
        <v>1692874.41</v>
      </c>
      <c r="U222" s="22" t="inlineStr">
        <is>
          <t>B</t>
        </is>
      </c>
      <c r="V222" s="23">
        <f>IFERROR(VLOOKUP(U222,Assumptions!$A$7:$D$11,2,FALSE),0)</f>
        <v/>
      </c>
      <c r="W222" s="24">
        <f>MAX(0.5,IFERROR(VLOOKUP(U222,Assumptions!$A$7:$D$11,3,FALSE),3)+IFERROR(VLOOKUP(U222,Assumptions!$A$7:$D$11,4,FALSE),8)/2-IF(AN222="",0,YEAR(TODAY())-AN222))</f>
        <v/>
      </c>
      <c r="X222" s="21">
        <f>T222*V222/(1+Assumptions!$B$3)^W222</f>
        <v/>
      </c>
      <c r="Y222" s="25">
        <f>IF(T222=0,"",ROUND(X222/T222*100,1))</f>
        <v/>
      </c>
      <c r="Z222" s="26">
        <f>X222*Assumptions!$B$4</f>
        <v/>
      </c>
      <c r="AA222" s="25">
        <f>IF(T222=0,"",ROUND(Z222/T222*100,1))</f>
        <v/>
      </c>
      <c r="AB222" s="26">
        <f>X222-Z222</f>
        <v/>
      </c>
      <c r="AC222" s="25">
        <f>IF(T222=0,"",ROUND((X222-Z222)/T222*100,1))</f>
        <v/>
      </c>
      <c r="AD222" s="27" t="inlineStr">
        <is>
          <t>ESTIMATED</t>
        </is>
      </c>
      <c r="AE222" s="28" t="inlineStr">
        <is>
          <t>https://bugarimecoelho.com.br/ws/media-library/b6b7ea42b9fa2afe30bc728fe00cd5c6/07---edital-do-processamento-da-recuperacao-judicial.pdf</t>
        </is>
      </c>
      <c r="AF222" s="27" t="inlineStr">
        <is>
          <t>p15 r13</t>
        </is>
      </c>
      <c r="AG222" s="27" t="inlineStr">
        <is>
          <t>p15: R$ 1.692.874,41</t>
        </is>
      </c>
      <c r="AH222" s="27" t="inlineStr">
        <is>
          <t>UNKNOWN</t>
        </is>
      </c>
      <c r="AI222" s="27" t="inlineStr">
        <is>
          <t>2026-07-09</t>
        </is>
      </c>
      <c r="AJ222" s="27" t="inlineStr">
        <is>
          <t>OK</t>
        </is>
      </c>
      <c r="AK222" s="29" t="inlineStr">
        <is>
          <t>3000117-40.2025.8.06.0512</t>
        </is>
      </c>
      <c r="AL222" s="29" t="inlineStr">
        <is>
          <t>TJCE</t>
        </is>
      </c>
      <c r="AM222" s="29" t="inlineStr">
        <is>
          <t>ACTIVE</t>
        </is>
      </c>
      <c r="AN222" s="29" t="n">
        <v>2025</v>
      </c>
      <c r="AO222" s="29" t="inlineStr">
        <is>
          <t>live case, no plan document yet</t>
        </is>
      </c>
      <c r="AP222" s="29" t="inlineStr">
        <is>
          <t>BRASILIA</t>
        </is>
      </c>
      <c r="AQ222" s="29" t="inlineStr">
        <is>
          <t>DF</t>
        </is>
      </c>
      <c r="AR222" s="29" t="inlineStr">
        <is>
          <t>Bancos múltiplos, com carteira comercial</t>
        </is>
      </c>
      <c r="AS222" s="29" t="inlineStr">
        <is>
          <t>DEMAIS</t>
        </is>
      </c>
      <c r="AT222" s="29" t="inlineStr">
        <is>
          <t>LARGE CORP</t>
        </is>
      </c>
      <c r="AU222" s="29" t="inlineStr">
        <is>
          <t>00000000</t>
        </is>
      </c>
      <c r="AV222" s="29" t="n">
        <v>1</v>
      </c>
      <c r="AW222" s="29" t="inlineStr">
        <is>
          <t>LIKELY_FINANCIAL_BY_NAME ROWS:p15r13</t>
        </is>
      </c>
    </row>
    <row r="223">
      <c r="A223" s="15" t="inlineStr">
        <is>
          <t>BANCO C6 S.A.</t>
        </is>
      </c>
      <c r="B223" s="16" t="n">
        <v>2115489.72</v>
      </c>
      <c r="C223" s="17" t="inlineStr">
        <is>
          <t>E FALENCIA</t>
        </is>
      </c>
      <c r="D223" s="18" t="inlineStr">
        <is>
          <t>NEW</t>
        </is>
      </c>
      <c r="E223" s="19" t="inlineStr"/>
      <c r="F223" s="18" t="inlineStr"/>
      <c r="G223" s="19" t="inlineStr"/>
      <c r="H223" s="18" t="inlineStr"/>
      <c r="I223" s="20" t="inlineStr">
        <is>
          <t>FERNANDO NOGUEIRA NOLASCO ASTOLFI</t>
        </is>
      </c>
      <c r="J223" s="20" t="inlineStr">
        <is>
          <t>Diretor</t>
        </is>
      </c>
      <c r="K223" s="20" t="inlineStr">
        <is>
          <t>(11) 2832-6000</t>
        </is>
      </c>
      <c r="L223" s="20" t="inlineStr"/>
      <c r="M223" s="20" t="inlineStr"/>
      <c r="N223" s="20" t="inlineStr"/>
      <c r="O223" s="20" t="inlineStr"/>
      <c r="P223" s="20" t="inlineStr">
        <is>
          <t>GUSTAVO CALDAS DA SILVA</t>
        </is>
      </c>
      <c r="Q223" s="20" t="inlineStr">
        <is>
          <t>Diretor</t>
        </is>
      </c>
      <c r="R223" s="20" t="inlineStr">
        <is>
          <t>(11) 2832-6000</t>
        </is>
      </c>
      <c r="S223" s="20" t="inlineStr"/>
      <c r="T223" s="21" t="n">
        <v>2115489.72</v>
      </c>
      <c r="U223" s="22" t="inlineStr">
        <is>
          <t>B</t>
        </is>
      </c>
      <c r="V223" s="23">
        <f>IFERROR(VLOOKUP(U223,Assumptions!$A$7:$D$11,2,FALSE),0)</f>
        <v/>
      </c>
      <c r="W223" s="24">
        <f>MAX(0.5,IFERROR(VLOOKUP(U223,Assumptions!$A$7:$D$11,3,FALSE),3)+IFERROR(VLOOKUP(U223,Assumptions!$A$7:$D$11,4,FALSE),8)/2-IF(AN223="",0,YEAR(TODAY())-AN223))</f>
        <v/>
      </c>
      <c r="X223" s="21">
        <f>T223*V223/(1+Assumptions!$B$3)^W223</f>
        <v/>
      </c>
      <c r="Y223" s="25">
        <f>IF(T223=0,"",ROUND(X223/T223*100,1))</f>
        <v/>
      </c>
      <c r="Z223" s="26">
        <f>X223*Assumptions!$B$4</f>
        <v/>
      </c>
      <c r="AA223" s="25">
        <f>IF(T223=0,"",ROUND(Z223/T223*100,1))</f>
        <v/>
      </c>
      <c r="AB223" s="26">
        <f>X223-Z223</f>
        <v/>
      </c>
      <c r="AC223" s="25">
        <f>IF(T223=0,"",ROUND((X223-Z223)/T223*100,1))</f>
        <v/>
      </c>
      <c r="AD223" s="27" t="inlineStr">
        <is>
          <t>ESTIMATED</t>
        </is>
      </c>
      <c r="AE223" s="28" t="inlineStr">
        <is>
          <t>https://recuperasolucoes.com/wp-content/plugins/download-attachments/includes/download.php?id=1597</t>
        </is>
      </c>
      <c r="AF223" s="27" t="inlineStr">
        <is>
          <t>p13 r9</t>
        </is>
      </c>
      <c r="AG223" s="27" t="inlineStr">
        <is>
          <t>p13: R$ 2.115.489,72</t>
        </is>
      </c>
      <c r="AH223" s="27" t="inlineStr">
        <is>
          <t>DEBTOR_LIST</t>
        </is>
      </c>
      <c r="AI223" s="27" t="inlineStr">
        <is>
          <t>2026-05-21</t>
        </is>
      </c>
      <c r="AJ223" s="27" t="inlineStr">
        <is>
          <t>OK</t>
        </is>
      </c>
      <c r="AK223" s="29" t="inlineStr">
        <is>
          <t>0001639-09.2026.8.17.2810</t>
        </is>
      </c>
      <c r="AL223" s="29" t="inlineStr">
        <is>
          <t>TJPE</t>
        </is>
      </c>
      <c r="AM223" s="29" t="inlineStr">
        <is>
          <t>ACTIVE</t>
        </is>
      </c>
      <c r="AN223" s="29" t="n">
        <v>2026</v>
      </c>
      <c r="AO223" s="29" t="inlineStr">
        <is>
          <t>live case, no plan document yet</t>
        </is>
      </c>
      <c r="AP223" s="29" t="inlineStr">
        <is>
          <t>SAO PAULO</t>
        </is>
      </c>
      <c r="AQ223" s="29" t="inlineStr">
        <is>
          <t>SP</t>
        </is>
      </c>
      <c r="AR223" s="29" t="inlineStr">
        <is>
          <t>Bancos múltiplos, com carteira comercial</t>
        </is>
      </c>
      <c r="AS223" s="29" t="inlineStr">
        <is>
          <t>DEMAIS</t>
        </is>
      </c>
      <c r="AT223" s="29" t="inlineStr">
        <is>
          <t>LARGE CORP</t>
        </is>
      </c>
      <c r="AU223" s="29" t="inlineStr">
        <is>
          <t>31872495</t>
        </is>
      </c>
      <c r="AV223" s="29" t="n">
        <v>1</v>
      </c>
      <c r="AW223" s="29" t="inlineStr">
        <is>
          <t>ROWS:p13r9</t>
        </is>
      </c>
    </row>
    <row r="224">
      <c r="A224" s="15" t="inlineStr">
        <is>
          <t>BANCO BRADESCO S.A.</t>
        </is>
      </c>
      <c r="B224" s="16" t="n">
        <v>846434.97</v>
      </c>
      <c r="C224" s="17" t="inlineStr">
        <is>
          <t>CPX DISTRIBUIDORA S.A.</t>
        </is>
      </c>
      <c r="D224" s="18" t="inlineStr">
        <is>
          <t>NEW</t>
        </is>
      </c>
      <c r="E224" s="19" t="inlineStr"/>
      <c r="F224" s="18" t="inlineStr"/>
      <c r="G224" s="19" t="inlineStr"/>
      <c r="H224" s="18" t="inlineStr"/>
      <c r="I224" s="20" t="inlineStr">
        <is>
          <t>MARCELO DE ARAUJO NORONHA</t>
        </is>
      </c>
      <c r="J224" s="20" t="inlineStr">
        <is>
          <t>Presidente</t>
        </is>
      </c>
      <c r="K224" s="20" t="inlineStr">
        <is>
          <t>(11) 3684-5122</t>
        </is>
      </c>
      <c r="L224" s="20" t="inlineStr"/>
      <c r="M224" s="20" t="inlineStr"/>
      <c r="N224" s="20" t="inlineStr"/>
      <c r="O224" s="20" t="inlineStr"/>
      <c r="P224" s="20" t="inlineStr">
        <is>
          <t>AFRANIO CARLOS CAMARGO DANTZGER</t>
        </is>
      </c>
      <c r="Q224" s="20" t="inlineStr">
        <is>
          <t>Diretor</t>
        </is>
      </c>
      <c r="R224" s="20" t="inlineStr">
        <is>
          <t>(11) 3684-5122</t>
        </is>
      </c>
      <c r="S224" s="20" t="inlineStr"/>
      <c r="T224" s="21" t="n">
        <v>846434.97</v>
      </c>
      <c r="U224" s="22" t="inlineStr">
        <is>
          <t>B</t>
        </is>
      </c>
      <c r="V224" s="23">
        <f>IFERROR(VLOOKUP(U224,Assumptions!$A$7:$D$11,2,FALSE),0)</f>
        <v/>
      </c>
      <c r="W224" s="24">
        <f>MAX(0.5,IFERROR(VLOOKUP(U224,Assumptions!$A$7:$D$11,3,FALSE),3)+IFERROR(VLOOKUP(U224,Assumptions!$A$7:$D$11,4,FALSE),8)/2-IF(AN224="",0,YEAR(TODAY())-AN224))</f>
        <v/>
      </c>
      <c r="X224" s="21">
        <f>T224*V224/(1+Assumptions!$B$3)^W224</f>
        <v/>
      </c>
      <c r="Y224" s="25">
        <f>IF(T224=0,"",ROUND(X224/T224*100,1))</f>
        <v/>
      </c>
      <c r="Z224" s="26">
        <f>X224*Assumptions!$B$4</f>
        <v/>
      </c>
      <c r="AA224" s="25">
        <f>IF(T224=0,"",ROUND(Z224/T224*100,1))</f>
        <v/>
      </c>
      <c r="AB224" s="26">
        <f>X224-Z224</f>
        <v/>
      </c>
      <c r="AC224" s="25">
        <f>IF(T224=0,"",ROUND((X224-Z224)/T224*100,1))</f>
        <v/>
      </c>
      <c r="AD224" s="27" t="inlineStr">
        <is>
          <t>ESTIMATED</t>
        </is>
      </c>
      <c r="AE224" s="28" t="inlineStr">
        <is>
          <t>https://marquesadmjudicial.com.br/sgc/download.php?file=files/processo_documento/processo_documento16562707032024_1_.pdf&amp;nome=2º Edital-Relação de Credores do art. 7, §2 da LREF e do Plano de Recuperação Judicial</t>
        </is>
      </c>
      <c r="AF224" s="27" t="inlineStr">
        <is>
          <t>p1 r40</t>
        </is>
      </c>
      <c r="AG224" s="27" t="inlineStr">
        <is>
          <t>p1: R$ 846.434,97</t>
        </is>
      </c>
      <c r="AH224" s="27" t="inlineStr">
        <is>
          <t>AJ_LIST</t>
        </is>
      </c>
      <c r="AI224" s="27" t="inlineStr">
        <is>
          <t>2022-11-17</t>
        </is>
      </c>
      <c r="AJ224" s="27" t="inlineStr">
        <is>
          <t>OK_NO_TOTALS</t>
        </is>
      </c>
      <c r="AK224" s="29" t="inlineStr">
        <is>
          <t>0037411-27.2022.8.16.0021</t>
        </is>
      </c>
      <c r="AL224" s="29" t="inlineStr">
        <is>
          <t>TJPR</t>
        </is>
      </c>
      <c r="AM224" s="29" t="inlineStr">
        <is>
          <t>ACTIVE</t>
        </is>
      </c>
      <c r="AN224" s="29" t="n">
        <v>2022</v>
      </c>
      <c r="AO224" s="29" t="inlineStr">
        <is>
          <t>live case, no plan document yet</t>
        </is>
      </c>
      <c r="AP224" s="29" t="inlineStr">
        <is>
          <t>OSASCO</t>
        </is>
      </c>
      <c r="AQ224" s="29" t="inlineStr">
        <is>
          <t>SP</t>
        </is>
      </c>
      <c r="AR224" s="29" t="inlineStr">
        <is>
          <t>Bancos múltiplos, com carteira comercial</t>
        </is>
      </c>
      <c r="AS224" s="29" t="inlineStr">
        <is>
          <t>DEMAIS</t>
        </is>
      </c>
      <c r="AT224" s="29" t="inlineStr">
        <is>
          <t>LARGE CORP</t>
        </is>
      </c>
      <c r="AU224" s="29" t="inlineStr">
        <is>
          <t>60746948</t>
        </is>
      </c>
      <c r="AV224" s="29" t="n">
        <v>1</v>
      </c>
      <c r="AW224" s="29" t="inlineStr">
        <is>
          <t>LIKELY_FINANCIAL_BY_NAME ROWS:p1r40 UNRECONCILED_SOURCE</t>
        </is>
      </c>
    </row>
    <row r="225">
      <c r="A225" s="15" t="inlineStr">
        <is>
          <t>BANCO SOFISA S.A.</t>
        </is>
      </c>
      <c r="B225" s="16" t="n">
        <v>2057767.49</v>
      </c>
      <c r="C225" s="17" t="inlineStr">
        <is>
          <t>E FALENCIA</t>
        </is>
      </c>
      <c r="D225" s="18" t="inlineStr">
        <is>
          <t>NEW</t>
        </is>
      </c>
      <c r="E225" s="19" t="inlineStr"/>
      <c r="F225" s="18" t="inlineStr"/>
      <c r="G225" s="19" t="inlineStr"/>
      <c r="H225" s="18" t="inlineStr"/>
      <c r="I225" s="20" t="inlineStr">
        <is>
          <t>ALEXANDRE BURMAIAN</t>
        </is>
      </c>
      <c r="J225" s="20" t="inlineStr">
        <is>
          <t>Presidente</t>
        </is>
      </c>
      <c r="K225" s="20" t="inlineStr">
        <is>
          <t>(11) 3176-5500</t>
        </is>
      </c>
      <c r="L225" s="20" t="inlineStr"/>
      <c r="M225" s="20" t="inlineStr"/>
      <c r="N225" s="20" t="inlineStr"/>
      <c r="O225" s="20" t="inlineStr"/>
      <c r="P225" s="20" t="inlineStr">
        <is>
          <t>CESAR AUGUSTO DE OLIVEIRA GONCALVES</t>
        </is>
      </c>
      <c r="Q225" s="20" t="inlineStr">
        <is>
          <t>Diretor</t>
        </is>
      </c>
      <c r="R225" s="20" t="inlineStr">
        <is>
          <t>(11) 3176-5500</t>
        </is>
      </c>
      <c r="S225" s="20" t="inlineStr"/>
      <c r="T225" s="21" t="n">
        <v>2057767.49</v>
      </c>
      <c r="U225" s="22" t="inlineStr">
        <is>
          <t>B</t>
        </is>
      </c>
      <c r="V225" s="23">
        <f>IFERROR(VLOOKUP(U225,Assumptions!$A$7:$D$11,2,FALSE),0)</f>
        <v/>
      </c>
      <c r="W225" s="24">
        <f>MAX(0.5,IFERROR(VLOOKUP(U225,Assumptions!$A$7:$D$11,3,FALSE),3)+IFERROR(VLOOKUP(U225,Assumptions!$A$7:$D$11,4,FALSE),8)/2-IF(AN225="",0,YEAR(TODAY())-AN225))</f>
        <v/>
      </c>
      <c r="X225" s="21">
        <f>T225*V225/(1+Assumptions!$B$3)^W225</f>
        <v/>
      </c>
      <c r="Y225" s="25">
        <f>IF(T225=0,"",ROUND(X225/T225*100,1))</f>
        <v/>
      </c>
      <c r="Z225" s="26">
        <f>X225*Assumptions!$B$4</f>
        <v/>
      </c>
      <c r="AA225" s="25">
        <f>IF(T225=0,"",ROUND(Z225/T225*100,1))</f>
        <v/>
      </c>
      <c r="AB225" s="26">
        <f>X225-Z225</f>
        <v/>
      </c>
      <c r="AC225" s="25">
        <f>IF(T225=0,"",ROUND((X225-Z225)/T225*100,1))</f>
        <v/>
      </c>
      <c r="AD225" s="27" t="inlineStr">
        <is>
          <t>ESTIMATED</t>
        </is>
      </c>
      <c r="AE225" s="28" t="inlineStr">
        <is>
          <t>https://recuperasolucoes.com/wp-content/plugins/download-attachments/includes/download.php?id=1597</t>
        </is>
      </c>
      <c r="AF225" s="27" t="inlineStr">
        <is>
          <t>p13 r22</t>
        </is>
      </c>
      <c r="AG225" s="27" t="inlineStr">
        <is>
          <t>p13: R$ 2.057.767,49</t>
        </is>
      </c>
      <c r="AH225" s="27" t="inlineStr">
        <is>
          <t>DEBTOR_LIST</t>
        </is>
      </c>
      <c r="AI225" s="27" t="inlineStr">
        <is>
          <t>2026-05-21</t>
        </is>
      </c>
      <c r="AJ225" s="27" t="inlineStr">
        <is>
          <t>OK</t>
        </is>
      </c>
      <c r="AK225" s="29" t="inlineStr">
        <is>
          <t>0001639-09.2026.8.17.2810</t>
        </is>
      </c>
      <c r="AL225" s="29" t="inlineStr">
        <is>
          <t>TJPE</t>
        </is>
      </c>
      <c r="AM225" s="29" t="inlineStr">
        <is>
          <t>ACTIVE</t>
        </is>
      </c>
      <c r="AN225" s="29" t="n">
        <v>2026</v>
      </c>
      <c r="AO225" s="29" t="inlineStr">
        <is>
          <t>live case, no plan document yet</t>
        </is>
      </c>
      <c r="AP225" s="29" t="inlineStr">
        <is>
          <t>SAO PAULO</t>
        </is>
      </c>
      <c r="AQ225" s="29" t="inlineStr">
        <is>
          <t>SP</t>
        </is>
      </c>
      <c r="AR225" s="29" t="inlineStr">
        <is>
          <t>Bancos múltiplos, com carteira comercial</t>
        </is>
      </c>
      <c r="AS225" s="29" t="inlineStr">
        <is>
          <t>DEMAIS</t>
        </is>
      </c>
      <c r="AT225" s="29" t="inlineStr">
        <is>
          <t>LARGE CORP</t>
        </is>
      </c>
      <c r="AU225" s="29" t="inlineStr">
        <is>
          <t>60889128</t>
        </is>
      </c>
      <c r="AV225" s="29" t="n">
        <v>1</v>
      </c>
      <c r="AW225" s="29" t="inlineStr">
        <is>
          <t>ROWS:p13r22</t>
        </is>
      </c>
    </row>
    <row r="226">
      <c r="A226" s="15" t="inlineStr">
        <is>
          <t>COOPERATIVA DE CREDITO EVOLUA</t>
        </is>
      </c>
      <c r="B226" s="16" t="n">
        <v>1049021.3</v>
      </c>
      <c r="C226" s="17" t="inlineStr">
        <is>
          <t>CRISTAL MASTER INDUSTRIA E COMERCIO LTDA</t>
        </is>
      </c>
      <c r="D226" s="18" t="inlineStr">
        <is>
          <t>NEW</t>
        </is>
      </c>
      <c r="E226" s="19" t="inlineStr"/>
      <c r="F226" s="18" t="inlineStr"/>
      <c r="G226" s="19" t="inlineStr"/>
      <c r="H226" s="18" t="inlineStr"/>
      <c r="I226" s="20" t="inlineStr"/>
      <c r="J226" s="20" t="inlineStr"/>
      <c r="K226" s="20" t="inlineStr"/>
      <c r="L226" s="20" t="inlineStr"/>
      <c r="M226" s="20" t="inlineStr"/>
      <c r="N226" s="20" t="inlineStr"/>
      <c r="O226" s="20" t="inlineStr"/>
      <c r="P226" s="20" t="inlineStr"/>
      <c r="Q226" s="20" t="inlineStr"/>
      <c r="R226" s="20" t="inlineStr"/>
      <c r="S226" s="20" t="inlineStr"/>
      <c r="T226" s="21" t="n">
        <v>1049021.3</v>
      </c>
      <c r="U226" s="22" t="inlineStr">
        <is>
          <t>B</t>
        </is>
      </c>
      <c r="V226" s="23">
        <f>IFERROR(VLOOKUP(U226,Assumptions!$A$7:$D$11,2,FALSE),0)</f>
        <v/>
      </c>
      <c r="W226" s="24">
        <f>MAX(0.5,IFERROR(VLOOKUP(U226,Assumptions!$A$7:$D$11,3,FALSE),3)+IFERROR(VLOOKUP(U226,Assumptions!$A$7:$D$11,4,FALSE),8)/2-IF(AN226="",0,YEAR(TODAY())-AN226))</f>
        <v/>
      </c>
      <c r="X226" s="21">
        <f>T226*V226/(1+Assumptions!$B$3)^W226</f>
        <v/>
      </c>
      <c r="Y226" s="25">
        <f>IF(T226=0,"",ROUND(X226/T226*100,1))</f>
        <v/>
      </c>
      <c r="Z226" s="26">
        <f>X226*Assumptions!$B$4</f>
        <v/>
      </c>
      <c r="AA226" s="25">
        <f>IF(T226=0,"",ROUND(Z226/T226*100,1))</f>
        <v/>
      </c>
      <c r="AB226" s="26">
        <f>X226-Z226</f>
        <v/>
      </c>
      <c r="AC226" s="25">
        <f>IF(T226=0,"",ROUND((X226-Z226)/T226*100,1))</f>
        <v/>
      </c>
      <c r="AD226" s="27" t="inlineStr">
        <is>
          <t>ESTIMATED</t>
        </is>
      </c>
      <c r="AE226" s="28" t="inlineStr">
        <is>
          <t>https://ajruiz.com.br/sites/default/files/public/arquivos-processos/2026-08/qgc_azeplast_julho_2026.pdf</t>
        </is>
      </c>
      <c r="AF226" s="27" t="inlineStr">
        <is>
          <t>p1 r16</t>
        </is>
      </c>
      <c r="AG226" s="27" t="inlineStr">
        <is>
          <t>p1: R$ 1.049.021,30</t>
        </is>
      </c>
      <c r="AH226" s="27" t="inlineStr">
        <is>
          <t>QGC</t>
        </is>
      </c>
      <c r="AI226" s="27" t="inlineStr"/>
      <c r="AJ226" s="27" t="inlineStr">
        <is>
          <t>QUARANTINED</t>
        </is>
      </c>
      <c r="AK226" s="29" t="inlineStr">
        <is>
          <t>5008793-34.2023.8.24.0019</t>
        </is>
      </c>
      <c r="AL226" s="29" t="inlineStr">
        <is>
          <t>TJSC</t>
        </is>
      </c>
      <c r="AM226" s="29" t="inlineStr">
        <is>
          <t>ACTIVE</t>
        </is>
      </c>
      <c r="AN226" s="29" t="n">
        <v>2023</v>
      </c>
      <c r="AO226" s="29" t="inlineStr">
        <is>
          <t>live case, no plan document yet</t>
        </is>
      </c>
      <c r="AP226" s="29" t="inlineStr"/>
      <c r="AQ226" s="29" t="inlineStr"/>
      <c r="AR226" s="29" t="inlineStr"/>
      <c r="AS226" s="29" t="inlineStr"/>
      <c r="AT226" s="29" t="inlineStr">
        <is>
          <t>MID-MARKET</t>
        </is>
      </c>
      <c r="AU226" s="29" t="inlineStr">
        <is>
          <t>10311218</t>
        </is>
      </c>
      <c r="AV226" s="29" t="n">
        <v>1</v>
      </c>
      <c r="AW226" s="29" t="inlineStr">
        <is>
          <t>LIKELY_FINANCIAL_BY_NAME PARTIAL_DOC_CLASS_III_RECONCILED ROWS:p1r16</t>
        </is>
      </c>
    </row>
    <row r="227">
      <c r="A227" s="15" t="inlineStr">
        <is>
          <t>Fundo De Investimento Em Direitos Creditorios ML Bank II</t>
        </is>
      </c>
      <c r="B227" s="16" t="n">
        <v>1031250</v>
      </c>
      <c r="C227" s="17" t="inlineStr">
        <is>
          <t>VEV COMERCIO DE MEDICAMENTOS LTDA EM RECUPERACAO JUDICIAL</t>
        </is>
      </c>
      <c r="D227" s="18" t="inlineStr">
        <is>
          <t>NEW</t>
        </is>
      </c>
      <c r="E227" s="19" t="inlineStr"/>
      <c r="F227" s="18" t="inlineStr"/>
      <c r="G227" s="19" t="inlineStr"/>
      <c r="H227" s="18" t="inlineStr"/>
      <c r="I227" s="20" t="inlineStr"/>
      <c r="J227" s="20" t="inlineStr"/>
      <c r="K227" s="20" t="inlineStr"/>
      <c r="L227" s="20" t="inlineStr"/>
      <c r="M227" s="20" t="inlineStr"/>
      <c r="N227" s="20" t="inlineStr"/>
      <c r="O227" s="20" t="inlineStr"/>
      <c r="P227" s="20" t="inlineStr"/>
      <c r="Q227" s="20" t="inlineStr"/>
      <c r="R227" s="20" t="inlineStr"/>
      <c r="S227" s="20" t="inlineStr"/>
      <c r="T227" s="21" t="n">
        <v>1031250</v>
      </c>
      <c r="U227" s="22" t="inlineStr">
        <is>
          <t>B</t>
        </is>
      </c>
      <c r="V227" s="23">
        <f>IFERROR(VLOOKUP(U227,Assumptions!$A$7:$D$11,2,FALSE),0)</f>
        <v/>
      </c>
      <c r="W227" s="24">
        <f>MAX(0.5,IFERROR(VLOOKUP(U227,Assumptions!$A$7:$D$11,3,FALSE),3)+IFERROR(VLOOKUP(U227,Assumptions!$A$7:$D$11,4,FALSE),8)/2-IF(AN227="",0,YEAR(TODAY())-AN227))</f>
        <v/>
      </c>
      <c r="X227" s="21">
        <f>T227*V227/(1+Assumptions!$B$3)^W227</f>
        <v/>
      </c>
      <c r="Y227" s="25">
        <f>IF(T227=0,"",ROUND(X227/T227*100,1))</f>
        <v/>
      </c>
      <c r="Z227" s="26">
        <f>X227*Assumptions!$B$4</f>
        <v/>
      </c>
      <c r="AA227" s="25">
        <f>IF(T227=0,"",ROUND(Z227/T227*100,1))</f>
        <v/>
      </c>
      <c r="AB227" s="26">
        <f>X227-Z227</f>
        <v/>
      </c>
      <c r="AC227" s="25">
        <f>IF(T227=0,"",ROUND((X227-Z227)/T227*100,1))</f>
        <v/>
      </c>
      <c r="AD227" s="27" t="inlineStr">
        <is>
          <t>ESTIMATED</t>
        </is>
      </c>
      <c r="AE227" s="28" t="inlineStr">
        <is>
          <t>https://marquesadmjudicial.com.br/sgc/download.php?file=files/processo_documento/processo_documento15293208032024_1_.pdf&amp;nome=Relação Nominal de Credores da AJ-Sintética</t>
        </is>
      </c>
      <c r="AF227" s="27" t="inlineStr">
        <is>
          <t>p25 r11</t>
        </is>
      </c>
      <c r="AG227" s="27" t="inlineStr">
        <is>
          <t>p25: R$ 1.031.250,00</t>
        </is>
      </c>
      <c r="AH227" s="27" t="inlineStr">
        <is>
          <t>AJ_LIST</t>
        </is>
      </c>
      <c r="AI227" s="27" t="inlineStr">
        <is>
          <t>2023-03-02</t>
        </is>
      </c>
      <c r="AJ227" s="27" t="inlineStr">
        <is>
          <t>QUARANTINED</t>
        </is>
      </c>
      <c r="AK227" s="29" t="inlineStr">
        <is>
          <t>0005010-98.2023.8.16.0001</t>
        </is>
      </c>
      <c r="AL227" s="29" t="inlineStr">
        <is>
          <t>TJPR</t>
        </is>
      </c>
      <c r="AM227" s="29" t="inlineStr">
        <is>
          <t>ACTIVE</t>
        </is>
      </c>
      <c r="AN227" s="29" t="n">
        <v>2023</v>
      </c>
      <c r="AO227" s="29" t="inlineStr">
        <is>
          <t>live case, no plan document yet</t>
        </is>
      </c>
      <c r="AP227" s="29" t="inlineStr"/>
      <c r="AQ227" s="29" t="inlineStr"/>
      <c r="AR227" s="29" t="inlineStr"/>
      <c r="AS227" s="29" t="inlineStr"/>
      <c r="AT227" s="29" t="inlineStr">
        <is>
          <t>MID-MARKET</t>
        </is>
      </c>
      <c r="AU227" s="29" t="inlineStr">
        <is>
          <t>39664088</t>
        </is>
      </c>
      <c r="AV227" s="29" t="n">
        <v>1</v>
      </c>
      <c r="AW227" s="29" t="inlineStr">
        <is>
          <t>LIKELY_FINANCIAL_BY_NAME PARTIAL_DOC_CLASS_III_RECONCILED ROWS:p25r11</t>
        </is>
      </c>
    </row>
    <row r="228">
      <c r="A228" s="15" t="inlineStr">
        <is>
          <t>BANCO SAFRA S A</t>
        </is>
      </c>
      <c r="B228" s="16" t="n">
        <v>1609442.7</v>
      </c>
      <c r="C228" s="17" t="inlineStr">
        <is>
          <t>GRUPO TSI BRASIL LTDA</t>
        </is>
      </c>
      <c r="D228" s="18" t="inlineStr">
        <is>
          <t>NEW</t>
        </is>
      </c>
      <c r="E228" s="19" t="inlineStr"/>
      <c r="F228" s="18" t="inlineStr"/>
      <c r="G228" s="19" t="inlineStr"/>
      <c r="H228" s="18" t="inlineStr"/>
      <c r="I228" s="20" t="inlineStr">
        <is>
          <t>RAFAEL BORDALO QUINTAS</t>
        </is>
      </c>
      <c r="J228" s="20" t="inlineStr">
        <is>
          <t>Administrador</t>
        </is>
      </c>
      <c r="K228" s="20" t="inlineStr">
        <is>
          <t>(11) 3175-7575</t>
        </is>
      </c>
      <c r="L228" s="20" t="inlineStr"/>
      <c r="M228" s="20" t="inlineStr"/>
      <c r="N228" s="20" t="inlineStr"/>
      <c r="O228" s="20" t="inlineStr"/>
      <c r="P228" s="20" t="inlineStr">
        <is>
          <t>ADRIANO MACIEL PEDROTI</t>
        </is>
      </c>
      <c r="Q228" s="20" t="inlineStr">
        <is>
          <t>Diretor</t>
        </is>
      </c>
      <c r="R228" s="20" t="inlineStr">
        <is>
          <t>(11) 3175-7575</t>
        </is>
      </c>
      <c r="S228" s="20" t="inlineStr"/>
      <c r="T228" s="21" t="n">
        <v>1609442.7</v>
      </c>
      <c r="U228" s="22" t="inlineStr">
        <is>
          <t>B</t>
        </is>
      </c>
      <c r="V228" s="23">
        <f>IFERROR(VLOOKUP(U228,Assumptions!$A$7:$D$11,2,FALSE),0)</f>
        <v/>
      </c>
      <c r="W228" s="24">
        <f>MAX(0.5,IFERROR(VLOOKUP(U228,Assumptions!$A$7:$D$11,3,FALSE),3)+IFERROR(VLOOKUP(U228,Assumptions!$A$7:$D$11,4,FALSE),8)/2-IF(AN228="",0,YEAR(TODAY())-AN228))</f>
        <v/>
      </c>
      <c r="X228" s="21">
        <f>T228*V228/(1+Assumptions!$B$3)^W228</f>
        <v/>
      </c>
      <c r="Y228" s="25">
        <f>IF(T228=0,"",ROUND(X228/T228*100,1))</f>
        <v/>
      </c>
      <c r="Z228" s="26">
        <f>X228*Assumptions!$B$4</f>
        <v/>
      </c>
      <c r="AA228" s="25">
        <f>IF(T228=0,"",ROUND(Z228/T228*100,1))</f>
        <v/>
      </c>
      <c r="AB228" s="26">
        <f>X228-Z228</f>
        <v/>
      </c>
      <c r="AC228" s="25">
        <f>IF(T228=0,"",ROUND((X228-Z228)/T228*100,1))</f>
        <v/>
      </c>
      <c r="AD228" s="27" t="inlineStr">
        <is>
          <t>ESTIMATED</t>
        </is>
      </c>
      <c r="AE228" s="28" t="inlineStr">
        <is>
          <t>https://marquesadmjudicial.com.br/sgc/download.php?file=files/processo_documento/processo_documento09444722082025_1_.pdf&amp;nome=2° Edital - Relação de Credores AJ e PRJ</t>
        </is>
      </c>
      <c r="AF228" s="27" t="inlineStr">
        <is>
          <t>p2 r150</t>
        </is>
      </c>
      <c r="AG228" s="27" t="inlineStr">
        <is>
          <t>p2: R$ 1.609.442,70</t>
        </is>
      </c>
      <c r="AH228" s="27" t="inlineStr">
        <is>
          <t>AJ_LIST</t>
        </is>
      </c>
      <c r="AI228" s="27" t="inlineStr">
        <is>
          <t>2025-04-08</t>
        </is>
      </c>
      <c r="AJ228" s="27" t="inlineStr">
        <is>
          <t>OK_NO_TOTALS</t>
        </is>
      </c>
      <c r="AK228" s="29" t="inlineStr">
        <is>
          <t>0008897-71.2025.8.16.0017</t>
        </is>
      </c>
      <c r="AL228" s="29" t="inlineStr">
        <is>
          <t>TJPR</t>
        </is>
      </c>
      <c r="AM228" s="29" t="inlineStr">
        <is>
          <t>ACTIVE</t>
        </is>
      </c>
      <c r="AN228" s="29" t="n">
        <v>2025</v>
      </c>
      <c r="AO228" s="29" t="inlineStr">
        <is>
          <t>live case, no plan document yet</t>
        </is>
      </c>
      <c r="AP228" s="29" t="inlineStr">
        <is>
          <t>SAO PAULO</t>
        </is>
      </c>
      <c r="AQ228" s="29" t="inlineStr">
        <is>
          <t>SP</t>
        </is>
      </c>
      <c r="AR228" s="29" t="inlineStr">
        <is>
          <t>Bancos múltiplos, com carteira comercial</t>
        </is>
      </c>
      <c r="AS228" s="29" t="inlineStr">
        <is>
          <t>DEMAIS</t>
        </is>
      </c>
      <c r="AT228" s="29" t="inlineStr">
        <is>
          <t>LARGE CORP</t>
        </is>
      </c>
      <c r="AU228" s="29" t="inlineStr">
        <is>
          <t>58160789</t>
        </is>
      </c>
      <c r="AV228" s="29" t="n">
        <v>1</v>
      </c>
      <c r="AW228" s="29" t="inlineStr">
        <is>
          <t>LIKELY_FINANCIAL_BY_NAME ROWS:p2r150 UNRECONCILED_SOURCE</t>
        </is>
      </c>
    </row>
    <row r="229">
      <c r="A229" s="15" t="inlineStr">
        <is>
          <t>BANCO DO BRASIL SA</t>
        </is>
      </c>
      <c r="B229" s="16" t="n">
        <v>1604797.64</v>
      </c>
      <c r="C229" s="17" t="inlineStr">
        <is>
          <t>BOI VERDE LEILOES LTDA</t>
        </is>
      </c>
      <c r="D229" s="18" t="inlineStr">
        <is>
          <t>NEW</t>
        </is>
      </c>
      <c r="E229" s="19" t="inlineStr"/>
      <c r="F229" s="18" t="inlineStr"/>
      <c r="G229" s="19" t="inlineStr"/>
      <c r="H229" s="18" t="inlineStr"/>
      <c r="I229" s="20" t="inlineStr">
        <is>
          <t>TARCIANA PAULA GOMES MEDEIROS</t>
        </is>
      </c>
      <c r="J229" s="20" t="inlineStr">
        <is>
          <t>Presidente</t>
        </is>
      </c>
      <c r="K229" s="20" t="inlineStr">
        <is>
          <t>(61) 3493-9002</t>
        </is>
      </c>
      <c r="L229" s="20" t="inlineStr"/>
      <c r="M229" s="20" t="inlineStr"/>
      <c r="N229" s="20" t="inlineStr"/>
      <c r="O229" s="20" t="inlineStr"/>
      <c r="P229" s="20" t="inlineStr">
        <is>
          <t>ALAN CARLOS GUEDES DE OLIVEIRA</t>
        </is>
      </c>
      <c r="Q229" s="20" t="inlineStr">
        <is>
          <t>Diretor</t>
        </is>
      </c>
      <c r="R229" s="20" t="inlineStr">
        <is>
          <t>(61) 3493-9002</t>
        </is>
      </c>
      <c r="S229" s="20" t="inlineStr"/>
      <c r="T229" s="21" t="n">
        <v>1604797.64</v>
      </c>
      <c r="U229" s="22" t="inlineStr">
        <is>
          <t>B</t>
        </is>
      </c>
      <c r="V229" s="23">
        <f>IFERROR(VLOOKUP(U229,Assumptions!$A$7:$D$11,2,FALSE),0)</f>
        <v/>
      </c>
      <c r="W229" s="24">
        <f>MAX(0.5,IFERROR(VLOOKUP(U229,Assumptions!$A$7:$D$11,3,FALSE),3)+IFERROR(VLOOKUP(U229,Assumptions!$A$7:$D$11,4,FALSE),8)/2-IF(AN229="",0,YEAR(TODAY())-AN229))</f>
        <v/>
      </c>
      <c r="X229" s="21">
        <f>T229*V229/(1+Assumptions!$B$3)^W229</f>
        <v/>
      </c>
      <c r="Y229" s="25">
        <f>IF(T229=0,"",ROUND(X229/T229*100,1))</f>
        <v/>
      </c>
      <c r="Z229" s="26">
        <f>X229*Assumptions!$B$4</f>
        <v/>
      </c>
      <c r="AA229" s="25">
        <f>IF(T229=0,"",ROUND(Z229/T229*100,1))</f>
        <v/>
      </c>
      <c r="AB229" s="26">
        <f>X229-Z229</f>
        <v/>
      </c>
      <c r="AC229" s="25">
        <f>IF(T229=0,"",ROUND((X229-Z229)/T229*100,1))</f>
        <v/>
      </c>
      <c r="AD229" s="27" t="inlineStr">
        <is>
          <t>ESTIMATED</t>
        </is>
      </c>
      <c r="AE229" s="28" t="inlineStr">
        <is>
          <t>https://stenius.com.br/wp-content/uploads/2026/06/EDITAL-GRUPO-FAEL.pdf</t>
        </is>
      </c>
      <c r="AF229" s="27" t="inlineStr">
        <is>
          <t>p1 r2</t>
        </is>
      </c>
      <c r="AG229" s="27" t="inlineStr">
        <is>
          <t>p1: R$ 1.604.797,64</t>
        </is>
      </c>
      <c r="AH229" s="27" t="inlineStr">
        <is>
          <t>AJ_LIST</t>
        </is>
      </c>
      <c r="AI229" s="27" t="inlineStr">
        <is>
          <t>2026-06-30</t>
        </is>
      </c>
      <c r="AJ229" s="27" t="inlineStr">
        <is>
          <t>OK_NO_TOTALS</t>
        </is>
      </c>
      <c r="AK229" s="29" t="inlineStr">
        <is>
          <t>5264228-81.2025.8.09.0172</t>
        </is>
      </c>
      <c r="AL229" s="29" t="inlineStr">
        <is>
          <t>TJGO</t>
        </is>
      </c>
      <c r="AM229" s="29" t="inlineStr">
        <is>
          <t>ACTIVE</t>
        </is>
      </c>
      <c r="AN229" s="29" t="n">
        <v>2025</v>
      </c>
      <c r="AO229" s="29" t="inlineStr">
        <is>
          <t>live case, no plan document yet</t>
        </is>
      </c>
      <c r="AP229" s="29" t="inlineStr">
        <is>
          <t>BRASILIA</t>
        </is>
      </c>
      <c r="AQ229" s="29" t="inlineStr">
        <is>
          <t>DF</t>
        </is>
      </c>
      <c r="AR229" s="29" t="inlineStr">
        <is>
          <t>Bancos múltiplos, com carteira comercial</t>
        </is>
      </c>
      <c r="AS229" s="29" t="inlineStr">
        <is>
          <t>DEMAIS</t>
        </is>
      </c>
      <c r="AT229" s="29" t="inlineStr">
        <is>
          <t>LARGE CORP</t>
        </is>
      </c>
      <c r="AU229" s="29" t="inlineStr">
        <is>
          <t>00000000</t>
        </is>
      </c>
      <c r="AV229" s="29" t="n">
        <v>1</v>
      </c>
      <c r="AW229" s="29" t="inlineStr">
        <is>
          <t>NAME_MISSING ROWS:p1r2 UNRECONCILED_SOURCE VALUE_COL:Valor_Do_Crédito</t>
        </is>
      </c>
    </row>
    <row r="230">
      <c r="A230" s="15" t="inlineStr">
        <is>
          <t>BANCO BRADESCO S.A.</t>
        </is>
      </c>
      <c r="B230" s="16" t="n">
        <v>1995033.9</v>
      </c>
      <c r="C230" s="17" t="inlineStr">
        <is>
          <t>E FALENCIA</t>
        </is>
      </c>
      <c r="D230" s="18" t="inlineStr">
        <is>
          <t>NEW</t>
        </is>
      </c>
      <c r="E230" s="19" t="inlineStr"/>
      <c r="F230" s="18" t="inlineStr"/>
      <c r="G230" s="19" t="inlineStr"/>
      <c r="H230" s="18" t="inlineStr"/>
      <c r="I230" s="20" t="inlineStr">
        <is>
          <t>MARCELO DE ARAUJO NORONHA</t>
        </is>
      </c>
      <c r="J230" s="20" t="inlineStr">
        <is>
          <t>Presidente</t>
        </is>
      </c>
      <c r="K230" s="20" t="inlineStr">
        <is>
          <t>(11) 3684-5122</t>
        </is>
      </c>
      <c r="L230" s="20" t="inlineStr"/>
      <c r="M230" s="20" t="inlineStr"/>
      <c r="N230" s="20" t="inlineStr"/>
      <c r="O230" s="20" t="inlineStr"/>
      <c r="P230" s="20" t="inlineStr">
        <is>
          <t>AFRANIO CARLOS CAMARGO DANTZGER</t>
        </is>
      </c>
      <c r="Q230" s="20" t="inlineStr">
        <is>
          <t>Diretor</t>
        </is>
      </c>
      <c r="R230" s="20" t="inlineStr">
        <is>
          <t>(11) 3684-5122</t>
        </is>
      </c>
      <c r="S230" s="20" t="inlineStr"/>
      <c r="T230" s="21" t="n">
        <v>1995033.9</v>
      </c>
      <c r="U230" s="22" t="inlineStr">
        <is>
          <t>B</t>
        </is>
      </c>
      <c r="V230" s="23">
        <f>IFERROR(VLOOKUP(U230,Assumptions!$A$7:$D$11,2,FALSE),0)</f>
        <v/>
      </c>
      <c r="W230" s="24">
        <f>MAX(0.5,IFERROR(VLOOKUP(U230,Assumptions!$A$7:$D$11,3,FALSE),3)+IFERROR(VLOOKUP(U230,Assumptions!$A$7:$D$11,4,FALSE),8)/2-IF(AN230="",0,YEAR(TODAY())-AN230))</f>
        <v/>
      </c>
      <c r="X230" s="21">
        <f>T230*V230/(1+Assumptions!$B$3)^W230</f>
        <v/>
      </c>
      <c r="Y230" s="25">
        <f>IF(T230=0,"",ROUND(X230/T230*100,1))</f>
        <v/>
      </c>
      <c r="Z230" s="26">
        <f>X230*Assumptions!$B$4</f>
        <v/>
      </c>
      <c r="AA230" s="25">
        <f>IF(T230=0,"",ROUND(Z230/T230*100,1))</f>
        <v/>
      </c>
      <c r="AB230" s="26">
        <f>X230-Z230</f>
        <v/>
      </c>
      <c r="AC230" s="25">
        <f>IF(T230=0,"",ROUND((X230-Z230)/T230*100,1))</f>
        <v/>
      </c>
      <c r="AD230" s="27" t="inlineStr">
        <is>
          <t>ESTIMATED</t>
        </is>
      </c>
      <c r="AE230" s="28" t="inlineStr">
        <is>
          <t>https://recuperasolucoes.com/wp-content/plugins/download-attachments/includes/download.php?id=1597</t>
        </is>
      </c>
      <c r="AF230" s="27" t="inlineStr">
        <is>
          <t>p13 r7</t>
        </is>
      </c>
      <c r="AG230" s="27" t="inlineStr">
        <is>
          <t>p13: R$ 1.995.033,90</t>
        </is>
      </c>
      <c r="AH230" s="27" t="inlineStr">
        <is>
          <t>DEBTOR_LIST</t>
        </is>
      </c>
      <c r="AI230" s="27" t="inlineStr">
        <is>
          <t>2026-05-21</t>
        </is>
      </c>
      <c r="AJ230" s="27" t="inlineStr">
        <is>
          <t>OK</t>
        </is>
      </c>
      <c r="AK230" s="29" t="inlineStr">
        <is>
          <t>0001639-09.2026.8.17.2810</t>
        </is>
      </c>
      <c r="AL230" s="29" t="inlineStr">
        <is>
          <t>TJPE</t>
        </is>
      </c>
      <c r="AM230" s="29" t="inlineStr">
        <is>
          <t>ACTIVE</t>
        </is>
      </c>
      <c r="AN230" s="29" t="n">
        <v>2026</v>
      </c>
      <c r="AO230" s="29" t="inlineStr">
        <is>
          <t>live case, no plan document yet</t>
        </is>
      </c>
      <c r="AP230" s="29" t="inlineStr">
        <is>
          <t>OSASCO</t>
        </is>
      </c>
      <c r="AQ230" s="29" t="inlineStr">
        <is>
          <t>SP</t>
        </is>
      </c>
      <c r="AR230" s="29" t="inlineStr">
        <is>
          <t>Bancos múltiplos, com carteira comercial</t>
        </is>
      </c>
      <c r="AS230" s="29" t="inlineStr">
        <is>
          <t>DEMAIS</t>
        </is>
      </c>
      <c r="AT230" s="29" t="inlineStr">
        <is>
          <t>LARGE CORP</t>
        </is>
      </c>
      <c r="AU230" s="29" t="inlineStr">
        <is>
          <t>60746948</t>
        </is>
      </c>
      <c r="AV230" s="29" t="n">
        <v>1</v>
      </c>
      <c r="AW230" s="29" t="inlineStr">
        <is>
          <t>LIKELY_FINANCIAL_BY_NAME ROWS:p13r7</t>
        </is>
      </c>
    </row>
    <row r="231">
      <c r="A231" s="15" t="inlineStr">
        <is>
          <t>BANCO SANTANDER (BRASIL) S.A.</t>
        </is>
      </c>
      <c r="B231" s="16" t="n">
        <v>1013805.75</v>
      </c>
      <c r="C231" s="17" t="inlineStr">
        <is>
          <t>VEV COMERCIO DE MEDICAMENTOS LTDA EM RECUPERACAO JUDICIAL</t>
        </is>
      </c>
      <c r="D231" s="18" t="inlineStr">
        <is>
          <t>NEW</t>
        </is>
      </c>
      <c r="E231" s="19" t="inlineStr"/>
      <c r="F231" s="18" t="inlineStr"/>
      <c r="G231" s="19" t="inlineStr"/>
      <c r="H231" s="18" t="inlineStr"/>
      <c r="I231" s="20" t="inlineStr">
        <is>
          <t>GILSON FINKELSZTAIN</t>
        </is>
      </c>
      <c r="J231" s="20" t="inlineStr">
        <is>
          <t>Presidente</t>
        </is>
      </c>
      <c r="K231" s="20" t="inlineStr">
        <is>
          <t>(11) 4004-3535</t>
        </is>
      </c>
      <c r="L231" s="20" t="inlineStr"/>
      <c r="M231" s="20" t="inlineStr"/>
      <c r="N231" s="20" t="inlineStr"/>
      <c r="O231" s="20" t="inlineStr"/>
      <c r="P231" s="20" t="inlineStr">
        <is>
          <t>ALESSANDRO CHAGAS FARIAS</t>
        </is>
      </c>
      <c r="Q231" s="20" t="inlineStr">
        <is>
          <t>Diretor</t>
        </is>
      </c>
      <c r="R231" s="20" t="inlineStr">
        <is>
          <t>(11) 4004-3535</t>
        </is>
      </c>
      <c r="S231" s="20" t="inlineStr"/>
      <c r="T231" s="21" t="n">
        <v>1013805.75</v>
      </c>
      <c r="U231" s="22" t="inlineStr">
        <is>
          <t>B</t>
        </is>
      </c>
      <c r="V231" s="23">
        <f>IFERROR(VLOOKUP(U231,Assumptions!$A$7:$D$11,2,FALSE),0)</f>
        <v/>
      </c>
      <c r="W231" s="24">
        <f>MAX(0.5,IFERROR(VLOOKUP(U231,Assumptions!$A$7:$D$11,3,FALSE),3)+IFERROR(VLOOKUP(U231,Assumptions!$A$7:$D$11,4,FALSE),8)/2-IF(AN231="",0,YEAR(TODAY())-AN231))</f>
        <v/>
      </c>
      <c r="X231" s="21">
        <f>T231*V231/(1+Assumptions!$B$3)^W231</f>
        <v/>
      </c>
      <c r="Y231" s="25">
        <f>IF(T231=0,"",ROUND(X231/T231*100,1))</f>
        <v/>
      </c>
      <c r="Z231" s="26">
        <f>X231*Assumptions!$B$4</f>
        <v/>
      </c>
      <c r="AA231" s="25">
        <f>IF(T231=0,"",ROUND(Z231/T231*100,1))</f>
        <v/>
      </c>
      <c r="AB231" s="26">
        <f>X231-Z231</f>
        <v/>
      </c>
      <c r="AC231" s="25">
        <f>IF(T231=0,"",ROUND((X231-Z231)/T231*100,1))</f>
        <v/>
      </c>
      <c r="AD231" s="27" t="inlineStr">
        <is>
          <t>ESTIMATED</t>
        </is>
      </c>
      <c r="AE231" s="28" t="inlineStr">
        <is>
          <t>https://marquesadmjudicial.com.br/sgc/download.php?file=files/processo_documento/processo_documento15293208032024_1_.pdf&amp;nome=Relação Nominal de Credores da AJ-Sintética</t>
        </is>
      </c>
      <c r="AF231" s="27" t="inlineStr">
        <is>
          <t>p21 r5</t>
        </is>
      </c>
      <c r="AG231" s="27" t="inlineStr">
        <is>
          <t>p21: R$ 1.013.805,75</t>
        </is>
      </c>
      <c r="AH231" s="27" t="inlineStr">
        <is>
          <t>AJ_LIST</t>
        </is>
      </c>
      <c r="AI231" s="27" t="inlineStr">
        <is>
          <t>2023-03-02</t>
        </is>
      </c>
      <c r="AJ231" s="27" t="inlineStr">
        <is>
          <t>QUARANTINED</t>
        </is>
      </c>
      <c r="AK231" s="29" t="inlineStr">
        <is>
          <t>0005010-98.2023.8.16.0001</t>
        </is>
      </c>
      <c r="AL231" s="29" t="inlineStr">
        <is>
          <t>TJPR</t>
        </is>
      </c>
      <c r="AM231" s="29" t="inlineStr">
        <is>
          <t>ACTIVE</t>
        </is>
      </c>
      <c r="AN231" s="29" t="n">
        <v>2023</v>
      </c>
      <c r="AO231" s="29" t="inlineStr">
        <is>
          <t>live case, no plan document yet</t>
        </is>
      </c>
      <c r="AP231" s="29" t="inlineStr">
        <is>
          <t>SAO PAULO</t>
        </is>
      </c>
      <c r="AQ231" s="29" t="inlineStr">
        <is>
          <t>SP</t>
        </is>
      </c>
      <c r="AR231" s="29" t="inlineStr">
        <is>
          <t>Bancos múltiplos, com carteira comercial</t>
        </is>
      </c>
      <c r="AS231" s="29" t="inlineStr">
        <is>
          <t>DEMAIS</t>
        </is>
      </c>
      <c r="AT231" s="29" t="inlineStr">
        <is>
          <t>LARGE CORP</t>
        </is>
      </c>
      <c r="AU231" s="29" t="inlineStr">
        <is>
          <t>90400888</t>
        </is>
      </c>
      <c r="AV231" s="29" t="n">
        <v>1</v>
      </c>
      <c r="AW231" s="29" t="inlineStr">
        <is>
          <t>LIKELY_FINANCIAL_BY_NAME PARTIAL_DOC_CLASS_III_RECONCILED ROWS:p21r5</t>
        </is>
      </c>
    </row>
    <row r="232">
      <c r="A232" s="15" t="inlineStr">
        <is>
          <t>BANCO DAYCOVAL S.A.</t>
        </is>
      </c>
      <c r="B232" s="16" t="n">
        <v>1012247.65</v>
      </c>
      <c r="C232" s="17" t="inlineStr">
        <is>
          <t>BBR AGRO SUPLEMENTOS LTDA EM RECUPERACAO JUDICIAL</t>
        </is>
      </c>
      <c r="D232" s="18" t="inlineStr">
        <is>
          <t>NEW</t>
        </is>
      </c>
      <c r="E232" s="19" t="inlineStr"/>
      <c r="F232" s="18" t="inlineStr"/>
      <c r="G232" s="19" t="inlineStr"/>
      <c r="H232" s="18" t="inlineStr"/>
      <c r="I232" s="20" t="inlineStr">
        <is>
          <t>ADELY DAYAN HAMOUI</t>
        </is>
      </c>
      <c r="J232" s="20" t="inlineStr">
        <is>
          <t>Diretor</t>
        </is>
      </c>
      <c r="K232" s="20" t="inlineStr">
        <is>
          <t>(11) 3138-0500</t>
        </is>
      </c>
      <c r="L232" s="20" t="inlineStr"/>
      <c r="M232" s="20" t="inlineStr"/>
      <c r="N232" s="20" t="inlineStr"/>
      <c r="O232" s="20" t="inlineStr"/>
      <c r="P232" s="20" t="inlineStr">
        <is>
          <t>ALBERT ROUBEN</t>
        </is>
      </c>
      <c r="Q232" s="20" t="inlineStr">
        <is>
          <t>Diretor</t>
        </is>
      </c>
      <c r="R232" s="20" t="inlineStr">
        <is>
          <t>(11) 3138-0500</t>
        </is>
      </c>
      <c r="S232" s="20" t="inlineStr"/>
      <c r="T232" s="21" t="n">
        <v>1012247.65</v>
      </c>
      <c r="U232" s="22" t="inlineStr">
        <is>
          <t>B</t>
        </is>
      </c>
      <c r="V232" s="23">
        <f>IFERROR(VLOOKUP(U232,Assumptions!$A$7:$D$11,2,FALSE),0)</f>
        <v/>
      </c>
      <c r="W232" s="24">
        <f>MAX(0.5,IFERROR(VLOOKUP(U232,Assumptions!$A$7:$D$11,3,FALSE),3)+IFERROR(VLOOKUP(U232,Assumptions!$A$7:$D$11,4,FALSE),8)/2-IF(AN232="",0,YEAR(TODAY())-AN232))</f>
        <v/>
      </c>
      <c r="X232" s="21">
        <f>T232*V232/(1+Assumptions!$B$3)^W232</f>
        <v/>
      </c>
      <c r="Y232" s="25">
        <f>IF(T232=0,"",ROUND(X232/T232*100,1))</f>
        <v/>
      </c>
      <c r="Z232" s="26">
        <f>X232*Assumptions!$B$4</f>
        <v/>
      </c>
      <c r="AA232" s="25">
        <f>IF(T232=0,"",ROUND(Z232/T232*100,1))</f>
        <v/>
      </c>
      <c r="AB232" s="26">
        <f>X232-Z232</f>
        <v/>
      </c>
      <c r="AC232" s="25">
        <f>IF(T232=0,"",ROUND((X232-Z232)/T232*100,1))</f>
        <v/>
      </c>
      <c r="AD232" s="27" t="inlineStr">
        <is>
          <t>ESTIMATED</t>
        </is>
      </c>
      <c r="AE232" s="28" t="inlineStr">
        <is>
          <t>https://ajruiz.com.br/sites/default/files/public/arquivos-processos/2026-06/alto_uruguai_qgc_junho.2026.pdf</t>
        </is>
      </c>
      <c r="AF232" s="27" t="inlineStr">
        <is>
          <t>p1 r8</t>
        </is>
      </c>
      <c r="AG232" s="27" t="inlineStr">
        <is>
          <t>p1: R$ 1.012.247,65</t>
        </is>
      </c>
      <c r="AH232" s="27" t="inlineStr">
        <is>
          <t>UNKNOWN</t>
        </is>
      </c>
      <c r="AI232" s="27" t="inlineStr"/>
      <c r="AJ232" s="27" t="inlineStr">
        <is>
          <t>OK</t>
        </is>
      </c>
      <c r="AK232" s="29" t="inlineStr">
        <is>
          <t>5012743-51.2023.8.24.0019</t>
        </is>
      </c>
      <c r="AL232" s="29" t="inlineStr">
        <is>
          <t>TJSC</t>
        </is>
      </c>
      <c r="AM232" s="29" t="inlineStr">
        <is>
          <t>ACTIVE</t>
        </is>
      </c>
      <c r="AN232" s="29" t="n">
        <v>2023</v>
      </c>
      <c r="AO232" s="29" t="inlineStr">
        <is>
          <t>live case, no plan document yet</t>
        </is>
      </c>
      <c r="AP232" s="29" t="inlineStr">
        <is>
          <t>SAO PAULO</t>
        </is>
      </c>
      <c r="AQ232" s="29" t="inlineStr">
        <is>
          <t>SP</t>
        </is>
      </c>
      <c r="AR232" s="29" t="inlineStr">
        <is>
          <t>Bancos múltiplos, com carteira comercial</t>
        </is>
      </c>
      <c r="AS232" s="29" t="inlineStr">
        <is>
          <t>DEMAIS</t>
        </is>
      </c>
      <c r="AT232" s="29" t="inlineStr">
        <is>
          <t>LARGE CORP</t>
        </is>
      </c>
      <c r="AU232" s="29" t="inlineStr">
        <is>
          <t>62232889</t>
        </is>
      </c>
      <c r="AV232" s="29" t="n">
        <v>1</v>
      </c>
      <c r="AW232" s="29" t="inlineStr">
        <is>
          <t>LIKELY_FINANCIAL_BY_NAME ROWS:p1r8 VALUE_COL:Valor_Do_Crédito</t>
        </is>
      </c>
    </row>
    <row r="233">
      <c r="A233" s="15" t="inlineStr">
        <is>
          <t>ITAU UNIBANCO S.A.</t>
        </is>
      </c>
      <c r="B233" s="16" t="n">
        <v>1968048.14</v>
      </c>
      <c r="C233" s="17" t="inlineStr">
        <is>
          <t>DIAGSON DIAGNOSTICO EM ULTRA SONOGRAFIA MED FETAL LTDA - EM RECUPERACAO JUDICIAL</t>
        </is>
      </c>
      <c r="D233" s="18" t="inlineStr">
        <is>
          <t>NEW</t>
        </is>
      </c>
      <c r="E233" s="19" t="inlineStr"/>
      <c r="F233" s="18" t="inlineStr"/>
      <c r="G233" s="19" t="inlineStr"/>
      <c r="H233" s="18" t="inlineStr"/>
      <c r="I233" s="20" t="inlineStr">
        <is>
          <t>FELIPE SAMPAIO NABUCO</t>
        </is>
      </c>
      <c r="J233" s="20" t="inlineStr">
        <is>
          <t>Administrador</t>
        </is>
      </c>
      <c r="K233" s="20" t="inlineStr">
        <is>
          <t>(11) 3003-4828</t>
        </is>
      </c>
      <c r="L233" s="20" t="inlineStr"/>
      <c r="M233" s="20" t="inlineStr"/>
      <c r="N233" s="20" t="inlineStr"/>
      <c r="O233" s="20" t="inlineStr"/>
      <c r="P233" s="20" t="inlineStr">
        <is>
          <t>MILTON MALUHY FILHO</t>
        </is>
      </c>
      <c r="Q233" s="20" t="inlineStr">
        <is>
          <t>Presidente</t>
        </is>
      </c>
      <c r="R233" s="20" t="inlineStr">
        <is>
          <t>(11) 3003-4828</t>
        </is>
      </c>
      <c r="S233" s="20" t="inlineStr"/>
      <c r="T233" s="21" t="n">
        <v>1968048.14</v>
      </c>
      <c r="U233" s="22" t="inlineStr">
        <is>
          <t>B</t>
        </is>
      </c>
      <c r="V233" s="23">
        <f>IFERROR(VLOOKUP(U233,Assumptions!$A$7:$D$11,2,FALSE),0)</f>
        <v/>
      </c>
      <c r="W233" s="24">
        <f>MAX(0.5,IFERROR(VLOOKUP(U233,Assumptions!$A$7:$D$11,3,FALSE),3)+IFERROR(VLOOKUP(U233,Assumptions!$A$7:$D$11,4,FALSE),8)/2-IF(AN233="",0,YEAR(TODAY())-AN233))</f>
        <v/>
      </c>
      <c r="X233" s="21">
        <f>T233*V233/(1+Assumptions!$B$3)^W233</f>
        <v/>
      </c>
      <c r="Y233" s="25">
        <f>IF(T233=0,"",ROUND(X233/T233*100,1))</f>
        <v/>
      </c>
      <c r="Z233" s="26">
        <f>X233*Assumptions!$B$4</f>
        <v/>
      </c>
      <c r="AA233" s="25">
        <f>IF(T233=0,"",ROUND(Z233/T233*100,1))</f>
        <v/>
      </c>
      <c r="AB233" s="26">
        <f>X233-Z233</f>
        <v/>
      </c>
      <c r="AC233" s="25">
        <f>IF(T233=0,"",ROUND((X233-Z233)/T233*100,1))</f>
        <v/>
      </c>
      <c r="AD233" s="27" t="inlineStr">
        <is>
          <t>ESTIMATED</t>
        </is>
      </c>
      <c r="AE233" s="28" t="inlineStr">
        <is>
          <t>https://lrflideres.com.br/wp-content/plugins/download-attachments/includes/download.php?id=7418</t>
        </is>
      </c>
      <c r="AF233" s="27" t="inlineStr">
        <is>
          <t>p2 r67</t>
        </is>
      </c>
      <c r="AG233" s="27" t="inlineStr">
        <is>
          <t>p2: R$ 1.968.048,14</t>
        </is>
      </c>
      <c r="AH233" s="27" t="inlineStr">
        <is>
          <t>DEBTOR_LIST</t>
        </is>
      </c>
      <c r="AI233" s="27" t="inlineStr">
        <is>
          <t>2026-07-28</t>
        </is>
      </c>
      <c r="AJ233" s="27" t="inlineStr">
        <is>
          <t>QUARANTINED</t>
        </is>
      </c>
      <c r="AK233" s="29" t="inlineStr">
        <is>
          <t>0822279-56.2026.8.15.2001</t>
        </is>
      </c>
      <c r="AL233" s="29" t="inlineStr">
        <is>
          <t>TJPB</t>
        </is>
      </c>
      <c r="AM233" s="29" t="inlineStr">
        <is>
          <t>ACTIVE</t>
        </is>
      </c>
      <c r="AN233" s="29" t="n">
        <v>2026</v>
      </c>
      <c r="AO233" s="29" t="inlineStr">
        <is>
          <t>live case, no plan document yet</t>
        </is>
      </c>
      <c r="AP233" s="29" t="inlineStr">
        <is>
          <t>SAO PAULO</t>
        </is>
      </c>
      <c r="AQ233" s="29" t="inlineStr">
        <is>
          <t>SP</t>
        </is>
      </c>
      <c r="AR233" s="29" t="inlineStr">
        <is>
          <t>Bancos comerciais</t>
        </is>
      </c>
      <c r="AS233" s="29" t="inlineStr">
        <is>
          <t>DEMAIS</t>
        </is>
      </c>
      <c r="AT233" s="29" t="inlineStr">
        <is>
          <t>LARGE CORP</t>
        </is>
      </c>
      <c r="AU233" s="29" t="inlineStr">
        <is>
          <t>60701190</t>
        </is>
      </c>
      <c r="AV233" s="29" t="n">
        <v>1</v>
      </c>
      <c r="AW233" s="29" t="inlineStr">
        <is>
          <t>LIKELY_FINANCIAL_BY_NAME PARTIAL_DOC_CLASS_III_RECONCILED ROWS:p2r67</t>
        </is>
      </c>
    </row>
    <row r="234">
      <c r="A234" s="15" t="inlineStr">
        <is>
          <t>Banco Industrial Do Brasil S.A.</t>
        </is>
      </c>
      <c r="B234" s="16" t="n">
        <v>1003333.32</v>
      </c>
      <c r="C234" s="17" t="inlineStr">
        <is>
          <t>VEV COMERCIO DE MEDICAMENTOS LTDA EM RECUPERACAO JUDICIAL</t>
        </is>
      </c>
      <c r="D234" s="18" t="inlineStr">
        <is>
          <t>NEW</t>
        </is>
      </c>
      <c r="E234" s="19" t="inlineStr"/>
      <c r="F234" s="18" t="inlineStr"/>
      <c r="G234" s="19" t="inlineStr"/>
      <c r="H234" s="18" t="inlineStr"/>
      <c r="I234" s="20" t="inlineStr"/>
      <c r="J234" s="20" t="inlineStr"/>
      <c r="K234" s="20" t="inlineStr"/>
      <c r="L234" s="20" t="inlineStr"/>
      <c r="M234" s="20" t="inlineStr"/>
      <c r="N234" s="20" t="inlineStr"/>
      <c r="O234" s="20" t="inlineStr"/>
      <c r="P234" s="20" t="inlineStr"/>
      <c r="Q234" s="20" t="inlineStr"/>
      <c r="R234" s="20" t="inlineStr"/>
      <c r="S234" s="20" t="inlineStr"/>
      <c r="T234" s="21" t="n">
        <v>1003333.32</v>
      </c>
      <c r="U234" s="22" t="inlineStr">
        <is>
          <t>B</t>
        </is>
      </c>
      <c r="V234" s="23">
        <f>IFERROR(VLOOKUP(U234,Assumptions!$A$7:$D$11,2,FALSE),0)</f>
        <v/>
      </c>
      <c r="W234" s="24">
        <f>MAX(0.5,IFERROR(VLOOKUP(U234,Assumptions!$A$7:$D$11,3,FALSE),3)+IFERROR(VLOOKUP(U234,Assumptions!$A$7:$D$11,4,FALSE),8)/2-IF(AN234="",0,YEAR(TODAY())-AN234))</f>
        <v/>
      </c>
      <c r="X234" s="21">
        <f>T234*V234/(1+Assumptions!$B$3)^W234</f>
        <v/>
      </c>
      <c r="Y234" s="25">
        <f>IF(T234=0,"",ROUND(X234/T234*100,1))</f>
        <v/>
      </c>
      <c r="Z234" s="26">
        <f>X234*Assumptions!$B$4</f>
        <v/>
      </c>
      <c r="AA234" s="25">
        <f>IF(T234=0,"",ROUND(Z234/T234*100,1))</f>
        <v/>
      </c>
      <c r="AB234" s="26">
        <f>X234-Z234</f>
        <v/>
      </c>
      <c r="AC234" s="25">
        <f>IF(T234=0,"",ROUND((X234-Z234)/T234*100,1))</f>
        <v/>
      </c>
      <c r="AD234" s="27" t="inlineStr">
        <is>
          <t>ESTIMATED</t>
        </is>
      </c>
      <c r="AE234" s="28" t="inlineStr">
        <is>
          <t>https://marquesadmjudicial.com.br/sgc/download.php?file=files/processo_documento/processo_documento15293208032024_1_.pdf&amp;nome=Relação Nominal de Credores da AJ-Sintética</t>
        </is>
      </c>
      <c r="AF234" s="27" t="inlineStr">
        <is>
          <t>p21 r3</t>
        </is>
      </c>
      <c r="AG234" s="27" t="inlineStr">
        <is>
          <t>p21: R$ 1.003.333,32</t>
        </is>
      </c>
      <c r="AH234" s="27" t="inlineStr">
        <is>
          <t>AJ_LIST</t>
        </is>
      </c>
      <c r="AI234" s="27" t="inlineStr">
        <is>
          <t>2023-03-02</t>
        </is>
      </c>
      <c r="AJ234" s="27" t="inlineStr">
        <is>
          <t>QUARANTINED</t>
        </is>
      </c>
      <c r="AK234" s="29" t="inlineStr">
        <is>
          <t>0005010-98.2023.8.16.0001</t>
        </is>
      </c>
      <c r="AL234" s="29" t="inlineStr">
        <is>
          <t>TJPR</t>
        </is>
      </c>
      <c r="AM234" s="29" t="inlineStr">
        <is>
          <t>ACTIVE</t>
        </is>
      </c>
      <c r="AN234" s="29" t="n">
        <v>2023</v>
      </c>
      <c r="AO234" s="29" t="inlineStr">
        <is>
          <t>live case, no plan document yet</t>
        </is>
      </c>
      <c r="AP234" s="29" t="inlineStr"/>
      <c r="AQ234" s="29" t="inlineStr"/>
      <c r="AR234" s="29" t="inlineStr"/>
      <c r="AS234" s="29" t="inlineStr"/>
      <c r="AT234" s="29" t="inlineStr">
        <is>
          <t>MID-MARKET</t>
        </is>
      </c>
      <c r="AU234" s="29" t="inlineStr">
        <is>
          <t>31895683</t>
        </is>
      </c>
      <c r="AV234" s="29" t="n">
        <v>1</v>
      </c>
      <c r="AW234" s="29" t="inlineStr">
        <is>
          <t>LIKELY_FINANCIAL_BY_NAME PARTIAL_DOC_CLASS_III_RECONCILED ROWS:p21r3</t>
        </is>
      </c>
    </row>
    <row r="235">
      <c r="A235" s="15" t="inlineStr">
        <is>
          <t>EVOQUE SECURITIZADORA S.A. (</t>
        </is>
      </c>
      <c r="B235" s="16" t="n">
        <v>2006117.28</v>
      </c>
      <c r="C235" s="17" t="inlineStr">
        <is>
          <t>VECTOR INDUSTRIA DE PRODUTOS METALURGICOS LTDA - EM RECUPERACAO JUDICIAL</t>
        </is>
      </c>
      <c r="D235" s="18" t="inlineStr">
        <is>
          <t>NEW</t>
        </is>
      </c>
      <c r="E235" s="19" t="inlineStr"/>
      <c r="F235" s="18" t="inlineStr"/>
      <c r="G235" s="19" t="inlineStr"/>
      <c r="H235" s="18" t="inlineStr"/>
      <c r="I235" s="20" t="inlineStr"/>
      <c r="J235" s="20" t="inlineStr"/>
      <c r="K235" s="20" t="inlineStr"/>
      <c r="L235" s="20" t="inlineStr"/>
      <c r="M235" s="20" t="inlineStr"/>
      <c r="N235" s="20" t="inlineStr"/>
      <c r="O235" s="20" t="inlineStr"/>
      <c r="P235" s="20" t="inlineStr"/>
      <c r="Q235" s="20" t="inlineStr"/>
      <c r="R235" s="20" t="inlineStr"/>
      <c r="S235" s="20" t="inlineStr"/>
      <c r="T235" s="21" t="n">
        <v>2006117.28</v>
      </c>
      <c r="U235" s="31" t="inlineStr">
        <is>
          <t>C</t>
        </is>
      </c>
      <c r="V235" s="23">
        <f>IFERROR(VLOOKUP(U235,Assumptions!$A$7:$D$11,2,FALSE),0)</f>
        <v/>
      </c>
      <c r="W235" s="24">
        <f>MAX(0.5,IFERROR(VLOOKUP(U235,Assumptions!$A$7:$D$11,3,FALSE),3)+IFERROR(VLOOKUP(U235,Assumptions!$A$7:$D$11,4,FALSE),8)/2-IF(AN235="",0,YEAR(TODAY())-AN235))</f>
        <v/>
      </c>
      <c r="X235" s="21">
        <f>T235*V235/(1+Assumptions!$B$3)^W235</f>
        <v/>
      </c>
      <c r="Y235" s="25">
        <f>IF(T235=0,"",ROUND(X235/T235*100,1))</f>
        <v/>
      </c>
      <c r="Z235" s="26">
        <f>X235*Assumptions!$B$4</f>
        <v/>
      </c>
      <c r="AA235" s="25">
        <f>IF(T235=0,"",ROUND(Z235/T235*100,1))</f>
        <v/>
      </c>
      <c r="AB235" s="26">
        <f>X235-Z235</f>
        <v/>
      </c>
      <c r="AC235" s="25">
        <f>IF(T235=0,"",ROUND((X235-Z235)/T235*100,1))</f>
        <v/>
      </c>
      <c r="AD235" s="27" t="inlineStr">
        <is>
          <t>ESTIMATED</t>
        </is>
      </c>
      <c r="AE235" s="28" t="inlineStr">
        <is>
          <t>https://scalzilliaj.com.br/sgc/download.php?file=files/processo_documento/processo_documento15513401112022_1_.pdf&amp;nome=15 - Edital do art. 7º, §2º (segunda lista de credores) e do art. 53 da Lei 11.101/2005 (recebimento do plano)</t>
        </is>
      </c>
      <c r="AF235" s="27" t="inlineStr">
        <is>
          <t>p7 r2</t>
        </is>
      </c>
      <c r="AG235" s="27" t="inlineStr">
        <is>
          <t>p7: R$ 2.006.117,28</t>
        </is>
      </c>
      <c r="AH235" s="27" t="inlineStr">
        <is>
          <t>AJ_LIST</t>
        </is>
      </c>
      <c r="AI235" s="27" t="inlineStr">
        <is>
          <t>2022-11-01</t>
        </is>
      </c>
      <c r="AJ235" s="27" t="inlineStr">
        <is>
          <t>OK_NO_TOTALS</t>
        </is>
      </c>
      <c r="AK235" s="29" t="inlineStr">
        <is>
          <t>5014104-85.2021.8.21.0010</t>
        </is>
      </c>
      <c r="AL235" s="29" t="inlineStr">
        <is>
          <t>TJRS</t>
        </is>
      </c>
      <c r="AM235" s="29" t="inlineStr">
        <is>
          <t>ACTIVE</t>
        </is>
      </c>
      <c r="AN235" s="29" t="n">
        <v>2021</v>
      </c>
      <c r="AO235" s="29" t="inlineStr">
        <is>
          <t>5y since filing, no plan document</t>
        </is>
      </c>
      <c r="AP235" s="29" t="inlineStr"/>
      <c r="AQ235" s="29" t="inlineStr"/>
      <c r="AR235" s="29" t="inlineStr"/>
      <c r="AS235" s="29" t="inlineStr"/>
      <c r="AT235" s="29" t="inlineStr">
        <is>
          <t>MID-MARKET</t>
        </is>
      </c>
      <c r="AU235" s="29" t="inlineStr">
        <is>
          <t>22007308</t>
        </is>
      </c>
      <c r="AV235" s="29" t="n">
        <v>1</v>
      </c>
      <c r="AW235" s="29" t="inlineStr">
        <is>
          <t>LIKELY_FINANCIAL_BY_NAME ROWS:p7r2 UNRECONCILED_SOURCE</t>
        </is>
      </c>
    </row>
    <row r="236">
      <c r="A236" s="15" t="inlineStr">
        <is>
          <t>BANCO SAFRA S A</t>
        </is>
      </c>
      <c r="B236" s="16" t="n">
        <v>997900.2</v>
      </c>
      <c r="C236" s="17" t="inlineStr">
        <is>
          <t>Conduscabos Brasil Indústria Comércio de</t>
        </is>
      </c>
      <c r="D236" s="18" t="inlineStr">
        <is>
          <t>NEW</t>
        </is>
      </c>
      <c r="E236" s="19" t="inlineStr"/>
      <c r="F236" s="18" t="inlineStr"/>
      <c r="G236" s="19" t="inlineStr"/>
      <c r="H236" s="18" t="inlineStr"/>
      <c r="I236" s="20" t="inlineStr">
        <is>
          <t>RAFAEL BORDALO QUINTAS</t>
        </is>
      </c>
      <c r="J236" s="20" t="inlineStr">
        <is>
          <t>Administrador</t>
        </is>
      </c>
      <c r="K236" s="20" t="inlineStr">
        <is>
          <t>(11) 3175-7575</t>
        </is>
      </c>
      <c r="L236" s="20" t="inlineStr"/>
      <c r="M236" s="20" t="inlineStr"/>
      <c r="N236" s="20" t="inlineStr"/>
      <c r="O236" s="20" t="inlineStr"/>
      <c r="P236" s="20" t="inlineStr">
        <is>
          <t>ADRIANO MACIEL PEDROTI</t>
        </is>
      </c>
      <c r="Q236" s="20" t="inlineStr">
        <is>
          <t>Diretor</t>
        </is>
      </c>
      <c r="R236" s="20" t="inlineStr">
        <is>
          <t>(11) 3175-7575</t>
        </is>
      </c>
      <c r="S236" s="20" t="inlineStr"/>
      <c r="T236" s="21" t="n">
        <v>997900.2</v>
      </c>
      <c r="U236" s="22" t="inlineStr">
        <is>
          <t>B</t>
        </is>
      </c>
      <c r="V236" s="23">
        <f>IFERROR(VLOOKUP(U236,Assumptions!$A$7:$D$11,2,FALSE),0)</f>
        <v/>
      </c>
      <c r="W236" s="24">
        <f>MAX(0.5,IFERROR(VLOOKUP(U236,Assumptions!$A$7:$D$11,3,FALSE),3)+IFERROR(VLOOKUP(U236,Assumptions!$A$7:$D$11,4,FALSE),8)/2-IF(AN236="",0,YEAR(TODAY())-AN236))</f>
        <v/>
      </c>
      <c r="X236" s="21">
        <f>T236*V236/(1+Assumptions!$B$3)^W236</f>
        <v/>
      </c>
      <c r="Y236" s="25">
        <f>IF(T236=0,"",ROUND(X236/T236*100,1))</f>
        <v/>
      </c>
      <c r="Z236" s="26">
        <f>X236*Assumptions!$B$4</f>
        <v/>
      </c>
      <c r="AA236" s="25">
        <f>IF(T236=0,"",ROUND(Z236/T236*100,1))</f>
        <v/>
      </c>
      <c r="AB236" s="26">
        <f>X236-Z236</f>
        <v/>
      </c>
      <c r="AC236" s="25">
        <f>IF(T236=0,"",ROUND((X236-Z236)/T236*100,1))</f>
        <v/>
      </c>
      <c r="AD236" s="27" t="inlineStr">
        <is>
          <t>ESTIMATED</t>
        </is>
      </c>
      <c r="AE236" s="28" t="inlineStr">
        <is>
          <t>https://assistjud.com.br/wp-content/uploads/elementor/forms/65098c80a5824.pdf</t>
        </is>
      </c>
      <c r="AF236" s="27" t="inlineStr">
        <is>
          <t>p5 r12; p17 r6</t>
        </is>
      </c>
      <c r="AG236" s="27" t="inlineStr">
        <is>
          <t>p5: R$ 796.286,94; p17: R$ 201.613,26</t>
        </is>
      </c>
      <c r="AH236" s="27" t="inlineStr">
        <is>
          <t>AJ_LIST</t>
        </is>
      </c>
      <c r="AI236" s="27" t="inlineStr">
        <is>
          <t>2023-09-18</t>
        </is>
      </c>
      <c r="AJ236" s="27" t="inlineStr">
        <is>
          <t>OK_NO_TOTALS</t>
        </is>
      </c>
      <c r="AK236" s="29" t="inlineStr">
        <is>
          <t>8005129-09.2023.8.05.0039</t>
        </is>
      </c>
      <c r="AL236" s="29" t="inlineStr">
        <is>
          <t>TJBA</t>
        </is>
      </c>
      <c r="AM236" s="29" t="inlineStr">
        <is>
          <t>ACTIVE</t>
        </is>
      </c>
      <c r="AN236" s="29" t="n">
        <v>2023</v>
      </c>
      <c r="AO236" s="29" t="inlineStr">
        <is>
          <t>live case, no plan document yet</t>
        </is>
      </c>
      <c r="AP236" s="29" t="inlineStr">
        <is>
          <t>SAO PAULO</t>
        </is>
      </c>
      <c r="AQ236" s="29" t="inlineStr">
        <is>
          <t>SP</t>
        </is>
      </c>
      <c r="AR236" s="29" t="inlineStr">
        <is>
          <t>Bancos múltiplos, com carteira comercial</t>
        </is>
      </c>
      <c r="AS236" s="29" t="inlineStr">
        <is>
          <t>DEMAIS</t>
        </is>
      </c>
      <c r="AT236" s="29" t="inlineStr">
        <is>
          <t>LARGE CORP</t>
        </is>
      </c>
      <c r="AU236" s="29" t="inlineStr">
        <is>
          <t>58160789</t>
        </is>
      </c>
      <c r="AV236" s="29" t="n">
        <v>2</v>
      </c>
      <c r="AW236" s="29" t="inlineStr">
        <is>
          <t>LIKELY_FINANCIAL_BY_NAME ROWS:p5r12,p17r6 UNRECONCILED_SOURCE VALUE_COL:Valor_Do_Crédito_2º_Edital_De_Credores</t>
        </is>
      </c>
    </row>
    <row r="237">
      <c r="A237" s="15" t="inlineStr">
        <is>
          <t>TRUSTHUB SECURITIZADORA SA</t>
        </is>
      </c>
      <c r="B237" s="16" t="n">
        <v>1533721.91</v>
      </c>
      <c r="C237" s="17" t="inlineStr">
        <is>
          <t>ATIVOS ADMINISTRAÇÃO JUDICIA</t>
        </is>
      </c>
      <c r="D237" s="18" t="inlineStr">
        <is>
          <t>NEW</t>
        </is>
      </c>
      <c r="E237" s="19" t="inlineStr"/>
      <c r="F237" s="18" t="inlineStr"/>
      <c r="G237" s="19" t="inlineStr"/>
      <c r="H237" s="18" t="inlineStr"/>
      <c r="I237" s="20" t="inlineStr"/>
      <c r="J237" s="20" t="inlineStr"/>
      <c r="K237" s="20" t="inlineStr"/>
      <c r="L237" s="20" t="inlineStr"/>
      <c r="M237" s="20" t="inlineStr"/>
      <c r="N237" s="20" t="inlineStr"/>
      <c r="O237" s="20" t="inlineStr"/>
      <c r="P237" s="20" t="inlineStr"/>
      <c r="Q237" s="20" t="inlineStr"/>
      <c r="R237" s="20" t="inlineStr"/>
      <c r="S237" s="20" t="inlineStr"/>
      <c r="T237" s="21" t="n">
        <v>1533721.91</v>
      </c>
      <c r="U237" s="22" t="inlineStr">
        <is>
          <t>B</t>
        </is>
      </c>
      <c r="V237" s="23">
        <f>IFERROR(VLOOKUP(U237,Assumptions!$A$7:$D$11,2,FALSE),0)</f>
        <v/>
      </c>
      <c r="W237" s="24">
        <f>MAX(0.5,IFERROR(VLOOKUP(U237,Assumptions!$A$7:$D$11,3,FALSE),3)+IFERROR(VLOOKUP(U237,Assumptions!$A$7:$D$11,4,FALSE),8)/2-IF(AN237="",0,YEAR(TODAY())-AN237))</f>
        <v/>
      </c>
      <c r="X237" s="21">
        <f>T237*V237/(1+Assumptions!$B$3)^W237</f>
        <v/>
      </c>
      <c r="Y237" s="25">
        <f>IF(T237=0,"",ROUND(X237/T237*100,1))</f>
        <v/>
      </c>
      <c r="Z237" s="26">
        <f>X237*Assumptions!$B$4</f>
        <v/>
      </c>
      <c r="AA237" s="25">
        <f>IF(T237=0,"",ROUND(Z237/T237*100,1))</f>
        <v/>
      </c>
      <c r="AB237" s="26">
        <f>X237-Z237</f>
        <v/>
      </c>
      <c r="AC237" s="25">
        <f>IF(T237=0,"",ROUND((X237-Z237)/T237*100,1))</f>
        <v/>
      </c>
      <c r="AD237" s="27" t="inlineStr">
        <is>
          <t>ESTIMATED</t>
        </is>
      </c>
      <c r="AE237" s="28" t="inlineStr">
        <is>
          <t>https://ativosajce.com.br/admin/download.php?file=files/processo_documento/processo_documento13422625032025_1_.pdf&amp;nome=Relação de Credores - Art. 52º § 1º, da Lei nº 11.101/2005 - 25/02/2025</t>
        </is>
      </c>
      <c r="AF237" s="27" t="inlineStr">
        <is>
          <t>p5 r32; p5 r33</t>
        </is>
      </c>
      <c r="AG237" s="27" t="inlineStr">
        <is>
          <t>p5: R$ 484.500,00; p5: R$ 1.049.221,91</t>
        </is>
      </c>
      <c r="AH237" s="27" t="inlineStr">
        <is>
          <t>UNKNOWN</t>
        </is>
      </c>
      <c r="AI237" s="27" t="inlineStr">
        <is>
          <t>2025-02-28</t>
        </is>
      </c>
      <c r="AJ237" s="27" t="inlineStr">
        <is>
          <t>OK_NO_TOTALS</t>
        </is>
      </c>
      <c r="AK237" s="29" t="inlineStr">
        <is>
          <t>1000119-75.2025.8.26.0354</t>
        </is>
      </c>
      <c r="AL237" s="29" t="inlineStr">
        <is>
          <t>TJSP</t>
        </is>
      </c>
      <c r="AM237" s="29" t="inlineStr">
        <is>
          <t>ACTIVE</t>
        </is>
      </c>
      <c r="AN237" s="29" t="n">
        <v>2025</v>
      </c>
      <c r="AO237" s="29" t="inlineStr">
        <is>
          <t>live case, no plan document yet</t>
        </is>
      </c>
      <c r="AP237" s="29" t="inlineStr"/>
      <c r="AQ237" s="29" t="inlineStr"/>
      <c r="AR237" s="29" t="inlineStr"/>
      <c r="AS237" s="29" t="inlineStr"/>
      <c r="AT237" s="29" t="inlineStr">
        <is>
          <t>MID-MARKET</t>
        </is>
      </c>
      <c r="AU237" s="29" t="inlineStr">
        <is>
          <t>02211906</t>
        </is>
      </c>
      <c r="AV237" s="29" t="n">
        <v>2</v>
      </c>
      <c r="AW237" s="29" t="inlineStr">
        <is>
          <t>LIKELY_FINANCIAL_BY_NAME ROWS:p5r32,p5r33 UNRECONCILED_SOURCE</t>
        </is>
      </c>
    </row>
    <row r="238">
      <c r="A238" s="15" t="inlineStr">
        <is>
          <t>Brasfor Fundo De Investimento Em Direitos Creditorios Multisetorial</t>
        </is>
      </c>
      <c r="B238" s="16" t="n">
        <v>980674</v>
      </c>
      <c r="C238" s="17" t="inlineStr">
        <is>
          <t>ADVOCACIA WANDERLEI DE PAULA BARRETO</t>
        </is>
      </c>
      <c r="D238" s="18" t="inlineStr">
        <is>
          <t>NEW</t>
        </is>
      </c>
      <c r="E238" s="19" t="inlineStr"/>
      <c r="F238" s="18" t="inlineStr"/>
      <c r="G238" s="19" t="inlineStr"/>
      <c r="H238" s="18" t="inlineStr"/>
      <c r="I238" s="20" t="inlineStr"/>
      <c r="J238" s="20" t="inlineStr"/>
      <c r="K238" s="20" t="inlineStr"/>
      <c r="L238" s="20" t="inlineStr"/>
      <c r="M238" s="20" t="inlineStr"/>
      <c r="N238" s="20" t="inlineStr"/>
      <c r="O238" s="20" t="inlineStr"/>
      <c r="P238" s="20" t="inlineStr"/>
      <c r="Q238" s="20" t="inlineStr"/>
      <c r="R238" s="20" t="inlineStr"/>
      <c r="S238" s="20" t="inlineStr"/>
      <c r="T238" s="21" t="n">
        <v>980674</v>
      </c>
      <c r="U238" s="22" t="inlineStr">
        <is>
          <t>B</t>
        </is>
      </c>
      <c r="V238" s="23">
        <f>IFERROR(VLOOKUP(U238,Assumptions!$A$7:$D$11,2,FALSE),0)</f>
        <v/>
      </c>
      <c r="W238" s="24">
        <f>MAX(0.5,IFERROR(VLOOKUP(U238,Assumptions!$A$7:$D$11,3,FALSE),3)+IFERROR(VLOOKUP(U238,Assumptions!$A$7:$D$11,4,FALSE),8)/2-IF(AN238="",0,YEAR(TODAY())-AN238))</f>
        <v/>
      </c>
      <c r="X238" s="21">
        <f>T238*V238/(1+Assumptions!$B$3)^W238</f>
        <v/>
      </c>
      <c r="Y238" s="25">
        <f>IF(T238=0,"",ROUND(X238/T238*100,1))</f>
        <v/>
      </c>
      <c r="Z238" s="26">
        <f>X238*Assumptions!$B$4</f>
        <v/>
      </c>
      <c r="AA238" s="25">
        <f>IF(T238=0,"",ROUND(Z238/T238*100,1))</f>
        <v/>
      </c>
      <c r="AB238" s="26">
        <f>X238-Z238</f>
        <v/>
      </c>
      <c r="AC238" s="25">
        <f>IF(T238=0,"",ROUND((X238-Z238)/T238*100,1))</f>
        <v/>
      </c>
      <c r="AD238" s="27" t="inlineStr">
        <is>
          <t>ESTIMATED</t>
        </is>
      </c>
      <c r="AE238" s="28" t="inlineStr">
        <is>
          <t>https://marquesadmjudicial.com.br/sgc/download.php?file=files/processo_documento/processo_documento17040729052024_1_.pdf&amp;nome=Relação Nominal de Credores AJ-Sintética</t>
        </is>
      </c>
      <c r="AF238" s="27" t="inlineStr">
        <is>
          <t>p10 r10</t>
        </is>
      </c>
      <c r="AG238" s="27" t="inlineStr">
        <is>
          <t>p10: R$ 980.674,00</t>
        </is>
      </c>
      <c r="AH238" s="27" t="inlineStr">
        <is>
          <t>AJ_LIST</t>
        </is>
      </c>
      <c r="AI238" s="27" t="inlineStr">
        <is>
          <t>2024-05-27</t>
        </is>
      </c>
      <c r="AJ238" s="27" t="inlineStr">
        <is>
          <t>QUARANTINED</t>
        </is>
      </c>
      <c r="AK238" s="29" t="inlineStr">
        <is>
          <t>0003971-03.2023.8.16.0119</t>
        </is>
      </c>
      <c r="AL238" s="29" t="inlineStr">
        <is>
          <t>TJPR</t>
        </is>
      </c>
      <c r="AM238" s="29" t="inlineStr">
        <is>
          <t>ACTIVE</t>
        </is>
      </c>
      <c r="AN238" s="29" t="n">
        <v>2023</v>
      </c>
      <c r="AO238" s="29" t="inlineStr">
        <is>
          <t>live case, no plan document yet</t>
        </is>
      </c>
      <c r="AP238" s="29" t="inlineStr"/>
      <c r="AQ238" s="29" t="inlineStr"/>
      <c r="AR238" s="29" t="inlineStr"/>
      <c r="AS238" s="29" t="inlineStr"/>
      <c r="AT238" s="29" t="inlineStr">
        <is>
          <t>MID-MARKET</t>
        </is>
      </c>
      <c r="AU238" s="29" t="inlineStr">
        <is>
          <t>18862277</t>
        </is>
      </c>
      <c r="AV238" s="29" t="n">
        <v>1</v>
      </c>
      <c r="AW238" s="29" t="inlineStr">
        <is>
          <t>LIKELY_FINANCIAL_BY_NAME PARTIAL_DOC_CLASS_III_RECONCILED ROWS:p10r10</t>
        </is>
      </c>
    </row>
    <row r="239">
      <c r="A239" s="15" t="inlineStr">
        <is>
          <t>BANCO SAFRA S A</t>
        </is>
      </c>
      <c r="B239" s="16" t="n">
        <v>1504790.25</v>
      </c>
      <c r="C239" s="17" t="inlineStr">
        <is>
          <t>Cerealista Sa</t>
        </is>
      </c>
      <c r="D239" s="18" t="inlineStr">
        <is>
          <t>NEW</t>
        </is>
      </c>
      <c r="E239" s="19" t="inlineStr"/>
      <c r="F239" s="18" t="inlineStr"/>
      <c r="G239" s="19" t="inlineStr"/>
      <c r="H239" s="18" t="inlineStr"/>
      <c r="I239" s="20" t="inlineStr">
        <is>
          <t>RAFAEL BORDALO QUINTAS</t>
        </is>
      </c>
      <c r="J239" s="20" t="inlineStr">
        <is>
          <t>Administrador</t>
        </is>
      </c>
      <c r="K239" s="20" t="inlineStr">
        <is>
          <t>(11) 3175-7575</t>
        </is>
      </c>
      <c r="L239" s="20" t="inlineStr"/>
      <c r="M239" s="20" t="inlineStr"/>
      <c r="N239" s="20" t="inlineStr"/>
      <c r="O239" s="20" t="inlineStr"/>
      <c r="P239" s="20" t="inlineStr">
        <is>
          <t>ADRIANO MACIEL PEDROTI</t>
        </is>
      </c>
      <c r="Q239" s="20" t="inlineStr">
        <is>
          <t>Diretor</t>
        </is>
      </c>
      <c r="R239" s="20" t="inlineStr">
        <is>
          <t>(11) 3175-7575</t>
        </is>
      </c>
      <c r="S239" s="20" t="inlineStr"/>
      <c r="T239" s="21" t="n">
        <v>1504790.25</v>
      </c>
      <c r="U239" s="22" t="inlineStr">
        <is>
          <t>B</t>
        </is>
      </c>
      <c r="V239" s="23">
        <f>IFERROR(VLOOKUP(U239,Assumptions!$A$7:$D$11,2,FALSE),0)</f>
        <v/>
      </c>
      <c r="W239" s="24">
        <f>MAX(0.5,IFERROR(VLOOKUP(U239,Assumptions!$A$7:$D$11,3,FALSE),3)+IFERROR(VLOOKUP(U239,Assumptions!$A$7:$D$11,4,FALSE),8)/2-IF(AN239="",0,YEAR(TODAY())-AN239))</f>
        <v/>
      </c>
      <c r="X239" s="21">
        <f>T239*V239/(1+Assumptions!$B$3)^W239</f>
        <v/>
      </c>
      <c r="Y239" s="25">
        <f>IF(T239=0,"",ROUND(X239/T239*100,1))</f>
        <v/>
      </c>
      <c r="Z239" s="26">
        <f>X239*Assumptions!$B$4</f>
        <v/>
      </c>
      <c r="AA239" s="25">
        <f>IF(T239=0,"",ROUND(Z239/T239*100,1))</f>
        <v/>
      </c>
      <c r="AB239" s="26">
        <f>X239-Z239</f>
        <v/>
      </c>
      <c r="AC239" s="25">
        <f>IF(T239=0,"",ROUND((X239-Z239)/T239*100,1))</f>
        <v/>
      </c>
      <c r="AD239" s="27" t="inlineStr">
        <is>
          <t>ESTIMATED</t>
        </is>
      </c>
      <c r="AE239" s="28" t="inlineStr">
        <is>
          <t>https://ajruiz.com.br/sites/default/files/public/arquivos-processos/2026-01/safrasul_relacao_de_credores_recuperanda.pdf</t>
        </is>
      </c>
      <c r="AF239" s="27" t="inlineStr">
        <is>
          <t>p8 r31; p8 r32; p8 r33</t>
        </is>
      </c>
      <c r="AG239" s="27" t="inlineStr">
        <is>
          <t>p8: R$ 474.497,77; p8: R$ 930.292,48; p8: R$ 100.000,00</t>
        </is>
      </c>
      <c r="AH239" s="27" t="inlineStr">
        <is>
          <t>AJ_LIST</t>
        </is>
      </c>
      <c r="AI239" s="27" t="inlineStr">
        <is>
          <t>2026-01-14</t>
        </is>
      </c>
      <c r="AJ239" s="27" t="inlineStr">
        <is>
          <t>OK_NO_TOTALS</t>
        </is>
      </c>
      <c r="AK239" s="29" t="inlineStr">
        <is>
          <t>4000167-23.2025.8.26.0373</t>
        </is>
      </c>
      <c r="AL239" s="29" t="inlineStr">
        <is>
          <t>TJSP</t>
        </is>
      </c>
      <c r="AM239" s="29" t="inlineStr">
        <is>
          <t>ACTIVE</t>
        </is>
      </c>
      <c r="AN239" s="29" t="n">
        <v>2025</v>
      </c>
      <c r="AO239" s="29" t="inlineStr">
        <is>
          <t>live case, no plan document yet</t>
        </is>
      </c>
      <c r="AP239" s="29" t="inlineStr">
        <is>
          <t>SAO PAULO</t>
        </is>
      </c>
      <c r="AQ239" s="29" t="inlineStr">
        <is>
          <t>SP</t>
        </is>
      </c>
      <c r="AR239" s="29" t="inlineStr">
        <is>
          <t>Bancos múltiplos, com carteira comercial</t>
        </is>
      </c>
      <c r="AS239" s="29" t="inlineStr">
        <is>
          <t>DEMAIS</t>
        </is>
      </c>
      <c r="AT239" s="29" t="inlineStr">
        <is>
          <t>LARGE CORP</t>
        </is>
      </c>
      <c r="AU239" s="29" t="inlineStr">
        <is>
          <t>58160789</t>
        </is>
      </c>
      <c r="AV239" s="29" t="n">
        <v>3</v>
      </c>
      <c r="AW239" s="29" t="inlineStr">
        <is>
          <t>LIKELY_FINANCIAL_BY_NAME ROWS:p8r31,p8r32,p8r33 UNRECONCILED_SOURCE</t>
        </is>
      </c>
    </row>
    <row r="240">
      <c r="A240" s="15" t="inlineStr">
        <is>
          <t>REDFACTOR FACTORING E FOMENTO COMERCIAL S/A</t>
        </is>
      </c>
      <c r="B240" s="16" t="n">
        <v>1097808.59</v>
      </c>
      <c r="C240" s="17" t="inlineStr"/>
      <c r="D240" s="18" t="inlineStr">
        <is>
          <t>NEW</t>
        </is>
      </c>
      <c r="E240" s="19" t="inlineStr"/>
      <c r="F240" s="18" t="inlineStr"/>
      <c r="G240" s="19" t="inlineStr"/>
      <c r="H240" s="18" t="inlineStr"/>
      <c r="I240" s="20" t="inlineStr"/>
      <c r="J240" s="20" t="inlineStr"/>
      <c r="K240" s="20" t="inlineStr"/>
      <c r="L240" s="20" t="inlineStr"/>
      <c r="M240" s="20" t="inlineStr"/>
      <c r="N240" s="20" t="inlineStr"/>
      <c r="O240" s="20" t="inlineStr"/>
      <c r="P240" s="20" t="inlineStr"/>
      <c r="Q240" s="20" t="inlineStr"/>
      <c r="R240" s="20" t="inlineStr"/>
      <c r="S240" s="20" t="inlineStr"/>
      <c r="T240" s="21" t="n">
        <v>1097808.59</v>
      </c>
      <c r="U240" s="31" t="inlineStr">
        <is>
          <t>C</t>
        </is>
      </c>
      <c r="V240" s="23">
        <f>IFERROR(VLOOKUP(U240,Assumptions!$A$7:$D$11,2,FALSE),0)</f>
        <v/>
      </c>
      <c r="W240" s="24">
        <f>MAX(0.5,IFERROR(VLOOKUP(U240,Assumptions!$A$7:$D$11,3,FALSE),3)+IFERROR(VLOOKUP(U240,Assumptions!$A$7:$D$11,4,FALSE),8)/2-IF(AN240="",0,YEAR(TODAY())-AN240))</f>
        <v/>
      </c>
      <c r="X240" s="21">
        <f>T240*V240/(1+Assumptions!$B$3)^W240</f>
        <v/>
      </c>
      <c r="Y240" s="25">
        <f>IF(T240=0,"",ROUND(X240/T240*100,1))</f>
        <v/>
      </c>
      <c r="Z240" s="26">
        <f>X240*Assumptions!$B$4</f>
        <v/>
      </c>
      <c r="AA240" s="25">
        <f>IF(T240=0,"",ROUND(Z240/T240*100,1))</f>
        <v/>
      </c>
      <c r="AB240" s="26">
        <f>X240-Z240</f>
        <v/>
      </c>
      <c r="AC240" s="25">
        <f>IF(T240=0,"",ROUND((X240-Z240)/T240*100,1))</f>
        <v/>
      </c>
      <c r="AD240" s="27" t="inlineStr">
        <is>
          <t>UNKNOWN</t>
        </is>
      </c>
      <c r="AE240" s="28" t="inlineStr">
        <is>
          <t>https://administradorajudicialgs.com.br/wp-content/uploads/2023/08/advogados-sgrott-doc-22-relacao-de-credores-do-administrador-judicial-classe-iii-05-02-14.pdf</t>
        </is>
      </c>
      <c r="AF240" s="27" t="inlineStr">
        <is>
          <t>p5 r7</t>
        </is>
      </c>
      <c r="AG240" s="27" t="inlineStr">
        <is>
          <t>p5: R$ 1.097.808,59</t>
        </is>
      </c>
      <c r="AH240" s="27" t="inlineStr">
        <is>
          <t>UNKNOWN</t>
        </is>
      </c>
      <c r="AI240" s="27" t="inlineStr"/>
      <c r="AJ240" s="27" t="inlineStr">
        <is>
          <t>OK</t>
        </is>
      </c>
      <c r="AK240" s="29" t="inlineStr">
        <is>
          <t>0022845-08.2013.8.24.0008</t>
        </is>
      </c>
      <c r="AL240" s="29" t="inlineStr">
        <is>
          <t>TJ</t>
        </is>
      </c>
      <c r="AM240" s="29" t="inlineStr"/>
      <c r="AN240" s="29" t="n">
        <v>2013</v>
      </c>
      <c r="AO240" s="29" t="inlineStr">
        <is>
          <t>13y since filing, no plan document</t>
        </is>
      </c>
      <c r="AP240" s="29" t="inlineStr"/>
      <c r="AQ240" s="29" t="inlineStr"/>
      <c r="AR240" s="29" t="inlineStr"/>
      <c r="AS240" s="29" t="inlineStr"/>
      <c r="AT240" s="29" t="inlineStr">
        <is>
          <t>MID-MARKET</t>
        </is>
      </c>
      <c r="AU240" s="29" t="inlineStr">
        <is>
          <t>67915785</t>
        </is>
      </c>
      <c r="AV240" s="29" t="n">
        <v>1</v>
      </c>
      <c r="AW240" s="29" t="inlineStr">
        <is>
          <t>LIKELY_FINANCIAL_BY_NAME ROWS:p5r7</t>
        </is>
      </c>
    </row>
    <row r="241">
      <c r="A241" s="15" t="inlineStr">
        <is>
          <t>BANCO BRADESCO S.A.</t>
        </is>
      </c>
      <c r="B241" s="16" t="n">
        <v>895288.95</v>
      </c>
      <c r="C241" s="17" t="inlineStr">
        <is>
          <t>JA SANTOS IMPORTACAO EXPORTACAO DE FERRAMENTAS E SERVICOS ESPECIALIZADOS LTDA</t>
        </is>
      </c>
      <c r="D241" s="18" t="inlineStr">
        <is>
          <t>NEW</t>
        </is>
      </c>
      <c r="E241" s="19" t="inlineStr"/>
      <c r="F241" s="18" t="inlineStr"/>
      <c r="G241" s="19" t="inlineStr"/>
      <c r="H241" s="18" t="inlineStr"/>
      <c r="I241" s="20" t="inlineStr">
        <is>
          <t>MARCELO DE ARAUJO NORONHA</t>
        </is>
      </c>
      <c r="J241" s="20" t="inlineStr">
        <is>
          <t>Presidente</t>
        </is>
      </c>
      <c r="K241" s="20" t="inlineStr">
        <is>
          <t>(11) 3684-5122</t>
        </is>
      </c>
      <c r="L241" s="20" t="inlineStr"/>
      <c r="M241" s="20" t="inlineStr"/>
      <c r="N241" s="20" t="inlineStr"/>
      <c r="O241" s="20" t="inlineStr"/>
      <c r="P241" s="20" t="inlineStr">
        <is>
          <t>AFRANIO CARLOS CAMARGO DANTZGER</t>
        </is>
      </c>
      <c r="Q241" s="20" t="inlineStr">
        <is>
          <t>Diretor</t>
        </is>
      </c>
      <c r="R241" s="20" t="inlineStr">
        <is>
          <t>(11) 3684-5122</t>
        </is>
      </c>
      <c r="S241" s="20" t="inlineStr"/>
      <c r="T241" s="21" t="n">
        <v>895288.95</v>
      </c>
      <c r="U241" s="32" t="inlineStr">
        <is>
          <t>A</t>
        </is>
      </c>
      <c r="V241" s="23">
        <f>IFERROR(VLOOKUP(U241,Assumptions!$A$7:$D$11,2,FALSE),0)</f>
        <v/>
      </c>
      <c r="W241" s="24">
        <f>MAX(0.5,IFERROR(VLOOKUP(U241,Assumptions!$A$7:$D$11,3,FALSE),3)+IFERROR(VLOOKUP(U241,Assumptions!$A$7:$D$11,4,FALSE),8)/2-IF(AN241="",0,YEAR(TODAY())-AN241))</f>
        <v/>
      </c>
      <c r="X241" s="21">
        <f>T241*V241/(1+Assumptions!$B$3)^W241</f>
        <v/>
      </c>
      <c r="Y241" s="25">
        <f>IF(T241=0,"",ROUND(X241/T241*100,1))</f>
        <v/>
      </c>
      <c r="Z241" s="26">
        <f>X241*Assumptions!$B$4</f>
        <v/>
      </c>
      <c r="AA241" s="25">
        <f>IF(T241=0,"",ROUND(Z241/T241*100,1))</f>
        <v/>
      </c>
      <c r="AB241" s="26">
        <f>X241-Z241</f>
        <v/>
      </c>
      <c r="AC241" s="25">
        <f>IF(T241=0,"",ROUND((X241-Z241)/T241*100,1))</f>
        <v/>
      </c>
      <c r="AD241" s="27" t="inlineStr">
        <is>
          <t>CONFIRMED</t>
        </is>
      </c>
      <c r="AE241" s="28" t="inlineStr">
        <is>
          <t>https://vivanteaj.com.br/wp-content/uploads/2024/11/1a-lista-de-credores-JA-Santos.pdf</t>
        </is>
      </c>
      <c r="AF241" s="27" t="inlineStr">
        <is>
          <t>p1 r5; p1 r6</t>
        </is>
      </c>
      <c r="AG241" s="27" t="inlineStr">
        <is>
          <t>p1: R$ 300.000,00; p1: R$ 595.288,95</t>
        </is>
      </c>
      <c r="AH241" s="27" t="inlineStr">
        <is>
          <t>UNKNOWN</t>
        </is>
      </c>
      <c r="AI241" s="27" t="inlineStr">
        <is>
          <t>2022-11-02</t>
        </is>
      </c>
      <c r="AJ241" s="27" t="inlineStr">
        <is>
          <t>OK</t>
        </is>
      </c>
      <c r="AK241" s="29" t="inlineStr">
        <is>
          <t>1018313-46.2024.8.26.0100</t>
        </is>
      </c>
      <c r="AL241" s="29" t="inlineStr">
        <is>
          <t>TJSP</t>
        </is>
      </c>
      <c r="AM241" s="29" t="inlineStr">
        <is>
          <t>ACTIVE</t>
        </is>
      </c>
      <c r="AN241" s="29" t="n">
        <v>2024</v>
      </c>
      <c r="AO241" s="29" t="inlineStr">
        <is>
          <t>plan/homologation document found</t>
        </is>
      </c>
      <c r="AP241" s="29" t="inlineStr">
        <is>
          <t>OSASCO</t>
        </is>
      </c>
      <c r="AQ241" s="29" t="inlineStr">
        <is>
          <t>SP</t>
        </is>
      </c>
      <c r="AR241" s="29" t="inlineStr">
        <is>
          <t>Bancos múltiplos, com carteira comercial</t>
        </is>
      </c>
      <c r="AS241" s="29" t="inlineStr">
        <is>
          <t>DEMAIS</t>
        </is>
      </c>
      <c r="AT241" s="29" t="inlineStr">
        <is>
          <t>LARGE CORP</t>
        </is>
      </c>
      <c r="AU241" s="29" t="inlineStr">
        <is>
          <t>60746948</t>
        </is>
      </c>
      <c r="AV241" s="29" t="n">
        <v>2</v>
      </c>
      <c r="AW241" s="29" t="inlineStr">
        <is>
          <t>ROWS:p1r5,p1r6 VALUE_COL:Valor</t>
        </is>
      </c>
    </row>
    <row r="242">
      <c r="A242" s="15" t="inlineStr">
        <is>
          <t>CAIXA ECONOMICA FEDERAL</t>
        </is>
      </c>
      <c r="B242" s="16" t="n">
        <v>2786495.38</v>
      </c>
      <c r="C242" s="17" t="inlineStr"/>
      <c r="D242" s="18" t="inlineStr">
        <is>
          <t>NEW</t>
        </is>
      </c>
      <c r="E242" s="19" t="inlineStr"/>
      <c r="F242" s="18" t="inlineStr"/>
      <c r="G242" s="19" t="inlineStr"/>
      <c r="H242" s="18" t="inlineStr"/>
      <c r="I242" s="20" t="inlineStr">
        <is>
          <t>ADRIANO ASSIS MATIAS</t>
        </is>
      </c>
      <c r="J242" s="20" t="inlineStr">
        <is>
          <t>Administrador</t>
        </is>
      </c>
      <c r="K242" s="20" t="inlineStr">
        <is>
          <t>(00) 4004-0104</t>
        </is>
      </c>
      <c r="L242" s="20" t="inlineStr"/>
      <c r="M242" s="20" t="inlineStr"/>
      <c r="N242" s="20" t="inlineStr"/>
      <c r="O242" s="20" t="inlineStr"/>
      <c r="P242" s="20" t="inlineStr">
        <is>
          <t>HENRIETE ALEXANDRA SARTORI BERNABE</t>
        </is>
      </c>
      <c r="Q242" s="20" t="inlineStr">
        <is>
          <t>Administrador</t>
        </is>
      </c>
      <c r="R242" s="20" t="inlineStr">
        <is>
          <t>(00) 4004-0104</t>
        </is>
      </c>
      <c r="S242" s="20" t="inlineStr"/>
      <c r="T242" s="21" t="n">
        <v>2786495.38</v>
      </c>
      <c r="U242" s="30" t="inlineStr">
        <is>
          <t>?</t>
        </is>
      </c>
      <c r="V242" s="23">
        <f>IFERROR(VLOOKUP(U242,Assumptions!$A$7:$D$11,2,FALSE),0)</f>
        <v/>
      </c>
      <c r="W242" s="24">
        <f>MAX(0.5,IFERROR(VLOOKUP(U242,Assumptions!$A$7:$D$11,3,FALSE),3)+IFERROR(VLOOKUP(U242,Assumptions!$A$7:$D$11,4,FALSE),8)/2-IF(AN242="",0,YEAR(TODAY())-AN242))</f>
        <v/>
      </c>
      <c r="X242" s="21">
        <f>T242*V242/(1+Assumptions!$B$3)^W242</f>
        <v/>
      </c>
      <c r="Y242" s="25">
        <f>IF(T242=0,"",ROUND(X242/T242*100,1))</f>
        <v/>
      </c>
      <c r="Z242" s="26">
        <f>X242*Assumptions!$B$4</f>
        <v/>
      </c>
      <c r="AA242" s="25">
        <f>IF(T242=0,"",ROUND(Z242/T242*100,1))</f>
        <v/>
      </c>
      <c r="AB242" s="26">
        <f>X242-Z242</f>
        <v/>
      </c>
      <c r="AC242" s="25">
        <f>IF(T242=0,"",ROUND((X242-Z242)/T242*100,1))</f>
        <v/>
      </c>
      <c r="AD242" s="27" t="inlineStr">
        <is>
          <t>UNKNOWN</t>
        </is>
      </c>
      <c r="AE242" s="28" t="inlineStr">
        <is>
          <t>http://bernardobicalho.com.br/login/app/documents/Rela%C3%A7%C3%A3o%20de%20Credores/6.%20RVC-%20Nutricium%20-%20simplificada.pdf</t>
        </is>
      </c>
      <c r="AF242" s="27" t="inlineStr">
        <is>
          <t>p3 r11</t>
        </is>
      </c>
      <c r="AG242" s="27" t="inlineStr">
        <is>
          <t>p3: R$ 2.786.495,38</t>
        </is>
      </c>
      <c r="AH242" s="27" t="inlineStr">
        <is>
          <t>AJ_LIST</t>
        </is>
      </c>
      <c r="AI242" s="27" t="inlineStr"/>
      <c r="AJ242" s="27" t="inlineStr">
        <is>
          <t>OK</t>
        </is>
      </c>
      <c r="AK242" s="29" t="inlineStr">
        <is>
          <t>(not printed)</t>
        </is>
      </c>
      <c r="AL242" s="29" t="inlineStr"/>
      <c r="AM242" s="29" t="inlineStr"/>
      <c r="AN242" s="29" t="inlineStr"/>
      <c r="AO242" s="29" t="inlineStr">
        <is>
          <t>RJ case number not identified on the document</t>
        </is>
      </c>
      <c r="AP242" s="29" t="inlineStr">
        <is>
          <t>BRASILIA</t>
        </is>
      </c>
      <c r="AQ242" s="29" t="inlineStr">
        <is>
          <t>DF</t>
        </is>
      </c>
      <c r="AR242" s="29" t="inlineStr">
        <is>
          <t>Caixas econômicas</t>
        </is>
      </c>
      <c r="AS242" s="29" t="inlineStr">
        <is>
          <t>DEMAIS</t>
        </is>
      </c>
      <c r="AT242" s="29" t="inlineStr">
        <is>
          <t>LARGE CORP</t>
        </is>
      </c>
      <c r="AU242" s="29" t="inlineStr">
        <is>
          <t>00360305</t>
        </is>
      </c>
      <c r="AV242" s="29" t="n">
        <v>1</v>
      </c>
      <c r="AW242" s="29" t="inlineStr">
        <is>
          <t>CASE_NUMBER_MISSING LIKELY_FINANCIAL_BY_NAME ROWS:p3r11</t>
        </is>
      </c>
    </row>
    <row r="243">
      <c r="A243" s="15" t="inlineStr">
        <is>
          <t>ITAU UNIBANCO S.A.</t>
        </is>
      </c>
      <c r="B243" s="16" t="n">
        <v>1501468.8</v>
      </c>
      <c r="C243" s="17" t="inlineStr">
        <is>
          <t>CONSTRUTORA ANDRADE GUEDES LDTA – Diligence Administração em Recuperação Judicial e Falência</t>
        </is>
      </c>
      <c r="D243" s="18" t="inlineStr">
        <is>
          <t>NEW</t>
        </is>
      </c>
      <c r="E243" s="19" t="inlineStr"/>
      <c r="F243" s="18" t="inlineStr"/>
      <c r="G243" s="19" t="inlineStr"/>
      <c r="H243" s="18" t="inlineStr"/>
      <c r="I243" s="20" t="inlineStr">
        <is>
          <t>FELIPE SAMPAIO NABUCO</t>
        </is>
      </c>
      <c r="J243" s="20" t="inlineStr">
        <is>
          <t>Administrador</t>
        </is>
      </c>
      <c r="K243" s="20" t="inlineStr">
        <is>
          <t>(11) 3003-4828</t>
        </is>
      </c>
      <c r="L243" s="20" t="inlineStr"/>
      <c r="M243" s="20" t="inlineStr"/>
      <c r="N243" s="20" t="inlineStr"/>
      <c r="O243" s="20" t="inlineStr"/>
      <c r="P243" s="20" t="inlineStr">
        <is>
          <t>MILTON MALUHY FILHO</t>
        </is>
      </c>
      <c r="Q243" s="20" t="inlineStr">
        <is>
          <t>Presidente</t>
        </is>
      </c>
      <c r="R243" s="20" t="inlineStr">
        <is>
          <t>(11) 3003-4828</t>
        </is>
      </c>
      <c r="S243" s="20" t="inlineStr"/>
      <c r="T243" s="21" t="n">
        <v>1501468.8</v>
      </c>
      <c r="U243" s="31" t="inlineStr">
        <is>
          <t>C</t>
        </is>
      </c>
      <c r="V243" s="23">
        <f>IFERROR(VLOOKUP(U243,Assumptions!$A$7:$D$11,2,FALSE),0)</f>
        <v/>
      </c>
      <c r="W243" s="24">
        <f>MAX(0.5,IFERROR(VLOOKUP(U243,Assumptions!$A$7:$D$11,3,FALSE),3)+IFERROR(VLOOKUP(U243,Assumptions!$A$7:$D$11,4,FALSE),8)/2-IF(AN243="",0,YEAR(TODAY())-AN243))</f>
        <v/>
      </c>
      <c r="X243" s="21">
        <f>T243*V243/(1+Assumptions!$B$3)^W243</f>
        <v/>
      </c>
      <c r="Y243" s="25">
        <f>IF(T243=0,"",ROUND(X243/T243*100,1))</f>
        <v/>
      </c>
      <c r="Z243" s="26">
        <f>X243*Assumptions!$B$4</f>
        <v/>
      </c>
      <c r="AA243" s="25">
        <f>IF(T243=0,"",ROUND(Z243/T243*100,1))</f>
        <v/>
      </c>
      <c r="AB243" s="26">
        <f>X243-Z243</f>
        <v/>
      </c>
      <c r="AC243" s="25">
        <f>IF(T243=0,"",ROUND((X243-Z243)/T243*100,1))</f>
        <v/>
      </c>
      <c r="AD243" s="27" t="inlineStr">
        <is>
          <t>ESTIMATED</t>
        </is>
      </c>
      <c r="AE243" s="28" t="inlineStr">
        <is>
          <t>https://diligence.adm.br/wp-content/plugins/download-attachments/includes/download.php?id=4599</t>
        </is>
      </c>
      <c r="AF243" s="27" t="inlineStr">
        <is>
          <t>p10 r40</t>
        </is>
      </c>
      <c r="AG243" s="27" t="inlineStr">
        <is>
          <t>p10: R$ 1.501.468,80</t>
        </is>
      </c>
      <c r="AH243" s="27" t="inlineStr">
        <is>
          <t>AJ_LIST</t>
        </is>
      </c>
      <c r="AI243" s="27" t="inlineStr">
        <is>
          <t>2024-06-25</t>
        </is>
      </c>
      <c r="AJ243" s="27" t="inlineStr">
        <is>
          <t>OK_NO_TOTALS</t>
        </is>
      </c>
      <c r="AK243" s="29" t="inlineStr">
        <is>
          <t>0000880-57.2020.8.17.2001</t>
        </is>
      </c>
      <c r="AL243" s="29" t="inlineStr">
        <is>
          <t>TJPE</t>
        </is>
      </c>
      <c r="AM243" s="29" t="inlineStr">
        <is>
          <t>ACTIVE</t>
        </is>
      </c>
      <c r="AN243" s="29" t="n">
        <v>2020</v>
      </c>
      <c r="AO243" s="29" t="inlineStr">
        <is>
          <t>6y since filing, no plan document</t>
        </is>
      </c>
      <c r="AP243" s="29" t="inlineStr">
        <is>
          <t>SAO PAULO</t>
        </is>
      </c>
      <c r="AQ243" s="29" t="inlineStr">
        <is>
          <t>SP</t>
        </is>
      </c>
      <c r="AR243" s="29" t="inlineStr">
        <is>
          <t>Bancos comerciais</t>
        </is>
      </c>
      <c r="AS243" s="29" t="inlineStr">
        <is>
          <t>DEMAIS</t>
        </is>
      </c>
      <c r="AT243" s="29" t="inlineStr">
        <is>
          <t>LARGE CORP</t>
        </is>
      </c>
      <c r="AU243" s="29" t="inlineStr">
        <is>
          <t>60701190</t>
        </is>
      </c>
      <c r="AV243" s="29" t="n">
        <v>1</v>
      </c>
      <c r="AW243" s="29" t="inlineStr">
        <is>
          <t>ALT_VALUE:R$1.468,80 ALT_VALUE:R$1.500.000,00 LIKELY_FINANCIAL_BY_NAME ROWS:p10r40 UNRECONCILED_SOURCE VALUE_COL:2ª_Lista</t>
        </is>
      </c>
    </row>
    <row r="244">
      <c r="A244" s="15" t="inlineStr">
        <is>
          <t>DANIELE MÚLTIPLO FUNDO DE INVESTIMENTO EM DIREITOS CREDITÓRIOS – NÃO PADRONIZADOS</t>
        </is>
      </c>
      <c r="B244" s="16" t="n">
        <v>926408.5</v>
      </c>
      <c r="C244" s="17" t="inlineStr">
        <is>
          <t>Conduscabos Brasil Indústria Comércio de</t>
        </is>
      </c>
      <c r="D244" s="18" t="inlineStr">
        <is>
          <t>NEW</t>
        </is>
      </c>
      <c r="E244" s="19" t="inlineStr"/>
      <c r="F244" s="18" t="inlineStr"/>
      <c r="G244" s="19" t="inlineStr"/>
      <c r="H244" s="18" t="inlineStr"/>
      <c r="I244" s="20" t="inlineStr"/>
      <c r="J244" s="20" t="inlineStr"/>
      <c r="K244" s="20" t="inlineStr"/>
      <c r="L244" s="20" t="inlineStr"/>
      <c r="M244" s="20" t="inlineStr"/>
      <c r="N244" s="20" t="inlineStr"/>
      <c r="O244" s="20" t="inlineStr"/>
      <c r="P244" s="20" t="inlineStr"/>
      <c r="Q244" s="20" t="inlineStr"/>
      <c r="R244" s="20" t="inlineStr"/>
      <c r="S244" s="20" t="inlineStr"/>
      <c r="T244" s="21" t="n">
        <v>926408.5</v>
      </c>
      <c r="U244" s="22" t="inlineStr">
        <is>
          <t>B</t>
        </is>
      </c>
      <c r="V244" s="23">
        <f>IFERROR(VLOOKUP(U244,Assumptions!$A$7:$D$11,2,FALSE),0)</f>
        <v/>
      </c>
      <c r="W244" s="24">
        <f>MAX(0.5,IFERROR(VLOOKUP(U244,Assumptions!$A$7:$D$11,3,FALSE),3)+IFERROR(VLOOKUP(U244,Assumptions!$A$7:$D$11,4,FALSE),8)/2-IF(AN244="",0,YEAR(TODAY())-AN244))</f>
        <v/>
      </c>
      <c r="X244" s="21">
        <f>T244*V244/(1+Assumptions!$B$3)^W244</f>
        <v/>
      </c>
      <c r="Y244" s="25">
        <f>IF(T244=0,"",ROUND(X244/T244*100,1))</f>
        <v/>
      </c>
      <c r="Z244" s="26">
        <f>X244*Assumptions!$B$4</f>
        <v/>
      </c>
      <c r="AA244" s="25">
        <f>IF(T244=0,"",ROUND(Z244/T244*100,1))</f>
        <v/>
      </c>
      <c r="AB244" s="26">
        <f>X244-Z244</f>
        <v/>
      </c>
      <c r="AC244" s="25">
        <f>IF(T244=0,"",ROUND((X244-Z244)/T244*100,1))</f>
        <v/>
      </c>
      <c r="AD244" s="27" t="inlineStr">
        <is>
          <t>ESTIMATED</t>
        </is>
      </c>
      <c r="AE244" s="28" t="inlineStr">
        <is>
          <t>https://assistjud.com.br/wp-content/uploads/elementor/forms/65098c80a5824.pdf</t>
        </is>
      </c>
      <c r="AF244" s="27" t="inlineStr">
        <is>
          <t>p7 r1</t>
        </is>
      </c>
      <c r="AG244" s="27" t="inlineStr">
        <is>
          <t>p7: R$ 926.408,50</t>
        </is>
      </c>
      <c r="AH244" s="27" t="inlineStr">
        <is>
          <t>AJ_LIST</t>
        </is>
      </c>
      <c r="AI244" s="27" t="inlineStr">
        <is>
          <t>2023-09-18</t>
        </is>
      </c>
      <c r="AJ244" s="27" t="inlineStr">
        <is>
          <t>OK_NO_TOTALS</t>
        </is>
      </c>
      <c r="AK244" s="29" t="inlineStr">
        <is>
          <t>8005129-09.2023.8.05.0039</t>
        </is>
      </c>
      <c r="AL244" s="29" t="inlineStr">
        <is>
          <t>TJBA</t>
        </is>
      </c>
      <c r="AM244" s="29" t="inlineStr">
        <is>
          <t>ACTIVE</t>
        </is>
      </c>
      <c r="AN244" s="29" t="n">
        <v>2023</v>
      </c>
      <c r="AO244" s="29" t="inlineStr">
        <is>
          <t>live case, no plan document yet</t>
        </is>
      </c>
      <c r="AP244" s="29" t="inlineStr"/>
      <c r="AQ244" s="29" t="inlineStr"/>
      <c r="AR244" s="29" t="inlineStr"/>
      <c r="AS244" s="29" t="inlineStr"/>
      <c r="AT244" s="29" t="inlineStr">
        <is>
          <t>MID-MARKET</t>
        </is>
      </c>
      <c r="AU244" s="29" t="inlineStr">
        <is>
          <t>09414255</t>
        </is>
      </c>
      <c r="AV244" s="29" t="n">
        <v>1</v>
      </c>
      <c r="AW244" s="29" t="inlineStr">
        <is>
          <t>LIKELY_FINANCIAL_BY_NAME ROWS:p7r1 UNRECONCILED_SOURCE</t>
        </is>
      </c>
    </row>
    <row r="245">
      <c r="A245" s="15" t="inlineStr">
        <is>
          <t>BANCO DO BRASIL SA</t>
        </is>
      </c>
      <c r="B245" s="16" t="n">
        <v>1800000</v>
      </c>
      <c r="C245" s="17" t="inlineStr">
        <is>
          <t>TENDAS E COMPANHIA LTDA</t>
        </is>
      </c>
      <c r="D245" s="18" t="inlineStr">
        <is>
          <t>NEW</t>
        </is>
      </c>
      <c r="E245" s="19" t="inlineStr"/>
      <c r="F245" s="18" t="inlineStr"/>
      <c r="G245" s="19" t="inlineStr"/>
      <c r="H245" s="18" t="inlineStr"/>
      <c r="I245" s="20" t="inlineStr">
        <is>
          <t>TARCIANA PAULA GOMES MEDEIROS</t>
        </is>
      </c>
      <c r="J245" s="20" t="inlineStr">
        <is>
          <t>Presidente</t>
        </is>
      </c>
      <c r="K245" s="20" t="inlineStr">
        <is>
          <t>(61) 3493-9002</t>
        </is>
      </c>
      <c r="L245" s="20" t="inlineStr"/>
      <c r="M245" s="20" t="inlineStr"/>
      <c r="N245" s="20" t="inlineStr"/>
      <c r="O245" s="20" t="inlineStr"/>
      <c r="P245" s="20" t="inlineStr">
        <is>
          <t>ALAN CARLOS GUEDES DE OLIVEIRA</t>
        </is>
      </c>
      <c r="Q245" s="20" t="inlineStr">
        <is>
          <t>Diretor</t>
        </is>
      </c>
      <c r="R245" s="20" t="inlineStr">
        <is>
          <t>(61) 3493-9002</t>
        </is>
      </c>
      <c r="S245" s="20" t="inlineStr"/>
      <c r="T245" s="21" t="n">
        <v>1800000</v>
      </c>
      <c r="U245" s="22" t="inlineStr">
        <is>
          <t>B</t>
        </is>
      </c>
      <c r="V245" s="23">
        <f>IFERROR(VLOOKUP(U245,Assumptions!$A$7:$D$11,2,FALSE),0)</f>
        <v/>
      </c>
      <c r="W245" s="24">
        <f>MAX(0.5,IFERROR(VLOOKUP(U245,Assumptions!$A$7:$D$11,3,FALSE),3)+IFERROR(VLOOKUP(U245,Assumptions!$A$7:$D$11,4,FALSE),8)/2-IF(AN245="",0,YEAR(TODAY())-AN245))</f>
        <v/>
      </c>
      <c r="X245" s="21">
        <f>T245*V245/(1+Assumptions!$B$3)^W245</f>
        <v/>
      </c>
      <c r="Y245" s="25">
        <f>IF(T245=0,"",ROUND(X245/T245*100,1))</f>
        <v/>
      </c>
      <c r="Z245" s="26">
        <f>X245*Assumptions!$B$4</f>
        <v/>
      </c>
      <c r="AA245" s="25">
        <f>IF(T245=0,"",ROUND(Z245/T245*100,1))</f>
        <v/>
      </c>
      <c r="AB245" s="26">
        <f>X245-Z245</f>
        <v/>
      </c>
      <c r="AC245" s="25">
        <f>IF(T245=0,"",ROUND((X245-Z245)/T245*100,1))</f>
        <v/>
      </c>
      <c r="AD245" s="27" t="inlineStr">
        <is>
          <t>ESTIMATED</t>
        </is>
      </c>
      <c r="AE245" s="28" t="inlineStr">
        <is>
          <t>https://stenius.com.br/wp-content/uploads/2026/08/1°-EDITAL-GRUPO-TENDAS.pdf</t>
        </is>
      </c>
      <c r="AF245" s="27" t="inlineStr">
        <is>
          <t>p5 r20</t>
        </is>
      </c>
      <c r="AG245" s="27" t="inlineStr">
        <is>
          <t>p5: R$ 1.800.000,00</t>
        </is>
      </c>
      <c r="AH245" s="27" t="inlineStr">
        <is>
          <t>AJ_LIST</t>
        </is>
      </c>
      <c r="AI245" s="27" t="inlineStr">
        <is>
          <t>2026-08-13</t>
        </is>
      </c>
      <c r="AJ245" s="27" t="inlineStr">
        <is>
          <t>OK_NO_TOTALS</t>
        </is>
      </c>
      <c r="AK245" s="29" t="inlineStr">
        <is>
          <t>5401053-70.2026.8.09.0051</t>
        </is>
      </c>
      <c r="AL245" s="29" t="inlineStr">
        <is>
          <t>TJGO</t>
        </is>
      </c>
      <c r="AM245" s="29" t="inlineStr">
        <is>
          <t>ACTIVE</t>
        </is>
      </c>
      <c r="AN245" s="29" t="n">
        <v>2026</v>
      </c>
      <c r="AO245" s="29" t="inlineStr">
        <is>
          <t>live case, no plan document yet</t>
        </is>
      </c>
      <c r="AP245" s="29" t="inlineStr">
        <is>
          <t>BRASILIA</t>
        </is>
      </c>
      <c r="AQ245" s="29" t="inlineStr">
        <is>
          <t>DF</t>
        </is>
      </c>
      <c r="AR245" s="29" t="inlineStr">
        <is>
          <t>Bancos múltiplos, com carteira comercial</t>
        </is>
      </c>
      <c r="AS245" s="29" t="inlineStr">
        <is>
          <t>DEMAIS</t>
        </is>
      </c>
      <c r="AT245" s="29" t="inlineStr">
        <is>
          <t>LARGE CORP</t>
        </is>
      </c>
      <c r="AU245" s="29" t="inlineStr">
        <is>
          <t>00000000</t>
        </is>
      </c>
      <c r="AV245" s="29" t="n">
        <v>1</v>
      </c>
      <c r="AW245" s="29" t="inlineStr">
        <is>
          <t>LIKELY_FINANCIAL_BY_NAME ROWS:p5r20 UNRECONCILED_SOURCE VALUE_COL:Valor</t>
        </is>
      </c>
    </row>
    <row r="246">
      <c r="A246" s="15" t="inlineStr">
        <is>
          <t>VERTIS CAPITAL FUNDO DE INVESTIMENTO</t>
        </is>
      </c>
      <c r="B246" s="16" t="n">
        <v>1767950</v>
      </c>
      <c r="C246" s="17" t="inlineStr">
        <is>
          <t>E FALENCIA</t>
        </is>
      </c>
      <c r="D246" s="18" t="inlineStr">
        <is>
          <t>NEW</t>
        </is>
      </c>
      <c r="E246" s="19" t="inlineStr"/>
      <c r="F246" s="18" t="inlineStr"/>
      <c r="G246" s="19" t="inlineStr"/>
      <c r="H246" s="18" t="inlineStr"/>
      <c r="I246" s="20" t="inlineStr"/>
      <c r="J246" s="20" t="inlineStr"/>
      <c r="K246" s="20" t="inlineStr"/>
      <c r="L246" s="20" t="inlineStr"/>
      <c r="M246" s="20" t="inlineStr"/>
      <c r="N246" s="20" t="inlineStr"/>
      <c r="O246" s="20" t="inlineStr"/>
      <c r="P246" s="20" t="inlineStr"/>
      <c r="Q246" s="20" t="inlineStr"/>
      <c r="R246" s="20" t="inlineStr"/>
      <c r="S246" s="20" t="inlineStr"/>
      <c r="T246" s="21" t="n">
        <v>1767950</v>
      </c>
      <c r="U246" s="22" t="inlineStr">
        <is>
          <t>B</t>
        </is>
      </c>
      <c r="V246" s="23">
        <f>IFERROR(VLOOKUP(U246,Assumptions!$A$7:$D$11,2,FALSE),0)</f>
        <v/>
      </c>
      <c r="W246" s="24">
        <f>MAX(0.5,IFERROR(VLOOKUP(U246,Assumptions!$A$7:$D$11,3,FALSE),3)+IFERROR(VLOOKUP(U246,Assumptions!$A$7:$D$11,4,FALSE),8)/2-IF(AN246="",0,YEAR(TODAY())-AN246))</f>
        <v/>
      </c>
      <c r="X246" s="21">
        <f>T246*V246/(1+Assumptions!$B$3)^W246</f>
        <v/>
      </c>
      <c r="Y246" s="25">
        <f>IF(T246=0,"",ROUND(X246/T246*100,1))</f>
        <v/>
      </c>
      <c r="Z246" s="26">
        <f>X246*Assumptions!$B$4</f>
        <v/>
      </c>
      <c r="AA246" s="25">
        <f>IF(T246=0,"",ROUND(Z246/T246*100,1))</f>
        <v/>
      </c>
      <c r="AB246" s="26">
        <f>X246-Z246</f>
        <v/>
      </c>
      <c r="AC246" s="25">
        <f>IF(T246=0,"",ROUND((X246-Z246)/T246*100,1))</f>
        <v/>
      </c>
      <c r="AD246" s="27" t="inlineStr">
        <is>
          <t>ESTIMATED</t>
        </is>
      </c>
      <c r="AE246" s="28" t="inlineStr">
        <is>
          <t>https://recuperasolucoes.com/wp-content/plugins/download-attachments/includes/download.php?id=1597</t>
        </is>
      </c>
      <c r="AF246" s="27" t="inlineStr">
        <is>
          <t>p13 r23</t>
        </is>
      </c>
      <c r="AG246" s="27" t="inlineStr">
        <is>
          <t>p13: R$ 1.767.950,00</t>
        </is>
      </c>
      <c r="AH246" s="27" t="inlineStr">
        <is>
          <t>DEBTOR_LIST</t>
        </is>
      </c>
      <c r="AI246" s="27" t="inlineStr">
        <is>
          <t>2026-05-21</t>
        </is>
      </c>
      <c r="AJ246" s="27" t="inlineStr">
        <is>
          <t>OK</t>
        </is>
      </c>
      <c r="AK246" s="29" t="inlineStr">
        <is>
          <t>0001639-09.2026.8.17.2810</t>
        </is>
      </c>
      <c r="AL246" s="29" t="inlineStr">
        <is>
          <t>TJPE</t>
        </is>
      </c>
      <c r="AM246" s="29" t="inlineStr">
        <is>
          <t>ACTIVE</t>
        </is>
      </c>
      <c r="AN246" s="29" t="n">
        <v>2026</v>
      </c>
      <c r="AO246" s="29" t="inlineStr">
        <is>
          <t>live case, no plan document yet</t>
        </is>
      </c>
      <c r="AP246" s="29" t="inlineStr"/>
      <c r="AQ246" s="29" t="inlineStr"/>
      <c r="AR246" s="29" t="inlineStr"/>
      <c r="AS246" s="29" t="inlineStr"/>
      <c r="AT246" s="29" t="inlineStr">
        <is>
          <t>MID-MARKET</t>
        </is>
      </c>
      <c r="AU246" s="29" t="inlineStr">
        <is>
          <t>57691429</t>
        </is>
      </c>
      <c r="AV246" s="29" t="n">
        <v>1</v>
      </c>
      <c r="AW246" s="29" t="inlineStr">
        <is>
          <t>LIKELY_FINANCIAL_BY_NAME ROWS:p13r23</t>
        </is>
      </c>
    </row>
    <row r="247">
      <c r="A247" s="15" t="inlineStr">
        <is>
          <t>P.S FACTORING</t>
        </is>
      </c>
      <c r="B247" s="16" t="n">
        <v>1131366.06</v>
      </c>
      <c r="C247" s="17" t="inlineStr">
        <is>
          <t>DIVINA INDUSTRIA DE COURO LTDA - EM RECUPERACAO JUDICIAL</t>
        </is>
      </c>
      <c r="D247" s="18" t="inlineStr">
        <is>
          <t>NEW</t>
        </is>
      </c>
      <c r="E247" s="19" t="inlineStr"/>
      <c r="F247" s="18" t="inlineStr"/>
      <c r="G247" s="19" t="inlineStr"/>
      <c r="H247" s="18" t="inlineStr"/>
      <c r="I247" s="20" t="inlineStr"/>
      <c r="J247" s="20" t="inlineStr"/>
      <c r="K247" s="20" t="inlineStr"/>
      <c r="L247" s="20" t="inlineStr"/>
      <c r="M247" s="20" t="inlineStr"/>
      <c r="N247" s="20" t="inlineStr"/>
      <c r="O247" s="20" t="inlineStr"/>
      <c r="P247" s="20" t="inlineStr"/>
      <c r="Q247" s="20" t="inlineStr"/>
      <c r="R247" s="20" t="inlineStr"/>
      <c r="S247" s="20" t="inlineStr"/>
      <c r="T247" s="21" t="n">
        <v>1131366.06</v>
      </c>
      <c r="U247" s="22" t="inlineStr">
        <is>
          <t>B</t>
        </is>
      </c>
      <c r="V247" s="23">
        <f>IFERROR(VLOOKUP(U247,Assumptions!$A$7:$D$11,2,FALSE),0)</f>
        <v/>
      </c>
      <c r="W247" s="24">
        <f>MAX(0.5,IFERROR(VLOOKUP(U247,Assumptions!$A$7:$D$11,3,FALSE),3)+IFERROR(VLOOKUP(U247,Assumptions!$A$7:$D$11,4,FALSE),8)/2-IF(AN247="",0,YEAR(TODAY())-AN247))</f>
        <v/>
      </c>
      <c r="X247" s="21">
        <f>T247*V247/(1+Assumptions!$B$3)^W247</f>
        <v/>
      </c>
      <c r="Y247" s="25">
        <f>IF(T247=0,"",ROUND(X247/T247*100,1))</f>
        <v/>
      </c>
      <c r="Z247" s="26">
        <f>X247*Assumptions!$B$4</f>
        <v/>
      </c>
      <c r="AA247" s="25">
        <f>IF(T247=0,"",ROUND(Z247/T247*100,1))</f>
        <v/>
      </c>
      <c r="AB247" s="26">
        <f>X247-Z247</f>
        <v/>
      </c>
      <c r="AC247" s="25">
        <f>IF(T247=0,"",ROUND((X247-Z247)/T247*100,1))</f>
        <v/>
      </c>
      <c r="AD247" s="27" t="inlineStr">
        <is>
          <t>ESTIMATED</t>
        </is>
      </c>
      <c r="AE247" s="28" t="inlineStr">
        <is>
          <t>https://lrflideres.com.br/wp-content/plugins/download-attachments/includes/download.php?id=6252</t>
        </is>
      </c>
      <c r="AF247" s="27" t="inlineStr">
        <is>
          <t>p2 r67</t>
        </is>
      </c>
      <c r="AG247" s="27" t="inlineStr">
        <is>
          <t>p2: R$ 1.131.366,06</t>
        </is>
      </c>
      <c r="AH247" s="27" t="inlineStr">
        <is>
          <t>AJ_LIST</t>
        </is>
      </c>
      <c r="AI247" s="27" t="inlineStr">
        <is>
          <t>2024-11-27</t>
        </is>
      </c>
      <c r="AJ247" s="27" t="inlineStr">
        <is>
          <t>QUARANTINED</t>
        </is>
      </c>
      <c r="AK247" s="29" t="inlineStr">
        <is>
          <t>0000721-61.2024.8.17.2620</t>
        </is>
      </c>
      <c r="AL247" s="29" t="inlineStr">
        <is>
          <t>TJPE</t>
        </is>
      </c>
      <c r="AM247" s="29" t="inlineStr">
        <is>
          <t>ACTIVE</t>
        </is>
      </c>
      <c r="AN247" s="29" t="n">
        <v>2024</v>
      </c>
      <c r="AO247" s="29" t="inlineStr">
        <is>
          <t>live case, no plan document yet</t>
        </is>
      </c>
      <c r="AP247" s="29" t="inlineStr"/>
      <c r="AQ247" s="29" t="inlineStr"/>
      <c r="AR247" s="29" t="inlineStr"/>
      <c r="AS247" s="29" t="inlineStr"/>
      <c r="AT247" s="29" t="inlineStr">
        <is>
          <t>MID-MARKET</t>
        </is>
      </c>
      <c r="AU247" s="29" t="inlineStr">
        <is>
          <t>40974616</t>
        </is>
      </c>
      <c r="AV247" s="29" t="n">
        <v>1</v>
      </c>
      <c r="AW247" s="29" t="inlineStr">
        <is>
          <t>LIKELY_FINANCIAL_BY_NAME PARTIAL_DOC_CLASS_III_RECONCILED ROWS:p2r67</t>
        </is>
      </c>
    </row>
    <row r="248">
      <c r="A248" s="15" t="inlineStr">
        <is>
          <t>BANCO SANTANDER (BRASIL) S.A.</t>
        </is>
      </c>
      <c r="B248" s="16" t="n">
        <v>1400946.8</v>
      </c>
      <c r="C248" s="17" t="inlineStr">
        <is>
          <t>ARRUDA &amp; MELO COMERCIO E DISTRIBUICAO DE ALIMENTOS E BEBIDAS LTDA</t>
        </is>
      </c>
      <c r="D248" s="18" t="inlineStr">
        <is>
          <t>NEW</t>
        </is>
      </c>
      <c r="E248" s="19" t="inlineStr"/>
      <c r="F248" s="18" t="inlineStr"/>
      <c r="G248" s="19" t="inlineStr"/>
      <c r="H248" s="18" t="inlineStr"/>
      <c r="I248" s="20" t="inlineStr">
        <is>
          <t>GILSON FINKELSZTAIN</t>
        </is>
      </c>
      <c r="J248" s="20" t="inlineStr">
        <is>
          <t>Presidente</t>
        </is>
      </c>
      <c r="K248" s="20" t="inlineStr">
        <is>
          <t>(11) 4004-3535</t>
        </is>
      </c>
      <c r="L248" s="20" t="inlineStr"/>
      <c r="M248" s="20" t="inlineStr"/>
      <c r="N248" s="20" t="inlineStr"/>
      <c r="O248" s="20" t="inlineStr"/>
      <c r="P248" s="20" t="inlineStr">
        <is>
          <t>ALESSANDRO CHAGAS FARIAS</t>
        </is>
      </c>
      <c r="Q248" s="20" t="inlineStr">
        <is>
          <t>Diretor</t>
        </is>
      </c>
      <c r="R248" s="20" t="inlineStr">
        <is>
          <t>(11) 4004-3535</t>
        </is>
      </c>
      <c r="S248" s="20" t="inlineStr"/>
      <c r="T248" s="21" t="n">
        <v>1400946.8</v>
      </c>
      <c r="U248" s="22" t="inlineStr">
        <is>
          <t>B</t>
        </is>
      </c>
      <c r="V248" s="23">
        <f>IFERROR(VLOOKUP(U248,Assumptions!$A$7:$D$11,2,FALSE),0)</f>
        <v/>
      </c>
      <c r="W248" s="24">
        <f>MAX(0.5,IFERROR(VLOOKUP(U248,Assumptions!$A$7:$D$11,3,FALSE),3)+IFERROR(VLOOKUP(U248,Assumptions!$A$7:$D$11,4,FALSE),8)/2-IF(AN248="",0,YEAR(TODAY())-AN248))</f>
        <v/>
      </c>
      <c r="X248" s="21">
        <f>T248*V248/(1+Assumptions!$B$3)^W248</f>
        <v/>
      </c>
      <c r="Y248" s="25">
        <f>IF(T248=0,"",ROUND(X248/T248*100,1))</f>
        <v/>
      </c>
      <c r="Z248" s="26">
        <f>X248*Assumptions!$B$4</f>
        <v/>
      </c>
      <c r="AA248" s="25">
        <f>IF(T248=0,"",ROUND(Z248/T248*100,1))</f>
        <v/>
      </c>
      <c r="AB248" s="26">
        <f>X248-Z248</f>
        <v/>
      </c>
      <c r="AC248" s="25">
        <f>IF(T248=0,"",ROUND((X248-Z248)/T248*100,1))</f>
        <v/>
      </c>
      <c r="AD248" s="27" t="inlineStr">
        <is>
          <t>ESTIMATED</t>
        </is>
      </c>
      <c r="AE248" s="28" t="inlineStr">
        <is>
          <t>https://diligence.adm.br/wp-content/uploads/2025/06/Edital-1a-Lista-de-Credores.pdf</t>
        </is>
      </c>
      <c r="AF248" s="27" t="inlineStr">
        <is>
          <t>p5 r53</t>
        </is>
      </c>
      <c r="AG248" s="27" t="inlineStr">
        <is>
          <t>p5: R$ 1.400.946,80</t>
        </is>
      </c>
      <c r="AH248" s="27" t="inlineStr">
        <is>
          <t>DEBTOR_LIST</t>
        </is>
      </c>
      <c r="AI248" s="27" t="inlineStr">
        <is>
          <t>2025-06-10</t>
        </is>
      </c>
      <c r="AJ248" s="27" t="inlineStr">
        <is>
          <t>OK</t>
        </is>
      </c>
      <c r="AK248" s="29" t="inlineStr">
        <is>
          <t>0008526-45.2025.8.17.2001</t>
        </is>
      </c>
      <c r="AL248" s="29" t="inlineStr">
        <is>
          <t>TJPE</t>
        </is>
      </c>
      <c r="AM248" s="29" t="inlineStr">
        <is>
          <t>ACTIVE</t>
        </is>
      </c>
      <c r="AN248" s="29" t="n">
        <v>2025</v>
      </c>
      <c r="AO248" s="29" t="inlineStr">
        <is>
          <t>live case, no plan document yet</t>
        </is>
      </c>
      <c r="AP248" s="29" t="inlineStr">
        <is>
          <t>SAO PAULO</t>
        </is>
      </c>
      <c r="AQ248" s="29" t="inlineStr">
        <is>
          <t>SP</t>
        </is>
      </c>
      <c r="AR248" s="29" t="inlineStr">
        <is>
          <t>Bancos múltiplos, com carteira comercial</t>
        </is>
      </c>
      <c r="AS248" s="29" t="inlineStr">
        <is>
          <t>DEMAIS</t>
        </is>
      </c>
      <c r="AT248" s="29" t="inlineStr">
        <is>
          <t>LARGE CORP</t>
        </is>
      </c>
      <c r="AU248" s="29" t="inlineStr">
        <is>
          <t>90400888</t>
        </is>
      </c>
      <c r="AV248" s="29" t="n">
        <v>1</v>
      </c>
      <c r="AW248" s="29" t="inlineStr">
        <is>
          <t>LIKELY_FINANCIAL_BY_NAME ROWS:p5r53</t>
        </is>
      </c>
    </row>
    <row r="249">
      <c r="A249" s="15" t="inlineStr">
        <is>
          <t>BANCO SANTANDER (BRASIL) S.A.</t>
        </is>
      </c>
      <c r="B249" s="16" t="n">
        <v>1022315.01</v>
      </c>
      <c r="C249" s="17" t="inlineStr"/>
      <c r="D249" s="18" t="inlineStr">
        <is>
          <t>NEW</t>
        </is>
      </c>
      <c r="E249" s="19" t="inlineStr"/>
      <c r="F249" s="18" t="inlineStr"/>
      <c r="G249" s="19" t="inlineStr"/>
      <c r="H249" s="18" t="inlineStr"/>
      <c r="I249" s="20" t="inlineStr">
        <is>
          <t>GILSON FINKELSZTAIN</t>
        </is>
      </c>
      <c r="J249" s="20" t="inlineStr">
        <is>
          <t>Presidente</t>
        </is>
      </c>
      <c r="K249" s="20" t="inlineStr">
        <is>
          <t>(11) 4004-3535</t>
        </is>
      </c>
      <c r="L249" s="20" t="inlineStr"/>
      <c r="M249" s="20" t="inlineStr"/>
      <c r="N249" s="20" t="inlineStr"/>
      <c r="O249" s="20" t="inlineStr"/>
      <c r="P249" s="20" t="inlineStr">
        <is>
          <t>ALESSANDRO CHAGAS FARIAS</t>
        </is>
      </c>
      <c r="Q249" s="20" t="inlineStr">
        <is>
          <t>Diretor</t>
        </is>
      </c>
      <c r="R249" s="20" t="inlineStr">
        <is>
          <t>(11) 4004-3535</t>
        </is>
      </c>
      <c r="S249" s="20" t="inlineStr"/>
      <c r="T249" s="21" t="n">
        <v>1022315.01</v>
      </c>
      <c r="U249" s="31" t="inlineStr">
        <is>
          <t>C</t>
        </is>
      </c>
      <c r="V249" s="23">
        <f>IFERROR(VLOOKUP(U249,Assumptions!$A$7:$D$11,2,FALSE),0)</f>
        <v/>
      </c>
      <c r="W249" s="24">
        <f>MAX(0.5,IFERROR(VLOOKUP(U249,Assumptions!$A$7:$D$11,3,FALSE),3)+IFERROR(VLOOKUP(U249,Assumptions!$A$7:$D$11,4,FALSE),8)/2-IF(AN249="",0,YEAR(TODAY())-AN249))</f>
        <v/>
      </c>
      <c r="X249" s="21">
        <f>T249*V249/(1+Assumptions!$B$3)^W249</f>
        <v/>
      </c>
      <c r="Y249" s="25">
        <f>IF(T249=0,"",ROUND(X249/T249*100,1))</f>
        <v/>
      </c>
      <c r="Z249" s="26">
        <f>X249*Assumptions!$B$4</f>
        <v/>
      </c>
      <c r="AA249" s="25">
        <f>IF(T249=0,"",ROUND(Z249/T249*100,1))</f>
        <v/>
      </c>
      <c r="AB249" s="26">
        <f>X249-Z249</f>
        <v/>
      </c>
      <c r="AC249" s="25">
        <f>IF(T249=0,"",ROUND((X249-Z249)/T249*100,1))</f>
        <v/>
      </c>
      <c r="AD249" s="27" t="inlineStr">
        <is>
          <t>UNKNOWN</t>
        </is>
      </c>
      <c r="AE249" s="28" t="inlineStr">
        <is>
          <t>https://administradorajudicialgs.com.br/wp-content/uploads/2023/08/advogados-sgrott-doc-22-relacao-de-credores-do-administrador-judicial-classe-iii-05-02-14.pdf</t>
        </is>
      </c>
      <c r="AF249" s="27" t="inlineStr">
        <is>
          <t>p1 r35</t>
        </is>
      </c>
      <c r="AG249" s="27" t="inlineStr">
        <is>
          <t>p1: R$ 1.022.315,01</t>
        </is>
      </c>
      <c r="AH249" s="27" t="inlineStr">
        <is>
          <t>UNKNOWN</t>
        </is>
      </c>
      <c r="AI249" s="27" t="inlineStr"/>
      <c r="AJ249" s="27" t="inlineStr">
        <is>
          <t>OK</t>
        </is>
      </c>
      <c r="AK249" s="29" t="inlineStr">
        <is>
          <t>0022845-08.2013.8.24.0008</t>
        </is>
      </c>
      <c r="AL249" s="29" t="inlineStr">
        <is>
          <t>TJ</t>
        </is>
      </c>
      <c r="AM249" s="29" t="inlineStr"/>
      <c r="AN249" s="29" t="n">
        <v>2013</v>
      </c>
      <c r="AO249" s="29" t="inlineStr">
        <is>
          <t>13y since filing, no plan document</t>
        </is>
      </c>
      <c r="AP249" s="29" t="inlineStr">
        <is>
          <t>SAO PAULO</t>
        </is>
      </c>
      <c r="AQ249" s="29" t="inlineStr">
        <is>
          <t>SP</t>
        </is>
      </c>
      <c r="AR249" s="29" t="inlineStr">
        <is>
          <t>Bancos múltiplos, com carteira comercial</t>
        </is>
      </c>
      <c r="AS249" s="29" t="inlineStr">
        <is>
          <t>DEMAIS</t>
        </is>
      </c>
      <c r="AT249" s="29" t="inlineStr">
        <is>
          <t>LARGE CORP</t>
        </is>
      </c>
      <c r="AU249" s="29" t="inlineStr">
        <is>
          <t>90400888</t>
        </is>
      </c>
      <c r="AV249" s="29" t="n">
        <v>1</v>
      </c>
      <c r="AW249" s="29" t="inlineStr">
        <is>
          <t>LIKELY_FINANCIAL_BY_NAME ROWS:p1r35</t>
        </is>
      </c>
    </row>
    <row r="250">
      <c r="A250" s="15" t="inlineStr">
        <is>
          <t>CAIXA ECONOMICA FEDERAL</t>
        </is>
      </c>
      <c r="B250" s="16" t="n">
        <v>997823.01</v>
      </c>
      <c r="C250" s="17" t="inlineStr">
        <is>
          <t>empresa</t>
        </is>
      </c>
      <c r="D250" s="18" t="inlineStr">
        <is>
          <t>NEW</t>
        </is>
      </c>
      <c r="E250" s="19" t="inlineStr"/>
      <c r="F250" s="18" t="inlineStr"/>
      <c r="G250" s="19" t="inlineStr"/>
      <c r="H250" s="18" t="inlineStr"/>
      <c r="I250" s="20" t="inlineStr">
        <is>
          <t>ADRIANO ASSIS MATIAS</t>
        </is>
      </c>
      <c r="J250" s="20" t="inlineStr">
        <is>
          <t>Administrador</t>
        </is>
      </c>
      <c r="K250" s="20" t="inlineStr">
        <is>
          <t>(00) 4004-0104</t>
        </is>
      </c>
      <c r="L250" s="20" t="inlineStr"/>
      <c r="M250" s="20" t="inlineStr"/>
      <c r="N250" s="20" t="inlineStr"/>
      <c r="O250" s="20" t="inlineStr"/>
      <c r="P250" s="20" t="inlineStr">
        <is>
          <t>HENRIETE ALEXANDRA SARTORI BERNABE</t>
        </is>
      </c>
      <c r="Q250" s="20" t="inlineStr">
        <is>
          <t>Administrador</t>
        </is>
      </c>
      <c r="R250" s="20" t="inlineStr">
        <is>
          <t>(00) 4004-0104</t>
        </is>
      </c>
      <c r="S250" s="20" t="inlineStr"/>
      <c r="T250" s="21" t="n">
        <v>997823.01</v>
      </c>
      <c r="U250" s="31" t="inlineStr">
        <is>
          <t>C</t>
        </is>
      </c>
      <c r="V250" s="23">
        <f>IFERROR(VLOOKUP(U250,Assumptions!$A$7:$D$11,2,FALSE),0)</f>
        <v/>
      </c>
      <c r="W250" s="24">
        <f>MAX(0.5,IFERROR(VLOOKUP(U250,Assumptions!$A$7:$D$11,3,FALSE),3)+IFERROR(VLOOKUP(U250,Assumptions!$A$7:$D$11,4,FALSE),8)/2-IF(AN250="",0,YEAR(TODAY())-AN250))</f>
        <v/>
      </c>
      <c r="X250" s="21">
        <f>T250*V250/(1+Assumptions!$B$3)^W250</f>
        <v/>
      </c>
      <c r="Y250" s="25">
        <f>IF(T250=0,"",ROUND(X250/T250*100,1))</f>
        <v/>
      </c>
      <c r="Z250" s="26">
        <f>X250*Assumptions!$B$4</f>
        <v/>
      </c>
      <c r="AA250" s="25">
        <f>IF(T250=0,"",ROUND(Z250/T250*100,1))</f>
        <v/>
      </c>
      <c r="AB250" s="26">
        <f>X250-Z250</f>
        <v/>
      </c>
      <c r="AC250" s="25">
        <f>IF(T250=0,"",ROUND((X250-Z250)/T250*100,1))</f>
        <v/>
      </c>
      <c r="AD250" s="27" t="inlineStr">
        <is>
          <t>UNKNOWN</t>
        </is>
      </c>
      <c r="AE250" s="28" t="inlineStr">
        <is>
          <t>https://realbrasil.com.br/wp-content/uploads/2017/05/Relação-de-Credores_-Mastter-1.pdf</t>
        </is>
      </c>
      <c r="AF250" s="27" t="inlineStr">
        <is>
          <t>p11 r18; p15 r7; p15 r8; p15 r9; p15 r10; p15 r11; p15 r12; p15 r13; p15 r15; p27 r3; p27 r5</t>
        </is>
      </c>
      <c r="AG250" s="27" t="inlineStr">
        <is>
          <t>p11: R$ 100.000,00; p15: R$ 19.308,61; p15: R$ 61.893,97; p15: R$ 200.000,00; p15: R$ 129.161,99; p15: R$ 25.242,98; p15: R$ 62.400,25; p15: R$ 108.204,17; p15: R$ 100.000,00; p27: R$ 212.500,00; p27: R$ 79.111,04</t>
        </is>
      </c>
      <c r="AH250" s="27" t="inlineStr">
        <is>
          <t>DEBTOR_LIST</t>
        </is>
      </c>
      <c r="AI250" s="27" t="inlineStr">
        <is>
          <t>2016-02-10</t>
        </is>
      </c>
      <c r="AJ250" s="27" t="inlineStr">
        <is>
          <t>OK_NO_TOTALS</t>
        </is>
      </c>
      <c r="AK250" s="29" t="inlineStr">
        <is>
          <t>0801893-91.2016.8.12.0011</t>
        </is>
      </c>
      <c r="AL250" s="29" t="inlineStr">
        <is>
          <t>TJ</t>
        </is>
      </c>
      <c r="AM250" s="29" t="inlineStr"/>
      <c r="AN250" s="29" t="n">
        <v>2016</v>
      </c>
      <c r="AO250" s="29" t="inlineStr">
        <is>
          <t>10y since filing, no plan document</t>
        </is>
      </c>
      <c r="AP250" s="29" t="inlineStr">
        <is>
          <t>BRASILIA</t>
        </is>
      </c>
      <c r="AQ250" s="29" t="inlineStr">
        <is>
          <t>DF</t>
        </is>
      </c>
      <c r="AR250" s="29" t="inlineStr">
        <is>
          <t>Caixas econômicas</t>
        </is>
      </c>
      <c r="AS250" s="29" t="inlineStr">
        <is>
          <t>DEMAIS</t>
        </is>
      </c>
      <c r="AT250" s="29" t="inlineStr">
        <is>
          <t>LARGE CORP</t>
        </is>
      </c>
      <c r="AU250" s="29" t="inlineStr">
        <is>
          <t>00360305</t>
        </is>
      </c>
      <c r="AV250" s="29" t="n">
        <v>10</v>
      </c>
      <c r="AW250" s="29" t="inlineStr">
        <is>
          <t>ALT_VALUE:1.811,26 ALT_VALUE:10.253,77 ALT_VALUE:108.204,17 ALT_VALUE:129.161,99 ALT_VALUE:19.308,49 ALT_VALUE:19.308,61 ALT_VALUE:2.160,98 ALT_VALUE:200.000,00 ALT_VALUE:25.242,98 ALT_VALUE:3.487,60 ALT_VALUE:3.728,97 ALT_VALUE:61.893,97 ALT_VALUE:62.400,25 ALT_VALUE:R$100.000,00 ALT_VALUE:R$12.500,00 ALT_VALUE:R$125.000,00 ALT_VALUE:R$2.472,22 ALT_VALUE:R$450.000,00 ROWS:p11r18,p15r7,p15r8,p15r9,p15r10,p15r11,p15r12,p15r13,p27r3,p27r5 UNRECONCILED_SOURCE VALUE_COL:Valor_Da_Parcela</t>
        </is>
      </c>
    </row>
    <row r="251">
      <c r="A251" s="15" t="inlineStr">
        <is>
          <t>BANCO BRADESCO S.A.</t>
        </is>
      </c>
      <c r="B251" s="16" t="n">
        <v>1341594.91</v>
      </c>
      <c r="C251" s="17" t="inlineStr"/>
      <c r="D251" s="18" t="inlineStr">
        <is>
          <t>NEW</t>
        </is>
      </c>
      <c r="E251" s="19" t="inlineStr"/>
      <c r="F251" s="18" t="inlineStr"/>
      <c r="G251" s="19" t="inlineStr"/>
      <c r="H251" s="18" t="inlineStr"/>
      <c r="I251" s="20" t="inlineStr">
        <is>
          <t>MARCELO DE ARAUJO NORONHA</t>
        </is>
      </c>
      <c r="J251" s="20" t="inlineStr">
        <is>
          <t>Presidente</t>
        </is>
      </c>
      <c r="K251" s="20" t="inlineStr">
        <is>
          <t>(11) 3684-5122</t>
        </is>
      </c>
      <c r="L251" s="20" t="inlineStr"/>
      <c r="M251" s="20" t="inlineStr"/>
      <c r="N251" s="20" t="inlineStr"/>
      <c r="O251" s="20" t="inlineStr"/>
      <c r="P251" s="20" t="inlineStr">
        <is>
          <t>AFRANIO CARLOS CAMARGO DANTZGER</t>
        </is>
      </c>
      <c r="Q251" s="20" t="inlineStr">
        <is>
          <t>Diretor</t>
        </is>
      </c>
      <c r="R251" s="20" t="inlineStr">
        <is>
          <t>(11) 3684-5122</t>
        </is>
      </c>
      <c r="S251" s="20" t="inlineStr"/>
      <c r="T251" s="21" t="n">
        <v>1341594.91</v>
      </c>
      <c r="U251" s="22" t="inlineStr">
        <is>
          <t>B</t>
        </is>
      </c>
      <c r="V251" s="23">
        <f>IFERROR(VLOOKUP(U251,Assumptions!$A$7:$D$11,2,FALSE),0)</f>
        <v/>
      </c>
      <c r="W251" s="24">
        <f>MAX(0.5,IFERROR(VLOOKUP(U251,Assumptions!$A$7:$D$11,3,FALSE),3)+IFERROR(VLOOKUP(U251,Assumptions!$A$7:$D$11,4,FALSE),8)/2-IF(AN251="",0,YEAR(TODAY())-AN251))</f>
        <v/>
      </c>
      <c r="X251" s="21">
        <f>T251*V251/(1+Assumptions!$B$3)^W251</f>
        <v/>
      </c>
      <c r="Y251" s="25">
        <f>IF(T251=0,"",ROUND(X251/T251*100,1))</f>
        <v/>
      </c>
      <c r="Z251" s="26">
        <f>X251*Assumptions!$B$4</f>
        <v/>
      </c>
      <c r="AA251" s="25">
        <f>IF(T251=0,"",ROUND(Z251/T251*100,1))</f>
        <v/>
      </c>
      <c r="AB251" s="26">
        <f>X251-Z251</f>
        <v/>
      </c>
      <c r="AC251" s="25">
        <f>IF(T251=0,"",ROUND((X251-Z251)/T251*100,1))</f>
        <v/>
      </c>
      <c r="AD251" s="27" t="inlineStr">
        <is>
          <t>UNKNOWN</t>
        </is>
      </c>
      <c r="AE251" s="28" t="inlineStr">
        <is>
          <t>https://credibilita.com.br/wp-content/uploads/2025/09/Relacao-Credores-29.04.2026.pdf</t>
        </is>
      </c>
      <c r="AF251" s="27" t="inlineStr">
        <is>
          <t>p1 r9</t>
        </is>
      </c>
      <c r="AG251" s="27" t="inlineStr">
        <is>
          <t>p1: R$ 1.341.594,91</t>
        </is>
      </c>
      <c r="AH251" s="27" t="inlineStr">
        <is>
          <t>UNKNOWN</t>
        </is>
      </c>
      <c r="AI251" s="27" t="inlineStr"/>
      <c r="AJ251" s="27" t="inlineStr">
        <is>
          <t>OK_NO_TOTALS</t>
        </is>
      </c>
      <c r="AK251" s="29" t="inlineStr">
        <is>
          <t>5057720-48.2025.8.24.0023</t>
        </is>
      </c>
      <c r="AL251" s="29" t="inlineStr">
        <is>
          <t>TJ</t>
        </is>
      </c>
      <c r="AM251" s="29" t="inlineStr"/>
      <c r="AN251" s="29" t="n">
        <v>2025</v>
      </c>
      <c r="AO251" s="29" t="inlineStr">
        <is>
          <t>live case, no plan document yet</t>
        </is>
      </c>
      <c r="AP251" s="29" t="inlineStr">
        <is>
          <t>OSASCO</t>
        </is>
      </c>
      <c r="AQ251" s="29" t="inlineStr">
        <is>
          <t>SP</t>
        </is>
      </c>
      <c r="AR251" s="29" t="inlineStr">
        <is>
          <t>Bancos múltiplos, com carteira comercial</t>
        </is>
      </c>
      <c r="AS251" s="29" t="inlineStr">
        <is>
          <t>DEMAIS</t>
        </is>
      </c>
      <c r="AT251" s="29" t="inlineStr">
        <is>
          <t>LARGE CORP</t>
        </is>
      </c>
      <c r="AU251" s="29" t="inlineStr">
        <is>
          <t>60746948</t>
        </is>
      </c>
      <c r="AV251" s="29" t="n">
        <v>1</v>
      </c>
      <c r="AW251" s="29" t="inlineStr">
        <is>
          <t>ROWS:p1r9 UNRECONCILED_SOURCE VALUE_COL:Valor_Após_Analise</t>
        </is>
      </c>
    </row>
    <row r="252">
      <c r="A252" s="15" t="inlineStr">
        <is>
          <t>DLR CAPITAL SECURITIZADORA S.A (</t>
        </is>
      </c>
      <c r="B252" s="16" t="n">
        <v>1647641.77</v>
      </c>
      <c r="C252" s="17" t="inlineStr">
        <is>
          <t>VECTOR INDUSTRIA DE PRODUTOS METALURGICOS LTDA - EM RECUPERACAO JUDICIAL</t>
        </is>
      </c>
      <c r="D252" s="18" t="inlineStr">
        <is>
          <t>NEW</t>
        </is>
      </c>
      <c r="E252" s="19" t="inlineStr"/>
      <c r="F252" s="18" t="inlineStr"/>
      <c r="G252" s="19" t="inlineStr"/>
      <c r="H252" s="18" t="inlineStr"/>
      <c r="I252" s="20" t="inlineStr"/>
      <c r="J252" s="20" t="inlineStr"/>
      <c r="K252" s="20" t="inlineStr"/>
      <c r="L252" s="20" t="inlineStr"/>
      <c r="M252" s="20" t="inlineStr"/>
      <c r="N252" s="20" t="inlineStr"/>
      <c r="O252" s="20" t="inlineStr"/>
      <c r="P252" s="20" t="inlineStr"/>
      <c r="Q252" s="20" t="inlineStr"/>
      <c r="R252" s="20" t="inlineStr"/>
      <c r="S252" s="20" t="inlineStr"/>
      <c r="T252" s="21" t="n">
        <v>1647641.77</v>
      </c>
      <c r="U252" s="31" t="inlineStr">
        <is>
          <t>C</t>
        </is>
      </c>
      <c r="V252" s="23">
        <f>IFERROR(VLOOKUP(U252,Assumptions!$A$7:$D$11,2,FALSE),0)</f>
        <v/>
      </c>
      <c r="W252" s="24">
        <f>MAX(0.5,IFERROR(VLOOKUP(U252,Assumptions!$A$7:$D$11,3,FALSE),3)+IFERROR(VLOOKUP(U252,Assumptions!$A$7:$D$11,4,FALSE),8)/2-IF(AN252="",0,YEAR(TODAY())-AN252))</f>
        <v/>
      </c>
      <c r="X252" s="21">
        <f>T252*V252/(1+Assumptions!$B$3)^W252</f>
        <v/>
      </c>
      <c r="Y252" s="25">
        <f>IF(T252=0,"",ROUND(X252/T252*100,1))</f>
        <v/>
      </c>
      <c r="Z252" s="26">
        <f>X252*Assumptions!$B$4</f>
        <v/>
      </c>
      <c r="AA252" s="25">
        <f>IF(T252=0,"",ROUND(Z252/T252*100,1))</f>
        <v/>
      </c>
      <c r="AB252" s="26">
        <f>X252-Z252</f>
        <v/>
      </c>
      <c r="AC252" s="25">
        <f>IF(T252=0,"",ROUND((X252-Z252)/T252*100,1))</f>
        <v/>
      </c>
      <c r="AD252" s="27" t="inlineStr">
        <is>
          <t>ESTIMATED</t>
        </is>
      </c>
      <c r="AE252" s="28" t="inlineStr">
        <is>
          <t>https://scalzilliaj.com.br/sgc/download.php?file=files/processo_documento/processo_documento15513401112022_1_.pdf&amp;nome=15 - Edital do art. 7º, §2º (segunda lista de credores) e do art. 53 da Lei 11.101/2005 (recebimento do plano)</t>
        </is>
      </c>
      <c r="AF252" s="27" t="inlineStr">
        <is>
          <t>p6 r34</t>
        </is>
      </c>
      <c r="AG252" s="27" t="inlineStr">
        <is>
          <t>p6: R$ 1.647.641,77</t>
        </is>
      </c>
      <c r="AH252" s="27" t="inlineStr">
        <is>
          <t>AJ_LIST</t>
        </is>
      </c>
      <c r="AI252" s="27" t="inlineStr">
        <is>
          <t>2022-11-01</t>
        </is>
      </c>
      <c r="AJ252" s="27" t="inlineStr">
        <is>
          <t>OK_NO_TOTALS</t>
        </is>
      </c>
      <c r="AK252" s="29" t="inlineStr">
        <is>
          <t>5014104-85.2021.8.21.0010</t>
        </is>
      </c>
      <c r="AL252" s="29" t="inlineStr">
        <is>
          <t>TJRS</t>
        </is>
      </c>
      <c r="AM252" s="29" t="inlineStr">
        <is>
          <t>ACTIVE</t>
        </is>
      </c>
      <c r="AN252" s="29" t="n">
        <v>2021</v>
      </c>
      <c r="AO252" s="29" t="inlineStr">
        <is>
          <t>5y since filing, no plan document</t>
        </is>
      </c>
      <c r="AP252" s="29" t="inlineStr"/>
      <c r="AQ252" s="29" t="inlineStr"/>
      <c r="AR252" s="29" t="inlineStr"/>
      <c r="AS252" s="29" t="inlineStr"/>
      <c r="AT252" s="29" t="inlineStr">
        <is>
          <t>MID-MARKET</t>
        </is>
      </c>
      <c r="AU252" s="29" t="inlineStr">
        <is>
          <t>24452704</t>
        </is>
      </c>
      <c r="AV252" s="29" t="n">
        <v>1</v>
      </c>
      <c r="AW252" s="29" t="inlineStr">
        <is>
          <t>LIKELY_FINANCIAL_BY_NAME ROWS:p6r34 UNRECONCILED_SOURCE</t>
        </is>
      </c>
    </row>
    <row r="253">
      <c r="A253" s="15" t="inlineStr">
        <is>
          <t>BANCO C6 S.A.</t>
        </is>
      </c>
      <c r="B253" s="16" t="n">
        <v>1260000</v>
      </c>
      <c r="C253" s="17" t="inlineStr">
        <is>
          <t>- VENEZA SERVIÇOS ADMINISTRATIVOS LTDA</t>
        </is>
      </c>
      <c r="D253" s="18" t="inlineStr">
        <is>
          <t>NEW</t>
        </is>
      </c>
      <c r="E253" s="19" t="inlineStr"/>
      <c r="F253" s="18" t="inlineStr"/>
      <c r="G253" s="19" t="inlineStr"/>
      <c r="H253" s="18" t="inlineStr"/>
      <c r="I253" s="20" t="inlineStr">
        <is>
          <t>FERNANDO NOGUEIRA NOLASCO ASTOLFI</t>
        </is>
      </c>
      <c r="J253" s="20" t="inlineStr">
        <is>
          <t>Diretor</t>
        </is>
      </c>
      <c r="K253" s="20" t="inlineStr">
        <is>
          <t>(11) 2832-6000</t>
        </is>
      </c>
      <c r="L253" s="20" t="inlineStr"/>
      <c r="M253" s="20" t="inlineStr"/>
      <c r="N253" s="20" t="inlineStr"/>
      <c r="O253" s="20" t="inlineStr"/>
      <c r="P253" s="20" t="inlineStr">
        <is>
          <t>GUSTAVO CALDAS DA SILVA</t>
        </is>
      </c>
      <c r="Q253" s="20" t="inlineStr">
        <is>
          <t>Diretor</t>
        </is>
      </c>
      <c r="R253" s="20" t="inlineStr">
        <is>
          <t>(11) 2832-6000</t>
        </is>
      </c>
      <c r="S253" s="20" t="inlineStr"/>
      <c r="T253" s="21" t="n">
        <v>1260000</v>
      </c>
      <c r="U253" s="22" t="inlineStr">
        <is>
          <t>B</t>
        </is>
      </c>
      <c r="V253" s="23">
        <f>IFERROR(VLOOKUP(U253,Assumptions!$A$7:$D$11,2,FALSE),0)</f>
        <v/>
      </c>
      <c r="W253" s="24">
        <f>MAX(0.5,IFERROR(VLOOKUP(U253,Assumptions!$A$7:$D$11,3,FALSE),3)+IFERROR(VLOOKUP(U253,Assumptions!$A$7:$D$11,4,FALSE),8)/2-IF(AN253="",0,YEAR(TODAY())-AN253))</f>
        <v/>
      </c>
      <c r="X253" s="21">
        <f>T253*V253/(1+Assumptions!$B$3)^W253</f>
        <v/>
      </c>
      <c r="Y253" s="25">
        <f>IF(T253=0,"",ROUND(X253/T253*100,1))</f>
        <v/>
      </c>
      <c r="Z253" s="26">
        <f>X253*Assumptions!$B$4</f>
        <v/>
      </c>
      <c r="AA253" s="25">
        <f>IF(T253=0,"",ROUND(Z253/T253*100,1))</f>
        <v/>
      </c>
      <c r="AB253" s="26">
        <f>X253-Z253</f>
        <v/>
      </c>
      <c r="AC253" s="25">
        <f>IF(T253=0,"",ROUND((X253-Z253)/T253*100,1))</f>
        <v/>
      </c>
      <c r="AD253" s="27" t="inlineStr">
        <is>
          <t>ESTIMATED</t>
        </is>
      </c>
      <c r="AE253" s="28" t="inlineStr">
        <is>
          <t>https://bugarimecoelho.com.br/ws/media-library/b6b7ea42b9fa2afe30bc728fe00cd5c6/07---edital-do-processamento-da-recuperacao-judicial.pdf</t>
        </is>
      </c>
      <c r="AF253" s="27" t="inlineStr">
        <is>
          <t>p16 r5</t>
        </is>
      </c>
      <c r="AG253" s="27" t="inlineStr">
        <is>
          <t>p16: R$ 1.260.000,00</t>
        </is>
      </c>
      <c r="AH253" s="27" t="inlineStr">
        <is>
          <t>UNKNOWN</t>
        </is>
      </c>
      <c r="AI253" s="27" t="inlineStr">
        <is>
          <t>2026-07-09</t>
        </is>
      </c>
      <c r="AJ253" s="27" t="inlineStr">
        <is>
          <t>OK</t>
        </is>
      </c>
      <c r="AK253" s="29" t="inlineStr">
        <is>
          <t>3000117-40.2025.8.06.0512</t>
        </is>
      </c>
      <c r="AL253" s="29" t="inlineStr">
        <is>
          <t>TJCE</t>
        </is>
      </c>
      <c r="AM253" s="29" t="inlineStr">
        <is>
          <t>ACTIVE</t>
        </is>
      </c>
      <c r="AN253" s="29" t="n">
        <v>2025</v>
      </c>
      <c r="AO253" s="29" t="inlineStr">
        <is>
          <t>live case, no plan document yet</t>
        </is>
      </c>
      <c r="AP253" s="29" t="inlineStr">
        <is>
          <t>SAO PAULO</t>
        </is>
      </c>
      <c r="AQ253" s="29" t="inlineStr">
        <is>
          <t>SP</t>
        </is>
      </c>
      <c r="AR253" s="29" t="inlineStr">
        <is>
          <t>Bancos múltiplos, com carteira comercial</t>
        </is>
      </c>
      <c r="AS253" s="29" t="inlineStr">
        <is>
          <t>DEMAIS</t>
        </is>
      </c>
      <c r="AT253" s="29" t="inlineStr">
        <is>
          <t>LARGE CORP</t>
        </is>
      </c>
      <c r="AU253" s="29" t="inlineStr">
        <is>
          <t>31872495</t>
        </is>
      </c>
      <c r="AV253" s="29" t="n">
        <v>1</v>
      </c>
      <c r="AW253" s="29" t="inlineStr">
        <is>
          <t>LIKELY_FINANCIAL_BY_NAME ROWS:p16r5</t>
        </is>
      </c>
    </row>
    <row r="254">
      <c r="A254" s="15" t="inlineStr">
        <is>
          <t>COOPERATIVA DE CREDITO DE LIVRE ADMISSAO DE ASSOCIADOS DO ALTO URUGUAI CATARINENSE - SICOOB - CREDIAUC/SC</t>
        </is>
      </c>
      <c r="B254" s="16" t="n">
        <v>1259657.63</v>
      </c>
      <c r="C254" s="17" t="inlineStr">
        <is>
          <t>GRUPO CASAS BAHIA S.A.</t>
        </is>
      </c>
      <c r="D254" s="18" t="inlineStr">
        <is>
          <t>NEW</t>
        </is>
      </c>
      <c r="E254" s="19" t="inlineStr"/>
      <c r="F254" s="18" t="inlineStr"/>
      <c r="G254" s="19" t="inlineStr"/>
      <c r="H254" s="18" t="inlineStr"/>
      <c r="I254" s="20" t="inlineStr"/>
      <c r="J254" s="20" t="inlineStr"/>
      <c r="K254" s="20" t="inlineStr"/>
      <c r="L254" s="20" t="inlineStr"/>
      <c r="M254" s="20" t="inlineStr"/>
      <c r="N254" s="20" t="inlineStr"/>
      <c r="O254" s="20" t="inlineStr"/>
      <c r="P254" s="20" t="inlineStr"/>
      <c r="Q254" s="20" t="inlineStr"/>
      <c r="R254" s="20" t="inlineStr"/>
      <c r="S254" s="20" t="inlineStr"/>
      <c r="T254" s="21" t="n">
        <v>1259657.63</v>
      </c>
      <c r="U254" s="22" t="inlineStr">
        <is>
          <t>B</t>
        </is>
      </c>
      <c r="V254" s="23">
        <f>IFERROR(VLOOKUP(U254,Assumptions!$A$7:$D$11,2,FALSE),0)</f>
        <v/>
      </c>
      <c r="W254" s="24">
        <f>MAX(0.5,IFERROR(VLOOKUP(U254,Assumptions!$A$7:$D$11,3,FALSE),3)+IFERROR(VLOOKUP(U254,Assumptions!$A$7:$D$11,4,FALSE),8)/2-IF(AN254="",0,YEAR(TODAY())-AN254))</f>
        <v/>
      </c>
      <c r="X254" s="21">
        <f>T254*V254/(1+Assumptions!$B$3)^W254</f>
        <v/>
      </c>
      <c r="Y254" s="25">
        <f>IF(T254=0,"",ROUND(X254/T254*100,1))</f>
        <v/>
      </c>
      <c r="Z254" s="26">
        <f>X254*Assumptions!$B$4</f>
        <v/>
      </c>
      <c r="AA254" s="25">
        <f>IF(T254=0,"",ROUND(Z254/T254*100,1))</f>
        <v/>
      </c>
      <c r="AB254" s="26">
        <f>X254-Z254</f>
        <v/>
      </c>
      <c r="AC254" s="25">
        <f>IF(T254=0,"",ROUND((X254-Z254)/T254*100,1))</f>
        <v/>
      </c>
      <c r="AD254" s="27" t="inlineStr">
        <is>
          <t>UNKNOWN</t>
        </is>
      </c>
      <c r="AE254" s="28" t="inlineStr">
        <is>
          <t>https://scalzilliaj.com.br/sgc/download.php?file=files/processo_documento/processo_documento15180810062026_1_.pdf&amp;nome=10 - Relação de credores do art. 7º, §2º, da Lei 11.101/2005</t>
        </is>
      </c>
      <c r="AF254" s="27" t="inlineStr">
        <is>
          <t>p1 r37; p2 r34</t>
        </is>
      </c>
      <c r="AG254" s="27" t="inlineStr">
        <is>
          <t>p1: R$ 284.215,97; p2: R$ 975.441,66</t>
        </is>
      </c>
      <c r="AH254" s="27" t="inlineStr">
        <is>
          <t>AJ_LIST</t>
        </is>
      </c>
      <c r="AI254" s="27" t="inlineStr"/>
      <c r="AJ254" s="27" t="inlineStr">
        <is>
          <t>OK_NO_TOTALS</t>
        </is>
      </c>
      <c r="AK254" s="29" t="inlineStr">
        <is>
          <t>5009529-81.2025.8.24.0019</t>
        </is>
      </c>
      <c r="AL254" s="29" t="inlineStr">
        <is>
          <t>TJ</t>
        </is>
      </c>
      <c r="AM254" s="29" t="inlineStr"/>
      <c r="AN254" s="29" t="n">
        <v>2025</v>
      </c>
      <c r="AO254" s="29" t="inlineStr">
        <is>
          <t>live case, no plan document yet</t>
        </is>
      </c>
      <c r="AP254" s="29" t="inlineStr"/>
      <c r="AQ254" s="29" t="inlineStr"/>
      <c r="AR254" s="29" t="inlineStr"/>
      <c r="AS254" s="29" t="inlineStr"/>
      <c r="AT254" s="29" t="inlineStr">
        <is>
          <t>MID-MARKET</t>
        </is>
      </c>
      <c r="AU254" s="29" t="inlineStr">
        <is>
          <t>78840071</t>
        </is>
      </c>
      <c r="AV254" s="29" t="n">
        <v>2</v>
      </c>
      <c r="AW254" s="29" t="inlineStr">
        <is>
          <t>LIKELY_FINANCIAL_BY_NAME ROWS:p1r37,p2r34 UNRECONCILED_SOURCE VALUE_COL:Valor_(Art._7º,_§2º)</t>
        </is>
      </c>
    </row>
    <row r="255">
      <c r="A255" s="15" t="inlineStr">
        <is>
          <t>BANCO ABC BRASIL S.A.</t>
        </is>
      </c>
      <c r="B255" s="16" t="n">
        <v>801043.63</v>
      </c>
      <c r="C255" s="17" t="inlineStr">
        <is>
          <t>VEV COMERCIO DE MEDICAMENTOS LTDA EM RECUPERACAO JUDICIAL</t>
        </is>
      </c>
      <c r="D255" s="18" t="inlineStr">
        <is>
          <t>NEW</t>
        </is>
      </c>
      <c r="E255" s="19" t="inlineStr"/>
      <c r="F255" s="18" t="inlineStr"/>
      <c r="G255" s="19" t="inlineStr"/>
      <c r="H255" s="18" t="inlineStr"/>
      <c r="I255" s="20" t="inlineStr">
        <is>
          <t>SERGIO LULIA JACOB</t>
        </is>
      </c>
      <c r="J255" s="20" t="inlineStr">
        <is>
          <t>Presidente</t>
        </is>
      </c>
      <c r="K255" s="20" t="inlineStr">
        <is>
          <t>(11) 3170-2000</t>
        </is>
      </c>
      <c r="L255" s="20" t="inlineStr"/>
      <c r="M255" s="20" t="inlineStr"/>
      <c r="N255" s="20" t="inlineStr"/>
      <c r="O255" s="20" t="inlineStr"/>
      <c r="P255" s="20" t="inlineStr">
        <is>
          <t>ADRIANA FERNANDES PERES</t>
        </is>
      </c>
      <c r="Q255" s="20" t="inlineStr">
        <is>
          <t>Diretor</t>
        </is>
      </c>
      <c r="R255" s="20" t="inlineStr">
        <is>
          <t>(11) 3170-2000</t>
        </is>
      </c>
      <c r="S255" s="20" t="inlineStr"/>
      <c r="T255" s="21" t="n">
        <v>801043.63</v>
      </c>
      <c r="U255" s="22" t="inlineStr">
        <is>
          <t>B</t>
        </is>
      </c>
      <c r="V255" s="23">
        <f>IFERROR(VLOOKUP(U255,Assumptions!$A$7:$D$11,2,FALSE),0)</f>
        <v/>
      </c>
      <c r="W255" s="24">
        <f>MAX(0.5,IFERROR(VLOOKUP(U255,Assumptions!$A$7:$D$11,3,FALSE),3)+IFERROR(VLOOKUP(U255,Assumptions!$A$7:$D$11,4,FALSE),8)/2-IF(AN255="",0,YEAR(TODAY())-AN255))</f>
        <v/>
      </c>
      <c r="X255" s="21">
        <f>T255*V255/(1+Assumptions!$B$3)^W255</f>
        <v/>
      </c>
      <c r="Y255" s="25">
        <f>IF(T255=0,"",ROUND(X255/T255*100,1))</f>
        <v/>
      </c>
      <c r="Z255" s="26">
        <f>X255*Assumptions!$B$4</f>
        <v/>
      </c>
      <c r="AA255" s="25">
        <f>IF(T255=0,"",ROUND(Z255/T255*100,1))</f>
        <v/>
      </c>
      <c r="AB255" s="26">
        <f>X255-Z255</f>
        <v/>
      </c>
      <c r="AC255" s="25">
        <f>IF(T255=0,"",ROUND((X255-Z255)/T255*100,1))</f>
        <v/>
      </c>
      <c r="AD255" s="27" t="inlineStr">
        <is>
          <t>ESTIMATED</t>
        </is>
      </c>
      <c r="AE255" s="28" t="inlineStr">
        <is>
          <t>https://marquesadmjudicial.com.br/sgc/download.php?file=files/processo_documento/processo_documento15293208032024_1_.pdf&amp;nome=Relação Nominal de Credores da AJ-Sintética</t>
        </is>
      </c>
      <c r="AF255" s="27" t="inlineStr">
        <is>
          <t>p20 r5</t>
        </is>
      </c>
      <c r="AG255" s="27" t="inlineStr">
        <is>
          <t>p20: R$ 801.043,63</t>
        </is>
      </c>
      <c r="AH255" s="27" t="inlineStr">
        <is>
          <t>AJ_LIST</t>
        </is>
      </c>
      <c r="AI255" s="27" t="inlineStr">
        <is>
          <t>2023-03-02</t>
        </is>
      </c>
      <c r="AJ255" s="27" t="inlineStr">
        <is>
          <t>QUARANTINED</t>
        </is>
      </c>
      <c r="AK255" s="29" t="inlineStr">
        <is>
          <t>0005010-98.2023.8.16.0001</t>
        </is>
      </c>
      <c r="AL255" s="29" t="inlineStr">
        <is>
          <t>TJPR</t>
        </is>
      </c>
      <c r="AM255" s="29" t="inlineStr">
        <is>
          <t>ACTIVE</t>
        </is>
      </c>
      <c r="AN255" s="29" t="n">
        <v>2023</v>
      </c>
      <c r="AO255" s="29" t="inlineStr">
        <is>
          <t>live case, no plan document yet</t>
        </is>
      </c>
      <c r="AP255" s="29" t="inlineStr">
        <is>
          <t>SAO PAULO</t>
        </is>
      </c>
      <c r="AQ255" s="29" t="inlineStr">
        <is>
          <t>SP</t>
        </is>
      </c>
      <c r="AR255" s="29" t="inlineStr">
        <is>
          <t>Bancos múltiplos, com carteira comercial</t>
        </is>
      </c>
      <c r="AS255" s="29" t="inlineStr">
        <is>
          <t>DEMAIS</t>
        </is>
      </c>
      <c r="AT255" s="29" t="inlineStr">
        <is>
          <t>LARGE CORP</t>
        </is>
      </c>
      <c r="AU255" s="29" t="inlineStr">
        <is>
          <t>28195667</t>
        </is>
      </c>
      <c r="AV255" s="29" t="n">
        <v>1</v>
      </c>
      <c r="AW255" s="29" t="inlineStr">
        <is>
          <t>LIKELY_FINANCIAL_BY_NAME PARTIAL_DOC_CLASS_III_RECONCILED ROWS:p20r5</t>
        </is>
      </c>
    </row>
    <row r="256">
      <c r="A256" s="15" t="inlineStr">
        <is>
          <t>GUARDIAN CAPITAL SECURITIZADORA S/A. (</t>
        </is>
      </c>
      <c r="B256" s="16" t="n">
        <v>1588129.34</v>
      </c>
      <c r="C256" s="17" t="inlineStr">
        <is>
          <t>VECTOR INDUSTRIA DE PRODUTOS METALURGICOS LTDA - EM RECUPERACAO JUDICIAL</t>
        </is>
      </c>
      <c r="D256" s="18" t="inlineStr">
        <is>
          <t>NEW</t>
        </is>
      </c>
      <c r="E256" s="19" t="inlineStr"/>
      <c r="F256" s="18" t="inlineStr"/>
      <c r="G256" s="19" t="inlineStr"/>
      <c r="H256" s="18" t="inlineStr"/>
      <c r="I256" s="20" t="inlineStr"/>
      <c r="J256" s="20" t="inlineStr"/>
      <c r="K256" s="20" t="inlineStr"/>
      <c r="L256" s="20" t="inlineStr"/>
      <c r="M256" s="20" t="inlineStr"/>
      <c r="N256" s="20" t="inlineStr"/>
      <c r="O256" s="20" t="inlineStr"/>
      <c r="P256" s="20" t="inlineStr"/>
      <c r="Q256" s="20" t="inlineStr"/>
      <c r="R256" s="20" t="inlineStr"/>
      <c r="S256" s="20" t="inlineStr"/>
      <c r="T256" s="21" t="n">
        <v>1588129.34</v>
      </c>
      <c r="U256" s="31" t="inlineStr">
        <is>
          <t>C</t>
        </is>
      </c>
      <c r="V256" s="23">
        <f>IFERROR(VLOOKUP(U256,Assumptions!$A$7:$D$11,2,FALSE),0)</f>
        <v/>
      </c>
      <c r="W256" s="24">
        <f>MAX(0.5,IFERROR(VLOOKUP(U256,Assumptions!$A$7:$D$11,3,FALSE),3)+IFERROR(VLOOKUP(U256,Assumptions!$A$7:$D$11,4,FALSE),8)/2-IF(AN256="",0,YEAR(TODAY())-AN256))</f>
        <v/>
      </c>
      <c r="X256" s="21">
        <f>T256*V256/(1+Assumptions!$B$3)^W256</f>
        <v/>
      </c>
      <c r="Y256" s="25">
        <f>IF(T256=0,"",ROUND(X256/T256*100,1))</f>
        <v/>
      </c>
      <c r="Z256" s="26">
        <f>X256*Assumptions!$B$4</f>
        <v/>
      </c>
      <c r="AA256" s="25">
        <f>IF(T256=0,"",ROUND(Z256/T256*100,1))</f>
        <v/>
      </c>
      <c r="AB256" s="26">
        <f>X256-Z256</f>
        <v/>
      </c>
      <c r="AC256" s="25">
        <f>IF(T256=0,"",ROUND((X256-Z256)/T256*100,1))</f>
        <v/>
      </c>
      <c r="AD256" s="27" t="inlineStr">
        <is>
          <t>ESTIMATED</t>
        </is>
      </c>
      <c r="AE256" s="28" t="inlineStr">
        <is>
          <t>https://scalzilliaj.com.br/sgc/download.php?file=files/processo_documento/processo_documento15513401112022_1_.pdf&amp;nome=15 - Edital do art. 7º, §2º (segunda lista de credores) e do art. 53 da Lei 11.101/2005 (recebimento do plano)</t>
        </is>
      </c>
      <c r="AF256" s="27" t="inlineStr">
        <is>
          <t>p7 r22</t>
        </is>
      </c>
      <c r="AG256" s="27" t="inlineStr">
        <is>
          <t>p7: R$ 1.588.129,34</t>
        </is>
      </c>
      <c r="AH256" s="27" t="inlineStr">
        <is>
          <t>AJ_LIST</t>
        </is>
      </c>
      <c r="AI256" s="27" t="inlineStr">
        <is>
          <t>2022-11-01</t>
        </is>
      </c>
      <c r="AJ256" s="27" t="inlineStr">
        <is>
          <t>OK_NO_TOTALS</t>
        </is>
      </c>
      <c r="AK256" s="29" t="inlineStr">
        <is>
          <t>5014104-85.2021.8.21.0010</t>
        </is>
      </c>
      <c r="AL256" s="29" t="inlineStr">
        <is>
          <t>TJRS</t>
        </is>
      </c>
      <c r="AM256" s="29" t="inlineStr">
        <is>
          <t>ACTIVE</t>
        </is>
      </c>
      <c r="AN256" s="29" t="n">
        <v>2021</v>
      </c>
      <c r="AO256" s="29" t="inlineStr">
        <is>
          <t>5y since filing, no plan document</t>
        </is>
      </c>
      <c r="AP256" s="29" t="inlineStr"/>
      <c r="AQ256" s="29" t="inlineStr"/>
      <c r="AR256" s="29" t="inlineStr"/>
      <c r="AS256" s="29" t="inlineStr"/>
      <c r="AT256" s="29" t="inlineStr">
        <is>
          <t>MID-MARKET</t>
        </is>
      </c>
      <c r="AU256" s="29" t="inlineStr">
        <is>
          <t>26628896</t>
        </is>
      </c>
      <c r="AV256" s="29" t="n">
        <v>1</v>
      </c>
      <c r="AW256" s="29" t="inlineStr">
        <is>
          <t>LIKELY_FINANCIAL_BY_NAME ROWS:p7r22 UNRECONCILED_SOURCE</t>
        </is>
      </c>
    </row>
    <row r="257">
      <c r="A257" s="15" t="inlineStr">
        <is>
          <t>BFC FUNDO DE INVESTIMENTO EM DIREITOS CREDITORIOS</t>
        </is>
      </c>
      <c r="B257" s="16" t="n">
        <v>783839.34</v>
      </c>
      <c r="C257" s="17" t="inlineStr">
        <is>
          <t>Conduscabos Brasil Indústria Comércio de</t>
        </is>
      </c>
      <c r="D257" s="18" t="inlineStr">
        <is>
          <t>NEW</t>
        </is>
      </c>
      <c r="E257" s="19" t="inlineStr"/>
      <c r="F257" s="18" t="inlineStr"/>
      <c r="G257" s="19" t="inlineStr"/>
      <c r="H257" s="18" t="inlineStr"/>
      <c r="I257" s="20" t="inlineStr"/>
      <c r="J257" s="20" t="inlineStr"/>
      <c r="K257" s="20" t="inlineStr">
        <is>
          <t>(11) 2827-3500</t>
        </is>
      </c>
      <c r="L257" s="20" t="inlineStr"/>
      <c r="M257" s="20" t="inlineStr"/>
      <c r="N257" s="20" t="inlineStr"/>
      <c r="O257" s="20" t="inlineStr"/>
      <c r="P257" s="20" t="inlineStr"/>
      <c r="Q257" s="20" t="inlineStr"/>
      <c r="R257" s="20" t="inlineStr"/>
      <c r="S257" s="20" t="inlineStr"/>
      <c r="T257" s="21" t="n">
        <v>783839.34</v>
      </c>
      <c r="U257" s="22" t="inlineStr">
        <is>
          <t>B</t>
        </is>
      </c>
      <c r="V257" s="23">
        <f>IFERROR(VLOOKUP(U257,Assumptions!$A$7:$D$11,2,FALSE),0)</f>
        <v/>
      </c>
      <c r="W257" s="24">
        <f>MAX(0.5,IFERROR(VLOOKUP(U257,Assumptions!$A$7:$D$11,3,FALSE),3)+IFERROR(VLOOKUP(U257,Assumptions!$A$7:$D$11,4,FALSE),8)/2-IF(AN257="",0,YEAR(TODAY())-AN257))</f>
        <v/>
      </c>
      <c r="X257" s="21">
        <f>T257*V257/(1+Assumptions!$B$3)^W257</f>
        <v/>
      </c>
      <c r="Y257" s="25">
        <f>IF(T257=0,"",ROUND(X257/T257*100,1))</f>
        <v/>
      </c>
      <c r="Z257" s="26">
        <f>X257*Assumptions!$B$4</f>
        <v/>
      </c>
      <c r="AA257" s="25">
        <f>IF(T257=0,"",ROUND(Z257/T257*100,1))</f>
        <v/>
      </c>
      <c r="AB257" s="26">
        <f>X257-Z257</f>
        <v/>
      </c>
      <c r="AC257" s="25">
        <f>IF(T257=0,"",ROUND((X257-Z257)/T257*100,1))</f>
        <v/>
      </c>
      <c r="AD257" s="27" t="inlineStr">
        <is>
          <t>ESTIMATED</t>
        </is>
      </c>
      <c r="AE257" s="28" t="inlineStr">
        <is>
          <t>https://assistjud.com.br/wp-content/uploads/elementor/forms/65098c80a5824.pdf</t>
        </is>
      </c>
      <c r="AF257" s="27" t="inlineStr">
        <is>
          <t>p5 r14</t>
        </is>
      </c>
      <c r="AG257" s="27" t="inlineStr">
        <is>
          <t>p5: R$ 783.839,34</t>
        </is>
      </c>
      <c r="AH257" s="27" t="inlineStr">
        <is>
          <t>AJ_LIST</t>
        </is>
      </c>
      <c r="AI257" s="27" t="inlineStr">
        <is>
          <t>2023-09-18</t>
        </is>
      </c>
      <c r="AJ257" s="27" t="inlineStr">
        <is>
          <t>OK_NO_TOTALS</t>
        </is>
      </c>
      <c r="AK257" s="29" t="inlineStr">
        <is>
          <t>8005129-09.2023.8.05.0039</t>
        </is>
      </c>
      <c r="AL257" s="29" t="inlineStr">
        <is>
          <t>TJBA</t>
        </is>
      </c>
      <c r="AM257" s="29" t="inlineStr">
        <is>
          <t>ACTIVE</t>
        </is>
      </c>
      <c r="AN257" s="29" t="n">
        <v>2023</v>
      </c>
      <c r="AO257" s="29" t="inlineStr">
        <is>
          <t>live case, no plan document yet</t>
        </is>
      </c>
      <c r="AP257" s="29" t="inlineStr">
        <is>
          <t>SAO PAULO</t>
        </is>
      </c>
      <c r="AQ257" s="29" t="inlineStr">
        <is>
          <t>SP</t>
        </is>
      </c>
      <c r="AR257" s="29" t="inlineStr">
        <is>
          <t>Fundos de investimento, exceto previdenciários e imobiliários</t>
        </is>
      </c>
      <c r="AS257" s="29" t="inlineStr">
        <is>
          <t>DEMAIS</t>
        </is>
      </c>
      <c r="AT257" s="29" t="inlineStr">
        <is>
          <t>MID-MARKET</t>
        </is>
      </c>
      <c r="AU257" s="29" t="inlineStr">
        <is>
          <t>11507489</t>
        </is>
      </c>
      <c r="AV257" s="29" t="n">
        <v>1</v>
      </c>
      <c r="AW257" s="29" t="inlineStr">
        <is>
          <t>ROWS:p5r14 UNRECONCILED_SOURCE VALUE_COL:Valor_Do_Crédito_2º_Edital_De_Credores</t>
        </is>
      </c>
    </row>
    <row r="258">
      <c r="A258" s="15" t="inlineStr">
        <is>
          <t>BANCO DO BRASIL SA</t>
        </is>
      </c>
      <c r="B258" s="16" t="n">
        <v>968216.1899999999</v>
      </c>
      <c r="C258" s="17" t="inlineStr">
        <is>
          <t>GRUPO ADLIM – LRF Líderes em Recuperação Judicial e Falência</t>
        </is>
      </c>
      <c r="D258" s="18" t="inlineStr">
        <is>
          <t>NEW</t>
        </is>
      </c>
      <c r="E258" s="19" t="inlineStr"/>
      <c r="F258" s="18" t="inlineStr"/>
      <c r="G258" s="19" t="inlineStr"/>
      <c r="H258" s="18" t="inlineStr"/>
      <c r="I258" s="20" t="inlineStr">
        <is>
          <t>TARCIANA PAULA GOMES MEDEIROS</t>
        </is>
      </c>
      <c r="J258" s="20" t="inlineStr">
        <is>
          <t>Presidente</t>
        </is>
      </c>
      <c r="K258" s="20" t="inlineStr">
        <is>
          <t>(61) 3493-9002</t>
        </is>
      </c>
      <c r="L258" s="20" t="inlineStr"/>
      <c r="M258" s="20" t="inlineStr"/>
      <c r="N258" s="20" t="inlineStr"/>
      <c r="O258" s="20" t="inlineStr"/>
      <c r="P258" s="20" t="inlineStr">
        <is>
          <t>ALAN CARLOS GUEDES DE OLIVEIRA</t>
        </is>
      </c>
      <c r="Q258" s="20" t="inlineStr">
        <is>
          <t>Diretor</t>
        </is>
      </c>
      <c r="R258" s="20" t="inlineStr">
        <is>
          <t>(61) 3493-9002</t>
        </is>
      </c>
      <c r="S258" s="20" t="inlineStr"/>
      <c r="T258" s="21" t="n">
        <v>968216.1899999999</v>
      </c>
      <c r="U258" s="22" t="inlineStr">
        <is>
          <t>B</t>
        </is>
      </c>
      <c r="V258" s="23">
        <f>IFERROR(VLOOKUP(U258,Assumptions!$A$7:$D$11,2,FALSE),0)</f>
        <v/>
      </c>
      <c r="W258" s="24">
        <f>MAX(0.5,IFERROR(VLOOKUP(U258,Assumptions!$A$7:$D$11,3,FALSE),3)+IFERROR(VLOOKUP(U258,Assumptions!$A$7:$D$11,4,FALSE),8)/2-IF(AN258="",0,YEAR(TODAY())-AN258))</f>
        <v/>
      </c>
      <c r="X258" s="21">
        <f>T258*V258/(1+Assumptions!$B$3)^W258</f>
        <v/>
      </c>
      <c r="Y258" s="25">
        <f>IF(T258=0,"",ROUND(X258/T258*100,1))</f>
        <v/>
      </c>
      <c r="Z258" s="26">
        <f>X258*Assumptions!$B$4</f>
        <v/>
      </c>
      <c r="AA258" s="25">
        <f>IF(T258=0,"",ROUND(Z258/T258*100,1))</f>
        <v/>
      </c>
      <c r="AB258" s="26">
        <f>X258-Z258</f>
        <v/>
      </c>
      <c r="AC258" s="25">
        <f>IF(T258=0,"",ROUND((X258-Z258)/T258*100,1))</f>
        <v/>
      </c>
      <c r="AD258" s="27" t="inlineStr">
        <is>
          <t>ESTIMATED</t>
        </is>
      </c>
      <c r="AE258" s="28" t="inlineStr">
        <is>
          <t>https://lrflideres.com.br/wp-content/plugins/download-attachments/includes/download.php?id=6051</t>
        </is>
      </c>
      <c r="AF258" s="27" t="inlineStr">
        <is>
          <t>p66 r69; p97 r21</t>
        </is>
      </c>
      <c r="AG258" s="27" t="inlineStr">
        <is>
          <t>p66: R$ 421489,53; p97: R$ 546726,66</t>
        </is>
      </c>
      <c r="AH258" s="27" t="inlineStr">
        <is>
          <t>AJ_LIST</t>
        </is>
      </c>
      <c r="AI258" s="27" t="inlineStr">
        <is>
          <t>2024-08-12</t>
        </is>
      </c>
      <c r="AJ258" s="27" t="inlineStr">
        <is>
          <t>QUARANTINED</t>
        </is>
      </c>
      <c r="AK258" s="29" t="inlineStr">
        <is>
          <t>0019761-43.2024.8.17.2001</t>
        </is>
      </c>
      <c r="AL258" s="29" t="inlineStr">
        <is>
          <t>TJPE</t>
        </is>
      </c>
      <c r="AM258" s="29" t="inlineStr">
        <is>
          <t>ACTIVE</t>
        </is>
      </c>
      <c r="AN258" s="29" t="n">
        <v>2024</v>
      </c>
      <c r="AO258" s="29" t="inlineStr">
        <is>
          <t>live case, no plan document yet</t>
        </is>
      </c>
      <c r="AP258" s="29" t="inlineStr">
        <is>
          <t>BRASILIA</t>
        </is>
      </c>
      <c r="AQ258" s="29" t="inlineStr">
        <is>
          <t>DF</t>
        </is>
      </c>
      <c r="AR258" s="29" t="inlineStr">
        <is>
          <t>Bancos múltiplos, com carteira comercial</t>
        </is>
      </c>
      <c r="AS258" s="29" t="inlineStr">
        <is>
          <t>DEMAIS</t>
        </is>
      </c>
      <c r="AT258" s="29" t="inlineStr">
        <is>
          <t>LARGE CORP</t>
        </is>
      </c>
      <c r="AU258" s="29" t="inlineStr">
        <is>
          <t>00000000</t>
        </is>
      </c>
      <c r="AV258" s="29" t="n">
        <v>2</v>
      </c>
      <c r="AW258" s="29" t="inlineStr">
        <is>
          <t>LIKELY_FINANCIAL_BY_NAME PARTIAL_DOC_CLASS_III_RECONCILED ROWS:p66r69,p97r21</t>
        </is>
      </c>
    </row>
    <row r="259">
      <c r="A259" s="15" t="inlineStr">
        <is>
          <t>ITAU UNIBANCO S.A.</t>
        </is>
      </c>
      <c r="B259" s="16" t="n">
        <v>1500000</v>
      </c>
      <c r="C259" s="17" t="inlineStr">
        <is>
          <t>TENDAS E COMPANHIA LTDA</t>
        </is>
      </c>
      <c r="D259" s="18" t="inlineStr">
        <is>
          <t>NEW</t>
        </is>
      </c>
      <c r="E259" s="19" t="inlineStr"/>
      <c r="F259" s="18" t="inlineStr"/>
      <c r="G259" s="19" t="inlineStr"/>
      <c r="H259" s="18" t="inlineStr"/>
      <c r="I259" s="20" t="inlineStr">
        <is>
          <t>FELIPE SAMPAIO NABUCO</t>
        </is>
      </c>
      <c r="J259" s="20" t="inlineStr">
        <is>
          <t>Administrador</t>
        </is>
      </c>
      <c r="K259" s="20" t="inlineStr">
        <is>
          <t>(11) 3003-4828</t>
        </is>
      </c>
      <c r="L259" s="20" t="inlineStr"/>
      <c r="M259" s="20" t="inlineStr"/>
      <c r="N259" s="20" t="inlineStr"/>
      <c r="O259" s="20" t="inlineStr"/>
      <c r="P259" s="20" t="inlineStr">
        <is>
          <t>MILTON MALUHY FILHO</t>
        </is>
      </c>
      <c r="Q259" s="20" t="inlineStr">
        <is>
          <t>Presidente</t>
        </is>
      </c>
      <c r="R259" s="20" t="inlineStr">
        <is>
          <t>(11) 3003-4828</t>
        </is>
      </c>
      <c r="S259" s="20" t="inlineStr"/>
      <c r="T259" s="21" t="n">
        <v>1500000</v>
      </c>
      <c r="U259" s="22" t="inlineStr">
        <is>
          <t>B</t>
        </is>
      </c>
      <c r="V259" s="23">
        <f>IFERROR(VLOOKUP(U259,Assumptions!$A$7:$D$11,2,FALSE),0)</f>
        <v/>
      </c>
      <c r="W259" s="24">
        <f>MAX(0.5,IFERROR(VLOOKUP(U259,Assumptions!$A$7:$D$11,3,FALSE),3)+IFERROR(VLOOKUP(U259,Assumptions!$A$7:$D$11,4,FALSE),8)/2-IF(AN259="",0,YEAR(TODAY())-AN259))</f>
        <v/>
      </c>
      <c r="X259" s="21">
        <f>T259*V259/(1+Assumptions!$B$3)^W259</f>
        <v/>
      </c>
      <c r="Y259" s="25">
        <f>IF(T259=0,"",ROUND(X259/T259*100,1))</f>
        <v/>
      </c>
      <c r="Z259" s="26">
        <f>X259*Assumptions!$B$4</f>
        <v/>
      </c>
      <c r="AA259" s="25">
        <f>IF(T259=0,"",ROUND(Z259/T259*100,1))</f>
        <v/>
      </c>
      <c r="AB259" s="26">
        <f>X259-Z259</f>
        <v/>
      </c>
      <c r="AC259" s="25">
        <f>IF(T259=0,"",ROUND((X259-Z259)/T259*100,1))</f>
        <v/>
      </c>
      <c r="AD259" s="27" t="inlineStr">
        <is>
          <t>ESTIMATED</t>
        </is>
      </c>
      <c r="AE259" s="28" t="inlineStr">
        <is>
          <t>https://stenius.com.br/wp-content/uploads/2026/08/1°-EDITAL-GRUPO-TENDAS.pdf</t>
        </is>
      </c>
      <c r="AF259" s="27" t="inlineStr">
        <is>
          <t>p5 r19</t>
        </is>
      </c>
      <c r="AG259" s="27" t="inlineStr">
        <is>
          <t>p5: R$ 1.500.000,00</t>
        </is>
      </c>
      <c r="AH259" s="27" t="inlineStr">
        <is>
          <t>AJ_LIST</t>
        </is>
      </c>
      <c r="AI259" s="27" t="inlineStr">
        <is>
          <t>2026-08-13</t>
        </is>
      </c>
      <c r="AJ259" s="27" t="inlineStr">
        <is>
          <t>OK_NO_TOTALS</t>
        </is>
      </c>
      <c r="AK259" s="29" t="inlineStr">
        <is>
          <t>5401053-70.2026.8.09.0051</t>
        </is>
      </c>
      <c r="AL259" s="29" t="inlineStr">
        <is>
          <t>TJGO</t>
        </is>
      </c>
      <c r="AM259" s="29" t="inlineStr">
        <is>
          <t>ACTIVE</t>
        </is>
      </c>
      <c r="AN259" s="29" t="n">
        <v>2026</v>
      </c>
      <c r="AO259" s="29" t="inlineStr">
        <is>
          <t>live case, no plan document yet</t>
        </is>
      </c>
      <c r="AP259" s="29" t="inlineStr">
        <is>
          <t>SAO PAULO</t>
        </is>
      </c>
      <c r="AQ259" s="29" t="inlineStr">
        <is>
          <t>SP</t>
        </is>
      </c>
      <c r="AR259" s="29" t="inlineStr">
        <is>
          <t>Bancos comerciais</t>
        </is>
      </c>
      <c r="AS259" s="29" t="inlineStr">
        <is>
          <t>DEMAIS</t>
        </is>
      </c>
      <c r="AT259" s="29" t="inlineStr">
        <is>
          <t>LARGE CORP</t>
        </is>
      </c>
      <c r="AU259" s="29" t="inlineStr">
        <is>
          <t>60701190</t>
        </is>
      </c>
      <c r="AV259" s="29" t="n">
        <v>1</v>
      </c>
      <c r="AW259" s="29" t="inlineStr">
        <is>
          <t>LIKELY_FINANCIAL_BY_NAME ROWS:p5r19 UNRECONCILED_SOURCE VALUE_COL:Valor</t>
        </is>
      </c>
    </row>
    <row r="260">
      <c r="A260" s="15" t="inlineStr">
        <is>
          <t>NOVA S.R.M. ADMINISTRACAO DE RECURSOS E FINANCAS S/A</t>
        </is>
      </c>
      <c r="B260" s="16" t="n">
        <v>758973.08</v>
      </c>
      <c r="C260" s="17" t="inlineStr">
        <is>
          <t>VEV COMERCIO DE MEDICAMENTOS LTDA EM RECUPERACAO JUDICIAL</t>
        </is>
      </c>
      <c r="D260" s="18" t="inlineStr">
        <is>
          <t>NEW</t>
        </is>
      </c>
      <c r="E260" s="19" t="inlineStr"/>
      <c r="F260" s="18" t="inlineStr"/>
      <c r="G260" s="19" t="inlineStr"/>
      <c r="H260" s="18" t="inlineStr"/>
      <c r="I260" s="20" t="inlineStr">
        <is>
          <t>AQUILES FELDMAN</t>
        </is>
      </c>
      <c r="J260" s="20" t="inlineStr">
        <is>
          <t>Diretor</t>
        </is>
      </c>
      <c r="K260" s="20" t="inlineStr">
        <is>
          <t>(11) 3334-2100</t>
        </is>
      </c>
      <c r="L260" s="20" t="inlineStr">
        <is>
          <t>(11) 3334-2151</t>
        </is>
      </c>
      <c r="M260" s="20" t="inlineStr"/>
      <c r="N260" s="20" t="inlineStr"/>
      <c r="O260" s="20" t="inlineStr"/>
      <c r="P260" s="20" t="inlineStr">
        <is>
          <t>EDUARDO VIEIRA DE SIQUEIRA</t>
        </is>
      </c>
      <c r="Q260" s="20" t="inlineStr">
        <is>
          <t>Diretor</t>
        </is>
      </c>
      <c r="R260" s="20" t="inlineStr">
        <is>
          <t>(11) 3334-2151</t>
        </is>
      </c>
      <c r="S260" s="20" t="inlineStr"/>
      <c r="T260" s="21" t="n">
        <v>758973.08</v>
      </c>
      <c r="U260" s="22" t="inlineStr">
        <is>
          <t>B</t>
        </is>
      </c>
      <c r="V260" s="23">
        <f>IFERROR(VLOOKUP(U260,Assumptions!$A$7:$D$11,2,FALSE),0)</f>
        <v/>
      </c>
      <c r="W260" s="24">
        <f>MAX(0.5,IFERROR(VLOOKUP(U260,Assumptions!$A$7:$D$11,3,FALSE),3)+IFERROR(VLOOKUP(U260,Assumptions!$A$7:$D$11,4,FALSE),8)/2-IF(AN260="",0,YEAR(TODAY())-AN260))</f>
        <v/>
      </c>
      <c r="X260" s="21">
        <f>T260*V260/(1+Assumptions!$B$3)^W260</f>
        <v/>
      </c>
      <c r="Y260" s="25">
        <f>IF(T260=0,"",ROUND(X260/T260*100,1))</f>
        <v/>
      </c>
      <c r="Z260" s="26">
        <f>X260*Assumptions!$B$4</f>
        <v/>
      </c>
      <c r="AA260" s="25">
        <f>IF(T260=0,"",ROUND(Z260/T260*100,1))</f>
        <v/>
      </c>
      <c r="AB260" s="26">
        <f>X260-Z260</f>
        <v/>
      </c>
      <c r="AC260" s="25">
        <f>IF(T260=0,"",ROUND((X260-Z260)/T260*100,1))</f>
        <v/>
      </c>
      <c r="AD260" s="27" t="inlineStr">
        <is>
          <t>ESTIMATED</t>
        </is>
      </c>
      <c r="AE260" s="28" t="inlineStr">
        <is>
          <t>https://marquesadmjudicial.com.br/sgc/download.php?file=files/processo_documento/processo_documento15293208032024_1_.pdf&amp;nome=Relação Nominal de Credores da AJ-Sintética</t>
        </is>
      </c>
      <c r="AF260" s="27" t="inlineStr">
        <is>
          <t>p29 r12</t>
        </is>
      </c>
      <c r="AG260" s="27" t="inlineStr">
        <is>
          <t>p29: R$ 758.973,08</t>
        </is>
      </c>
      <c r="AH260" s="27" t="inlineStr">
        <is>
          <t>AJ_LIST</t>
        </is>
      </c>
      <c r="AI260" s="27" t="inlineStr">
        <is>
          <t>2023-03-02</t>
        </is>
      </c>
      <c r="AJ260" s="27" t="inlineStr">
        <is>
          <t>QUARANTINED</t>
        </is>
      </c>
      <c r="AK260" s="29" t="inlineStr">
        <is>
          <t>0005010-98.2023.8.16.0001</t>
        </is>
      </c>
      <c r="AL260" s="29" t="inlineStr">
        <is>
          <t>TJPR</t>
        </is>
      </c>
      <c r="AM260" s="29" t="inlineStr">
        <is>
          <t>ACTIVE</t>
        </is>
      </c>
      <c r="AN260" s="29" t="n">
        <v>2023</v>
      </c>
      <c r="AO260" s="29" t="inlineStr">
        <is>
          <t>live case, no plan document yet</t>
        </is>
      </c>
      <c r="AP260" s="29" t="inlineStr">
        <is>
          <t>SAO PAULO</t>
        </is>
      </c>
      <c r="AQ260" s="29" t="inlineStr">
        <is>
          <t>SP</t>
        </is>
      </c>
      <c r="AR260" s="29" t="inlineStr">
        <is>
          <t>Atividades de administração de fundos por contrato ou comissão</t>
        </is>
      </c>
      <c r="AS260" s="29" t="inlineStr">
        <is>
          <t>DEMAIS</t>
        </is>
      </c>
      <c r="AT260" s="29" t="inlineStr">
        <is>
          <t>MID-MARKET</t>
        </is>
      </c>
      <c r="AU260" s="29" t="inlineStr">
        <is>
          <t>11504852</t>
        </is>
      </c>
      <c r="AV260" s="29" t="n">
        <v>1</v>
      </c>
      <c r="AW260" s="29" t="inlineStr">
        <is>
          <t>PARTIAL_DOC_CLASS_III_RECONCILED ROWS:p29r12</t>
        </is>
      </c>
    </row>
    <row r="261">
      <c r="A261" s="15" t="inlineStr">
        <is>
          <t>ASIA FIDC</t>
        </is>
      </c>
      <c r="B261" s="16" t="n">
        <v>758759.36</v>
      </c>
      <c r="C261" s="17" t="inlineStr">
        <is>
          <t>Conduscabos Brasil Indústria Comércio de</t>
        </is>
      </c>
      <c r="D261" s="18" t="inlineStr">
        <is>
          <t>NEW</t>
        </is>
      </c>
      <c r="E261" s="19" t="inlineStr"/>
      <c r="F261" s="18" t="inlineStr"/>
      <c r="G261" s="19" t="inlineStr"/>
      <c r="H261" s="18" t="inlineStr"/>
      <c r="I261" s="20" t="inlineStr"/>
      <c r="J261" s="20" t="inlineStr"/>
      <c r="K261" s="20" t="inlineStr"/>
      <c r="L261" s="20" t="inlineStr"/>
      <c r="M261" s="20" t="inlineStr"/>
      <c r="N261" s="20" t="inlineStr"/>
      <c r="O261" s="20" t="inlineStr"/>
      <c r="P261" s="20" t="inlineStr"/>
      <c r="Q261" s="20" t="inlineStr"/>
      <c r="R261" s="20" t="inlineStr"/>
      <c r="S261" s="20" t="inlineStr"/>
      <c r="T261" s="21" t="n">
        <v>758759.36</v>
      </c>
      <c r="U261" s="22" t="inlineStr">
        <is>
          <t>B</t>
        </is>
      </c>
      <c r="V261" s="23">
        <f>IFERROR(VLOOKUP(U261,Assumptions!$A$7:$D$11,2,FALSE),0)</f>
        <v/>
      </c>
      <c r="W261" s="24">
        <f>MAX(0.5,IFERROR(VLOOKUP(U261,Assumptions!$A$7:$D$11,3,FALSE),3)+IFERROR(VLOOKUP(U261,Assumptions!$A$7:$D$11,4,FALSE),8)/2-IF(AN261="",0,YEAR(TODAY())-AN261))</f>
        <v/>
      </c>
      <c r="X261" s="21">
        <f>T261*V261/(1+Assumptions!$B$3)^W261</f>
        <v/>
      </c>
      <c r="Y261" s="25">
        <f>IF(T261=0,"",ROUND(X261/T261*100,1))</f>
        <v/>
      </c>
      <c r="Z261" s="26">
        <f>X261*Assumptions!$B$4</f>
        <v/>
      </c>
      <c r="AA261" s="25">
        <f>IF(T261=0,"",ROUND(Z261/T261*100,1))</f>
        <v/>
      </c>
      <c r="AB261" s="26">
        <f>X261-Z261</f>
        <v/>
      </c>
      <c r="AC261" s="25">
        <f>IF(T261=0,"",ROUND((X261-Z261)/T261*100,1))</f>
        <v/>
      </c>
      <c r="AD261" s="27" t="inlineStr">
        <is>
          <t>ESTIMATED</t>
        </is>
      </c>
      <c r="AE261" s="28" t="inlineStr">
        <is>
          <t>https://assistjud.com.br/wp-content/uploads/elementor/forms/65098c80a5824.pdf</t>
        </is>
      </c>
      <c r="AF261" s="27" t="inlineStr">
        <is>
          <t>p5 r5</t>
        </is>
      </c>
      <c r="AG261" s="27" t="inlineStr">
        <is>
          <t>p5: R$ 758.759,36</t>
        </is>
      </c>
      <c r="AH261" s="27" t="inlineStr">
        <is>
          <t>AJ_LIST</t>
        </is>
      </c>
      <c r="AI261" s="27" t="inlineStr">
        <is>
          <t>2023-09-18</t>
        </is>
      </c>
      <c r="AJ261" s="27" t="inlineStr">
        <is>
          <t>OK_NO_TOTALS</t>
        </is>
      </c>
      <c r="AK261" s="29" t="inlineStr">
        <is>
          <t>8005129-09.2023.8.05.0039</t>
        </is>
      </c>
      <c r="AL261" s="29" t="inlineStr">
        <is>
          <t>TJBA</t>
        </is>
      </c>
      <c r="AM261" s="29" t="inlineStr">
        <is>
          <t>ACTIVE</t>
        </is>
      </c>
      <c r="AN261" s="29" t="n">
        <v>2023</v>
      </c>
      <c r="AO261" s="29" t="inlineStr">
        <is>
          <t>live case, no plan document yet</t>
        </is>
      </c>
      <c r="AP261" s="29" t="inlineStr"/>
      <c r="AQ261" s="29" t="inlineStr"/>
      <c r="AR261" s="29" t="inlineStr"/>
      <c r="AS261" s="29" t="inlineStr"/>
      <c r="AT261" s="29" t="inlineStr">
        <is>
          <t>MID-MARKET</t>
        </is>
      </c>
      <c r="AU261" s="29" t="inlineStr">
        <is>
          <t>09172117</t>
        </is>
      </c>
      <c r="AV261" s="29" t="n">
        <v>1</v>
      </c>
      <c r="AW261" s="29" t="inlineStr">
        <is>
          <t>LIKELY_FINANCIAL_BY_NAME ROWS:p5r5 UNRECONCILED_SOURCE VALUE_COL:Valor_Do_Crédito_2º_Edital_De_Credores</t>
        </is>
      </c>
    </row>
    <row r="262">
      <c r="A262" s="15" t="inlineStr">
        <is>
          <t>Mr Fundo De Investimento Em Direitos Creditorios</t>
        </is>
      </c>
      <c r="B262" s="16" t="n">
        <v>750053.4</v>
      </c>
      <c r="C262" s="17" t="inlineStr">
        <is>
          <t>ADVOCACIA WANDERLEI DE PAULA BARRETO</t>
        </is>
      </c>
      <c r="D262" s="18" t="inlineStr">
        <is>
          <t>NEW</t>
        </is>
      </c>
      <c r="E262" s="19" t="inlineStr"/>
      <c r="F262" s="18" t="inlineStr"/>
      <c r="G262" s="19" t="inlineStr"/>
      <c r="H262" s="18" t="inlineStr"/>
      <c r="I262" s="20" t="inlineStr"/>
      <c r="J262" s="20" t="inlineStr"/>
      <c r="K262" s="20" t="inlineStr"/>
      <c r="L262" s="20" t="inlineStr"/>
      <c r="M262" s="20" t="inlineStr"/>
      <c r="N262" s="20" t="inlineStr"/>
      <c r="O262" s="20" t="inlineStr"/>
      <c r="P262" s="20" t="inlineStr"/>
      <c r="Q262" s="20" t="inlineStr"/>
      <c r="R262" s="20" t="inlineStr"/>
      <c r="S262" s="20" t="inlineStr"/>
      <c r="T262" s="21" t="n">
        <v>750053.4</v>
      </c>
      <c r="U262" s="22" t="inlineStr">
        <is>
          <t>B</t>
        </is>
      </c>
      <c r="V262" s="23">
        <f>IFERROR(VLOOKUP(U262,Assumptions!$A$7:$D$11,2,FALSE),0)</f>
        <v/>
      </c>
      <c r="W262" s="24">
        <f>MAX(0.5,IFERROR(VLOOKUP(U262,Assumptions!$A$7:$D$11,3,FALSE),3)+IFERROR(VLOOKUP(U262,Assumptions!$A$7:$D$11,4,FALSE),8)/2-IF(AN262="",0,YEAR(TODAY())-AN262))</f>
        <v/>
      </c>
      <c r="X262" s="21">
        <f>T262*V262/(1+Assumptions!$B$3)^W262</f>
        <v/>
      </c>
      <c r="Y262" s="25">
        <f>IF(T262=0,"",ROUND(X262/T262*100,1))</f>
        <v/>
      </c>
      <c r="Z262" s="26">
        <f>X262*Assumptions!$B$4</f>
        <v/>
      </c>
      <c r="AA262" s="25">
        <f>IF(T262=0,"",ROUND(Z262/T262*100,1))</f>
        <v/>
      </c>
      <c r="AB262" s="26">
        <f>X262-Z262</f>
        <v/>
      </c>
      <c r="AC262" s="25">
        <f>IF(T262=0,"",ROUND((X262-Z262)/T262*100,1))</f>
        <v/>
      </c>
      <c r="AD262" s="27" t="inlineStr">
        <is>
          <t>ESTIMATED</t>
        </is>
      </c>
      <c r="AE262" s="28" t="inlineStr">
        <is>
          <t>https://marquesadmjudicial.com.br/sgc/download.php?file=files/processo_documento/processo_documento17040729052024_1_.pdf&amp;nome=Relação Nominal de Credores AJ-Sintética</t>
        </is>
      </c>
      <c r="AF262" s="27" t="inlineStr">
        <is>
          <t>p12 r8</t>
        </is>
      </c>
      <c r="AG262" s="27" t="inlineStr">
        <is>
          <t>p12: R$ 750.053,40</t>
        </is>
      </c>
      <c r="AH262" s="27" t="inlineStr">
        <is>
          <t>AJ_LIST</t>
        </is>
      </c>
      <c r="AI262" s="27" t="inlineStr">
        <is>
          <t>2024-05-27</t>
        </is>
      </c>
      <c r="AJ262" s="27" t="inlineStr">
        <is>
          <t>QUARANTINED</t>
        </is>
      </c>
      <c r="AK262" s="29" t="inlineStr">
        <is>
          <t>0003971-03.2023.8.16.0119</t>
        </is>
      </c>
      <c r="AL262" s="29" t="inlineStr">
        <is>
          <t>TJPR</t>
        </is>
      </c>
      <c r="AM262" s="29" t="inlineStr">
        <is>
          <t>ACTIVE</t>
        </is>
      </c>
      <c r="AN262" s="29" t="n">
        <v>2023</v>
      </c>
      <c r="AO262" s="29" t="inlineStr">
        <is>
          <t>live case, no plan document yet</t>
        </is>
      </c>
      <c r="AP262" s="29" t="inlineStr"/>
      <c r="AQ262" s="29" t="inlineStr"/>
      <c r="AR262" s="29" t="inlineStr"/>
      <c r="AS262" s="29" t="inlineStr"/>
      <c r="AT262" s="29" t="inlineStr">
        <is>
          <t>MID-MARKET</t>
        </is>
      </c>
      <c r="AU262" s="29" t="inlineStr">
        <is>
          <t>22175405</t>
        </is>
      </c>
      <c r="AV262" s="29" t="n">
        <v>1</v>
      </c>
      <c r="AW262" s="29" t="inlineStr">
        <is>
          <t>LIKELY_FINANCIAL_BY_NAME PARTIAL_DOC_CLASS_III_RECONCILED ROWS:p12r8</t>
        </is>
      </c>
    </row>
    <row r="263">
      <c r="A263" s="15" t="inlineStr">
        <is>
          <t>BANCO DAYCOVAL S.A.</t>
        </is>
      </c>
      <c r="B263" s="16" t="n">
        <v>1163007.18</v>
      </c>
      <c r="C263" s="17" t="inlineStr">
        <is>
          <t>Cerealista Sa</t>
        </is>
      </c>
      <c r="D263" s="18" t="inlineStr">
        <is>
          <t>NEW</t>
        </is>
      </c>
      <c r="E263" s="19" t="inlineStr"/>
      <c r="F263" s="18" t="inlineStr"/>
      <c r="G263" s="19" t="inlineStr"/>
      <c r="H263" s="18" t="inlineStr"/>
      <c r="I263" s="20" t="inlineStr">
        <is>
          <t>ADELY DAYAN HAMOUI</t>
        </is>
      </c>
      <c r="J263" s="20" t="inlineStr">
        <is>
          <t>Diretor</t>
        </is>
      </c>
      <c r="K263" s="20" t="inlineStr">
        <is>
          <t>(11) 3138-0500</t>
        </is>
      </c>
      <c r="L263" s="20" t="inlineStr"/>
      <c r="M263" s="20" t="inlineStr"/>
      <c r="N263" s="20" t="inlineStr"/>
      <c r="O263" s="20" t="inlineStr"/>
      <c r="P263" s="20" t="inlineStr">
        <is>
          <t>ALBERT ROUBEN</t>
        </is>
      </c>
      <c r="Q263" s="20" t="inlineStr">
        <is>
          <t>Diretor</t>
        </is>
      </c>
      <c r="R263" s="20" t="inlineStr">
        <is>
          <t>(11) 3138-0500</t>
        </is>
      </c>
      <c r="S263" s="20" t="inlineStr"/>
      <c r="T263" s="21" t="n">
        <v>1163007.18</v>
      </c>
      <c r="U263" s="22" t="inlineStr">
        <is>
          <t>B</t>
        </is>
      </c>
      <c r="V263" s="23">
        <f>IFERROR(VLOOKUP(U263,Assumptions!$A$7:$D$11,2,FALSE),0)</f>
        <v/>
      </c>
      <c r="W263" s="24">
        <f>MAX(0.5,IFERROR(VLOOKUP(U263,Assumptions!$A$7:$D$11,3,FALSE),3)+IFERROR(VLOOKUP(U263,Assumptions!$A$7:$D$11,4,FALSE),8)/2-IF(AN263="",0,YEAR(TODAY())-AN263))</f>
        <v/>
      </c>
      <c r="X263" s="21">
        <f>T263*V263/(1+Assumptions!$B$3)^W263</f>
        <v/>
      </c>
      <c r="Y263" s="25">
        <f>IF(T263=0,"",ROUND(X263/T263*100,1))</f>
        <v/>
      </c>
      <c r="Z263" s="26">
        <f>X263*Assumptions!$B$4</f>
        <v/>
      </c>
      <c r="AA263" s="25">
        <f>IF(T263=0,"",ROUND(Z263/T263*100,1))</f>
        <v/>
      </c>
      <c r="AB263" s="26">
        <f>X263-Z263</f>
        <v/>
      </c>
      <c r="AC263" s="25">
        <f>IF(T263=0,"",ROUND((X263-Z263)/T263*100,1))</f>
        <v/>
      </c>
      <c r="AD263" s="27" t="inlineStr">
        <is>
          <t>ESTIMATED</t>
        </is>
      </c>
      <c r="AE263" s="28" t="inlineStr">
        <is>
          <t>https://ajruiz.com.br/sites/default/files/public/arquivos-processos/2026-01/safrasul_relacao_de_credores_recuperanda.pdf</t>
        </is>
      </c>
      <c r="AF263" s="27" t="inlineStr">
        <is>
          <t>p8 r5; p8 r6; p8 r7; p8 r8; p8 r9</t>
        </is>
      </c>
      <c r="AG263" s="27" t="inlineStr">
        <is>
          <t>p8: R$ 93.549,74; p8: R$ 390.904,62; p8: R$ 143.386,16; p8: R$ 450.000,00; p8: R$ 85.166,66</t>
        </is>
      </c>
      <c r="AH263" s="27" t="inlineStr">
        <is>
          <t>AJ_LIST</t>
        </is>
      </c>
      <c r="AI263" s="27" t="inlineStr">
        <is>
          <t>2026-01-14</t>
        </is>
      </c>
      <c r="AJ263" s="27" t="inlineStr">
        <is>
          <t>OK_NO_TOTALS</t>
        </is>
      </c>
      <c r="AK263" s="29" t="inlineStr">
        <is>
          <t>4000167-23.2025.8.26.0373</t>
        </is>
      </c>
      <c r="AL263" s="29" t="inlineStr">
        <is>
          <t>TJSP</t>
        </is>
      </c>
      <c r="AM263" s="29" t="inlineStr">
        <is>
          <t>ACTIVE</t>
        </is>
      </c>
      <c r="AN263" s="29" t="n">
        <v>2025</v>
      </c>
      <c r="AO263" s="29" t="inlineStr">
        <is>
          <t>live case, no plan document yet</t>
        </is>
      </c>
      <c r="AP263" s="29" t="inlineStr">
        <is>
          <t>SAO PAULO</t>
        </is>
      </c>
      <c r="AQ263" s="29" t="inlineStr">
        <is>
          <t>SP</t>
        </is>
      </c>
      <c r="AR263" s="29" t="inlineStr">
        <is>
          <t>Bancos múltiplos, com carteira comercial</t>
        </is>
      </c>
      <c r="AS263" s="29" t="inlineStr">
        <is>
          <t>DEMAIS</t>
        </is>
      </c>
      <c r="AT263" s="29" t="inlineStr">
        <is>
          <t>LARGE CORP</t>
        </is>
      </c>
      <c r="AU263" s="29" t="inlineStr">
        <is>
          <t>62232889</t>
        </is>
      </c>
      <c r="AV263" s="29" t="n">
        <v>5</v>
      </c>
      <c r="AW263" s="29" t="inlineStr">
        <is>
          <t>LIKELY_FINANCIAL_BY_NAME ROWS:p8r5,p8r6,p8r7,p8r8,p8r9 UNRECONCILED_SOURCE</t>
        </is>
      </c>
    </row>
    <row r="264">
      <c r="A264" s="15" t="inlineStr">
        <is>
          <t>LOTUS PERFOMANCE FUNDO DE INVESTIMENTO</t>
        </is>
      </c>
      <c r="B264" s="16" t="n">
        <v>1148564.16</v>
      </c>
      <c r="C264" s="17" t="inlineStr">
        <is>
          <t>ATIVOS ADMINISTRAÇÃO JUDICIA</t>
        </is>
      </c>
      <c r="D264" s="18" t="inlineStr">
        <is>
          <t>NEW</t>
        </is>
      </c>
      <c r="E264" s="19" t="inlineStr"/>
      <c r="F264" s="18" t="inlineStr"/>
      <c r="G264" s="19" t="inlineStr"/>
      <c r="H264" s="18" t="inlineStr"/>
      <c r="I264" s="20" t="inlineStr"/>
      <c r="J264" s="20" t="inlineStr"/>
      <c r="K264" s="20" t="inlineStr"/>
      <c r="L264" s="20" t="inlineStr"/>
      <c r="M264" s="20" t="inlineStr"/>
      <c r="N264" s="20" t="inlineStr"/>
      <c r="O264" s="20" t="inlineStr"/>
      <c r="P264" s="20" t="inlineStr"/>
      <c r="Q264" s="20" t="inlineStr"/>
      <c r="R264" s="20" t="inlineStr"/>
      <c r="S264" s="20" t="inlineStr"/>
      <c r="T264" s="21" t="n">
        <v>1148564.16</v>
      </c>
      <c r="U264" s="22" t="inlineStr">
        <is>
          <t>B</t>
        </is>
      </c>
      <c r="V264" s="23">
        <f>IFERROR(VLOOKUP(U264,Assumptions!$A$7:$D$11,2,FALSE),0)</f>
        <v/>
      </c>
      <c r="W264" s="24">
        <f>MAX(0.5,IFERROR(VLOOKUP(U264,Assumptions!$A$7:$D$11,3,FALSE),3)+IFERROR(VLOOKUP(U264,Assumptions!$A$7:$D$11,4,FALSE),8)/2-IF(AN264="",0,YEAR(TODAY())-AN264))</f>
        <v/>
      </c>
      <c r="X264" s="21">
        <f>T264*V264/(1+Assumptions!$B$3)^W264</f>
        <v/>
      </c>
      <c r="Y264" s="25">
        <f>IF(T264=0,"",ROUND(X264/T264*100,1))</f>
        <v/>
      </c>
      <c r="Z264" s="26">
        <f>X264*Assumptions!$B$4</f>
        <v/>
      </c>
      <c r="AA264" s="25">
        <f>IF(T264=0,"",ROUND(Z264/T264*100,1))</f>
        <v/>
      </c>
      <c r="AB264" s="26">
        <f>X264-Z264</f>
        <v/>
      </c>
      <c r="AC264" s="25">
        <f>IF(T264=0,"",ROUND((X264-Z264)/T264*100,1))</f>
        <v/>
      </c>
      <c r="AD264" s="27" t="inlineStr">
        <is>
          <t>ESTIMATED</t>
        </is>
      </c>
      <c r="AE264" s="28" t="inlineStr">
        <is>
          <t>https://ativosajce.com.br/admin/download.php?file=files/processo_documento/processo_documento13422625032025_1_.pdf&amp;nome=Relação de Credores - Art. 52º § 1º, da Lei nº 11.101/2005 - 25/02/2025</t>
        </is>
      </c>
      <c r="AF264" s="27" t="inlineStr">
        <is>
          <t>p4 r47; p4 r48</t>
        </is>
      </c>
      <c r="AG264" s="27" t="inlineStr">
        <is>
          <t>p4: R$ 456.179,92; p4: R$ 692.384,24</t>
        </is>
      </c>
      <c r="AH264" s="27" t="inlineStr">
        <is>
          <t>UNKNOWN</t>
        </is>
      </c>
      <c r="AI264" s="27" t="inlineStr">
        <is>
          <t>2025-02-28</t>
        </is>
      </c>
      <c r="AJ264" s="27" t="inlineStr">
        <is>
          <t>OK_NO_TOTALS</t>
        </is>
      </c>
      <c r="AK264" s="29" t="inlineStr">
        <is>
          <t>1000119-75.2025.8.26.0354</t>
        </is>
      </c>
      <c r="AL264" s="29" t="inlineStr">
        <is>
          <t>TJSP</t>
        </is>
      </c>
      <c r="AM264" s="29" t="inlineStr">
        <is>
          <t>ACTIVE</t>
        </is>
      </c>
      <c r="AN264" s="29" t="n">
        <v>2025</v>
      </c>
      <c r="AO264" s="29" t="inlineStr">
        <is>
          <t>live case, no plan document yet</t>
        </is>
      </c>
      <c r="AP264" s="29" t="inlineStr"/>
      <c r="AQ264" s="29" t="inlineStr"/>
      <c r="AR264" s="29" t="inlineStr"/>
      <c r="AS264" s="29" t="inlineStr"/>
      <c r="AT264" s="29" t="inlineStr">
        <is>
          <t>MID-MARKET</t>
        </is>
      </c>
      <c r="AU264" s="29" t="inlineStr">
        <is>
          <t>40155056</t>
        </is>
      </c>
      <c r="AV264" s="29" t="n">
        <v>2</v>
      </c>
      <c r="AW264" s="29" t="inlineStr">
        <is>
          <t>LIKELY_FINANCIAL_BY_NAME ROWS:p4r47,p4r48 UNRECONCILED_SOURCE</t>
        </is>
      </c>
    </row>
    <row r="265">
      <c r="A265" s="15" t="inlineStr">
        <is>
          <t>CREDMEI SECURITIZADORA II SPE S.A</t>
        </is>
      </c>
      <c r="B265" s="16" t="n">
        <v>1135255.25</v>
      </c>
      <c r="C265" s="17" t="inlineStr">
        <is>
          <t>ARRUDA &amp; MELO COMERCIO E DISTRIBUICAO DE ALIMENTOS E BEBIDAS LTDA</t>
        </is>
      </c>
      <c r="D265" s="18" t="inlineStr">
        <is>
          <t>NEW</t>
        </is>
      </c>
      <c r="E265" s="19" t="inlineStr"/>
      <c r="F265" s="18" t="inlineStr"/>
      <c r="G265" s="19" t="inlineStr"/>
      <c r="H265" s="18" t="inlineStr"/>
      <c r="I265" s="20" t="inlineStr"/>
      <c r="J265" s="20" t="inlineStr"/>
      <c r="K265" s="20" t="inlineStr"/>
      <c r="L265" s="20" t="inlineStr"/>
      <c r="M265" s="20" t="inlineStr"/>
      <c r="N265" s="20" t="inlineStr"/>
      <c r="O265" s="20" t="inlineStr"/>
      <c r="P265" s="20" t="inlineStr"/>
      <c r="Q265" s="20" t="inlineStr"/>
      <c r="R265" s="20" t="inlineStr"/>
      <c r="S265" s="20" t="inlineStr"/>
      <c r="T265" s="21" t="n">
        <v>1135255.25</v>
      </c>
      <c r="U265" s="22" t="inlineStr">
        <is>
          <t>B</t>
        </is>
      </c>
      <c r="V265" s="23">
        <f>IFERROR(VLOOKUP(U265,Assumptions!$A$7:$D$11,2,FALSE),0)</f>
        <v/>
      </c>
      <c r="W265" s="24">
        <f>MAX(0.5,IFERROR(VLOOKUP(U265,Assumptions!$A$7:$D$11,3,FALSE),3)+IFERROR(VLOOKUP(U265,Assumptions!$A$7:$D$11,4,FALSE),8)/2-IF(AN265="",0,YEAR(TODAY())-AN265))</f>
        <v/>
      </c>
      <c r="X265" s="21">
        <f>T265*V265/(1+Assumptions!$B$3)^W265</f>
        <v/>
      </c>
      <c r="Y265" s="25">
        <f>IF(T265=0,"",ROUND(X265/T265*100,1))</f>
        <v/>
      </c>
      <c r="Z265" s="26">
        <f>X265*Assumptions!$B$4</f>
        <v/>
      </c>
      <c r="AA265" s="25">
        <f>IF(T265=0,"",ROUND(Z265/T265*100,1))</f>
        <v/>
      </c>
      <c r="AB265" s="26">
        <f>X265-Z265</f>
        <v/>
      </c>
      <c r="AC265" s="25">
        <f>IF(T265=0,"",ROUND((X265-Z265)/T265*100,1))</f>
        <v/>
      </c>
      <c r="AD265" s="27" t="inlineStr">
        <is>
          <t>ESTIMATED</t>
        </is>
      </c>
      <c r="AE265" s="28" t="inlineStr">
        <is>
          <t>https://diligence.adm.br/wp-content/uploads/2025/06/Edital-1a-Lista-de-Credores.pdf</t>
        </is>
      </c>
      <c r="AF265" s="27" t="inlineStr">
        <is>
          <t>p5 r54</t>
        </is>
      </c>
      <c r="AG265" s="27" t="inlineStr">
        <is>
          <t>p5: R$ 1.135.255,25</t>
        </is>
      </c>
      <c r="AH265" s="27" t="inlineStr">
        <is>
          <t>DEBTOR_LIST</t>
        </is>
      </c>
      <c r="AI265" s="27" t="inlineStr">
        <is>
          <t>2025-06-10</t>
        </is>
      </c>
      <c r="AJ265" s="27" t="inlineStr">
        <is>
          <t>OK</t>
        </is>
      </c>
      <c r="AK265" s="29" t="inlineStr">
        <is>
          <t>0008526-45.2025.8.17.2001</t>
        </is>
      </c>
      <c r="AL265" s="29" t="inlineStr">
        <is>
          <t>TJPE</t>
        </is>
      </c>
      <c r="AM265" s="29" t="inlineStr">
        <is>
          <t>ACTIVE</t>
        </is>
      </c>
      <c r="AN265" s="29" t="n">
        <v>2025</v>
      </c>
      <c r="AO265" s="29" t="inlineStr">
        <is>
          <t>live case, no plan document yet</t>
        </is>
      </c>
      <c r="AP265" s="29" t="inlineStr"/>
      <c r="AQ265" s="29" t="inlineStr"/>
      <c r="AR265" s="29" t="inlineStr"/>
      <c r="AS265" s="29" t="inlineStr"/>
      <c r="AT265" s="29" t="inlineStr">
        <is>
          <t>MID-MARKET</t>
        </is>
      </c>
      <c r="AU265" s="29" t="inlineStr">
        <is>
          <t>50202890</t>
        </is>
      </c>
      <c r="AV265" s="29" t="n">
        <v>1</v>
      </c>
      <c r="AW265" s="29" t="inlineStr">
        <is>
          <t>LIKELY_FINANCIAL_BY_NAME ROWS:p5r54</t>
        </is>
      </c>
    </row>
    <row r="266">
      <c r="A266" s="15" t="inlineStr">
        <is>
          <t>COOPERATIVA DE CREDITO MAXI ALFA DE LIVRE ADMISSAO DE ASSOCIADOS - SICOOB MAXICREDITO</t>
        </is>
      </c>
      <c r="B266" s="16" t="n">
        <v>722007.6800000001</v>
      </c>
      <c r="C266" s="17" t="inlineStr">
        <is>
          <t>BBR AGRO SUPLEMENTOS LTDA EM RECUPERACAO JUDICIAL</t>
        </is>
      </c>
      <c r="D266" s="18" t="inlineStr">
        <is>
          <t>NEW</t>
        </is>
      </c>
      <c r="E266" s="19" t="inlineStr"/>
      <c r="F266" s="18" t="inlineStr"/>
      <c r="G266" s="19" t="inlineStr"/>
      <c r="H266" s="18" t="inlineStr"/>
      <c r="I266" s="20" t="inlineStr"/>
      <c r="J266" s="20" t="inlineStr"/>
      <c r="K266" s="20" t="inlineStr"/>
      <c r="L266" s="20" t="inlineStr"/>
      <c r="M266" s="20" t="inlineStr"/>
      <c r="N266" s="20" t="inlineStr"/>
      <c r="O266" s="20" t="inlineStr"/>
      <c r="P266" s="20" t="inlineStr"/>
      <c r="Q266" s="20" t="inlineStr"/>
      <c r="R266" s="20" t="inlineStr"/>
      <c r="S266" s="20" t="inlineStr"/>
      <c r="T266" s="21" t="n">
        <v>722007.6800000001</v>
      </c>
      <c r="U266" s="22" t="inlineStr">
        <is>
          <t>B</t>
        </is>
      </c>
      <c r="V266" s="23">
        <f>IFERROR(VLOOKUP(U266,Assumptions!$A$7:$D$11,2,FALSE),0)</f>
        <v/>
      </c>
      <c r="W266" s="24">
        <f>MAX(0.5,IFERROR(VLOOKUP(U266,Assumptions!$A$7:$D$11,3,FALSE),3)+IFERROR(VLOOKUP(U266,Assumptions!$A$7:$D$11,4,FALSE),8)/2-IF(AN266="",0,YEAR(TODAY())-AN266))</f>
        <v/>
      </c>
      <c r="X266" s="21">
        <f>T266*V266/(1+Assumptions!$B$3)^W266</f>
        <v/>
      </c>
      <c r="Y266" s="25">
        <f>IF(T266=0,"",ROUND(X266/T266*100,1))</f>
        <v/>
      </c>
      <c r="Z266" s="26">
        <f>X266*Assumptions!$B$4</f>
        <v/>
      </c>
      <c r="AA266" s="25">
        <f>IF(T266=0,"",ROUND(Z266/T266*100,1))</f>
        <v/>
      </c>
      <c r="AB266" s="26">
        <f>X266-Z266</f>
        <v/>
      </c>
      <c r="AC266" s="25">
        <f>IF(T266=0,"",ROUND((X266-Z266)/T266*100,1))</f>
        <v/>
      </c>
      <c r="AD266" s="27" t="inlineStr">
        <is>
          <t>ESTIMATED</t>
        </is>
      </c>
      <c r="AE266" s="28" t="inlineStr">
        <is>
          <t>https://ajruiz.com.br/sites/default/files/public/arquivos-processos/2026-06/alto_uruguai_qgc_junho.2026.pdf</t>
        </is>
      </c>
      <c r="AF266" s="27" t="inlineStr">
        <is>
          <t>p1 r19</t>
        </is>
      </c>
      <c r="AG266" s="27" t="inlineStr">
        <is>
          <t>p1: R$ 722.007,68</t>
        </is>
      </c>
      <c r="AH266" s="27" t="inlineStr">
        <is>
          <t>UNKNOWN</t>
        </is>
      </c>
      <c r="AI266" s="27" t="inlineStr"/>
      <c r="AJ266" s="27" t="inlineStr">
        <is>
          <t>OK</t>
        </is>
      </c>
      <c r="AK266" s="29" t="inlineStr">
        <is>
          <t>5012743-51.2023.8.24.0019</t>
        </is>
      </c>
      <c r="AL266" s="29" t="inlineStr">
        <is>
          <t>TJSC</t>
        </is>
      </c>
      <c r="AM266" s="29" t="inlineStr">
        <is>
          <t>ACTIVE</t>
        </is>
      </c>
      <c r="AN266" s="29" t="n">
        <v>2023</v>
      </c>
      <c r="AO266" s="29" t="inlineStr">
        <is>
          <t>live case, no plan document yet</t>
        </is>
      </c>
      <c r="AP266" s="29" t="inlineStr"/>
      <c r="AQ266" s="29" t="inlineStr"/>
      <c r="AR266" s="29" t="inlineStr"/>
      <c r="AS266" s="29" t="inlineStr"/>
      <c r="AT266" s="29" t="inlineStr">
        <is>
          <t>MID-MARKET</t>
        </is>
      </c>
      <c r="AU266" s="29" t="inlineStr">
        <is>
          <t>78825270</t>
        </is>
      </c>
      <c r="AV266" s="29" t="n">
        <v>1</v>
      </c>
      <c r="AW266" s="29" t="inlineStr">
        <is>
          <t>LIKELY_FINANCIAL_BY_NAME ROWS:p1r19 VALUE_COL:Valor_Do_Crédito</t>
        </is>
      </c>
    </row>
    <row r="267">
      <c r="A267" s="15" t="inlineStr">
        <is>
          <t>BANCO SANTANDER (BRASIL) S.A.</t>
        </is>
      </c>
      <c r="B267" s="16" t="n">
        <v>720900.58</v>
      </c>
      <c r="C267" s="17" t="inlineStr">
        <is>
          <t>ADVOCACIA WANDERLEI DE PAULA BARRETO</t>
        </is>
      </c>
      <c r="D267" s="18" t="inlineStr">
        <is>
          <t>NEW</t>
        </is>
      </c>
      <c r="E267" s="19" t="inlineStr"/>
      <c r="F267" s="18" t="inlineStr"/>
      <c r="G267" s="19" t="inlineStr"/>
      <c r="H267" s="18" t="inlineStr"/>
      <c r="I267" s="20" t="inlineStr">
        <is>
          <t>GILSON FINKELSZTAIN</t>
        </is>
      </c>
      <c r="J267" s="20" t="inlineStr">
        <is>
          <t>Presidente</t>
        </is>
      </c>
      <c r="K267" s="20" t="inlineStr">
        <is>
          <t>(11) 4004-3535</t>
        </is>
      </c>
      <c r="L267" s="20" t="inlineStr"/>
      <c r="M267" s="20" t="inlineStr"/>
      <c r="N267" s="20" t="inlineStr"/>
      <c r="O267" s="20" t="inlineStr"/>
      <c r="P267" s="20" t="inlineStr">
        <is>
          <t>ALESSANDRO CHAGAS FARIAS</t>
        </is>
      </c>
      <c r="Q267" s="20" t="inlineStr">
        <is>
          <t>Diretor</t>
        </is>
      </c>
      <c r="R267" s="20" t="inlineStr">
        <is>
          <t>(11) 4004-3535</t>
        </is>
      </c>
      <c r="S267" s="20" t="inlineStr"/>
      <c r="T267" s="21" t="n">
        <v>720900.58</v>
      </c>
      <c r="U267" s="22" t="inlineStr">
        <is>
          <t>B</t>
        </is>
      </c>
      <c r="V267" s="23">
        <f>IFERROR(VLOOKUP(U267,Assumptions!$A$7:$D$11,2,FALSE),0)</f>
        <v/>
      </c>
      <c r="W267" s="24">
        <f>MAX(0.5,IFERROR(VLOOKUP(U267,Assumptions!$A$7:$D$11,3,FALSE),3)+IFERROR(VLOOKUP(U267,Assumptions!$A$7:$D$11,4,FALSE),8)/2-IF(AN267="",0,YEAR(TODAY())-AN267))</f>
        <v/>
      </c>
      <c r="X267" s="21">
        <f>T267*V267/(1+Assumptions!$B$3)^W267</f>
        <v/>
      </c>
      <c r="Y267" s="25">
        <f>IF(T267=0,"",ROUND(X267/T267*100,1))</f>
        <v/>
      </c>
      <c r="Z267" s="26">
        <f>X267*Assumptions!$B$4</f>
        <v/>
      </c>
      <c r="AA267" s="25">
        <f>IF(T267=0,"",ROUND(Z267/T267*100,1))</f>
        <v/>
      </c>
      <c r="AB267" s="26">
        <f>X267-Z267</f>
        <v/>
      </c>
      <c r="AC267" s="25">
        <f>IF(T267=0,"",ROUND((X267-Z267)/T267*100,1))</f>
        <v/>
      </c>
      <c r="AD267" s="27" t="inlineStr">
        <is>
          <t>ESTIMATED</t>
        </is>
      </c>
      <c r="AE267" s="28" t="inlineStr">
        <is>
          <t>https://marquesadmjudicial.com.br/sgc/download.php?file=files/processo_documento/processo_documento17040729052024_1_.pdf&amp;nome=Relação Nominal de Credores AJ-Sintética</t>
        </is>
      </c>
      <c r="AF267" s="27" t="inlineStr">
        <is>
          <t>p10 r6</t>
        </is>
      </c>
      <c r="AG267" s="27" t="inlineStr">
        <is>
          <t>p10: R$ 720.900,58</t>
        </is>
      </c>
      <c r="AH267" s="27" t="inlineStr">
        <is>
          <t>AJ_LIST</t>
        </is>
      </c>
      <c r="AI267" s="27" t="inlineStr">
        <is>
          <t>2024-05-27</t>
        </is>
      </c>
      <c r="AJ267" s="27" t="inlineStr">
        <is>
          <t>QUARANTINED</t>
        </is>
      </c>
      <c r="AK267" s="29" t="inlineStr">
        <is>
          <t>0003971-03.2023.8.16.0119</t>
        </is>
      </c>
      <c r="AL267" s="29" t="inlineStr">
        <is>
          <t>TJPR</t>
        </is>
      </c>
      <c r="AM267" s="29" t="inlineStr">
        <is>
          <t>ACTIVE</t>
        </is>
      </c>
      <c r="AN267" s="29" t="n">
        <v>2023</v>
      </c>
      <c r="AO267" s="29" t="inlineStr">
        <is>
          <t>live case, no plan document yet</t>
        </is>
      </c>
      <c r="AP267" s="29" t="inlineStr">
        <is>
          <t>SAO PAULO</t>
        </is>
      </c>
      <c r="AQ267" s="29" t="inlineStr">
        <is>
          <t>SP</t>
        </is>
      </c>
      <c r="AR267" s="29" t="inlineStr">
        <is>
          <t>Bancos múltiplos, com carteira comercial</t>
        </is>
      </c>
      <c r="AS267" s="29" t="inlineStr">
        <is>
          <t>DEMAIS</t>
        </is>
      </c>
      <c r="AT267" s="29" t="inlineStr">
        <is>
          <t>LARGE CORP</t>
        </is>
      </c>
      <c r="AU267" s="29" t="inlineStr">
        <is>
          <t>90400888</t>
        </is>
      </c>
      <c r="AV267" s="29" t="n">
        <v>1</v>
      </c>
      <c r="AW267" s="29" t="inlineStr">
        <is>
          <t>LIKELY_FINANCIAL_BY_NAME PARTIAL_DOC_CLASS_III_RECONCILED ROWS:p10r6</t>
        </is>
      </c>
    </row>
    <row r="268">
      <c r="A268" s="15" t="inlineStr">
        <is>
          <t>CNP Consorcio S.A. Administradora De Consorcios</t>
        </is>
      </c>
      <c r="B268" s="16" t="n">
        <v>713320.8199999999</v>
      </c>
      <c r="C268" s="17" t="inlineStr">
        <is>
          <t>VEV COMERCIO DE MEDICAMENTOS LTDA EM RECUPERACAO JUDICIAL</t>
        </is>
      </c>
      <c r="D268" s="18" t="inlineStr">
        <is>
          <t>NEW</t>
        </is>
      </c>
      <c r="E268" s="19" t="inlineStr"/>
      <c r="F268" s="18" t="inlineStr"/>
      <c r="G268" s="19" t="inlineStr"/>
      <c r="H268" s="18" t="inlineStr"/>
      <c r="I268" s="20" t="inlineStr"/>
      <c r="J268" s="20" t="inlineStr"/>
      <c r="K268" s="20" t="inlineStr"/>
      <c r="L268" s="20" t="inlineStr"/>
      <c r="M268" s="20" t="inlineStr"/>
      <c r="N268" s="20" t="inlineStr"/>
      <c r="O268" s="20" t="inlineStr"/>
      <c r="P268" s="20" t="inlineStr"/>
      <c r="Q268" s="20" t="inlineStr"/>
      <c r="R268" s="20" t="inlineStr"/>
      <c r="S268" s="20" t="inlineStr"/>
      <c r="T268" s="21" t="n">
        <v>713320.8199999999</v>
      </c>
      <c r="U268" s="22" t="inlineStr">
        <is>
          <t>B</t>
        </is>
      </c>
      <c r="V268" s="23">
        <f>IFERROR(VLOOKUP(U268,Assumptions!$A$7:$D$11,2,FALSE),0)</f>
        <v/>
      </c>
      <c r="W268" s="24">
        <f>MAX(0.5,IFERROR(VLOOKUP(U268,Assumptions!$A$7:$D$11,3,FALSE),3)+IFERROR(VLOOKUP(U268,Assumptions!$A$7:$D$11,4,FALSE),8)/2-IF(AN268="",0,YEAR(TODAY())-AN268))</f>
        <v/>
      </c>
      <c r="X268" s="21">
        <f>T268*V268/(1+Assumptions!$B$3)^W268</f>
        <v/>
      </c>
      <c r="Y268" s="25">
        <f>IF(T268=0,"",ROUND(X268/T268*100,1))</f>
        <v/>
      </c>
      <c r="Z268" s="26">
        <f>X268*Assumptions!$B$4</f>
        <v/>
      </c>
      <c r="AA268" s="25">
        <f>IF(T268=0,"",ROUND(Z268/T268*100,1))</f>
        <v/>
      </c>
      <c r="AB268" s="26">
        <f>X268-Z268</f>
        <v/>
      </c>
      <c r="AC268" s="25">
        <f>IF(T268=0,"",ROUND((X268-Z268)/T268*100,1))</f>
        <v/>
      </c>
      <c r="AD268" s="27" t="inlineStr">
        <is>
          <t>ESTIMATED</t>
        </is>
      </c>
      <c r="AE268" s="28" t="inlineStr">
        <is>
          <t>https://marquesadmjudicial.com.br/sgc/download.php?file=files/processo_documento/processo_documento15293208032024_1_.pdf&amp;nome=Relação Nominal de Credores da AJ-Sintética</t>
        </is>
      </c>
      <c r="AF268" s="27" t="inlineStr">
        <is>
          <t>p23 r8</t>
        </is>
      </c>
      <c r="AG268" s="27" t="inlineStr">
        <is>
          <t>p23: R$ 713.320,82</t>
        </is>
      </c>
      <c r="AH268" s="27" t="inlineStr">
        <is>
          <t>AJ_LIST</t>
        </is>
      </c>
      <c r="AI268" s="27" t="inlineStr">
        <is>
          <t>2023-03-02</t>
        </is>
      </c>
      <c r="AJ268" s="27" t="inlineStr">
        <is>
          <t>QUARANTINED</t>
        </is>
      </c>
      <c r="AK268" s="29" t="inlineStr">
        <is>
          <t>0005010-98.2023.8.16.0001</t>
        </is>
      </c>
      <c r="AL268" s="29" t="inlineStr">
        <is>
          <t>TJPR</t>
        </is>
      </c>
      <c r="AM268" s="29" t="inlineStr">
        <is>
          <t>ACTIVE</t>
        </is>
      </c>
      <c r="AN268" s="29" t="n">
        <v>2023</v>
      </c>
      <c r="AO268" s="29" t="inlineStr">
        <is>
          <t>live case, no plan document yet</t>
        </is>
      </c>
      <c r="AP268" s="29" t="inlineStr"/>
      <c r="AQ268" s="29" t="inlineStr"/>
      <c r="AR268" s="29" t="inlineStr"/>
      <c r="AS268" s="29" t="inlineStr"/>
      <c r="AT268" s="29" t="inlineStr">
        <is>
          <t>MID-MARKET</t>
        </is>
      </c>
      <c r="AU268" s="29" t="inlineStr">
        <is>
          <t>05349595</t>
        </is>
      </c>
      <c r="AV268" s="29" t="n">
        <v>1</v>
      </c>
      <c r="AW268" s="29" t="inlineStr">
        <is>
          <t>LIKELY_FINANCIAL_BY_NAME PARTIAL_DOC_CLASS_III_RECONCILED ROWS:p23r8</t>
        </is>
      </c>
    </row>
    <row r="269">
      <c r="A269" s="15" t="inlineStr">
        <is>
          <t>BANCO LUSO BRASILEIRO SA</t>
        </is>
      </c>
      <c r="B269" s="16" t="n">
        <v>1113960</v>
      </c>
      <c r="C269" s="17" t="inlineStr">
        <is>
          <t>ATIVOS ADMINISTRAÇÃO JUDICIA</t>
        </is>
      </c>
      <c r="D269" s="18" t="inlineStr">
        <is>
          <t>NEW</t>
        </is>
      </c>
      <c r="E269" s="19" t="inlineStr"/>
      <c r="F269" s="18" t="inlineStr"/>
      <c r="G269" s="19" t="inlineStr"/>
      <c r="H269" s="18" t="inlineStr"/>
      <c r="I269" s="20" t="inlineStr"/>
      <c r="J269" s="20" t="inlineStr"/>
      <c r="K269" s="20" t="inlineStr"/>
      <c r="L269" s="20" t="inlineStr"/>
      <c r="M269" s="20" t="inlineStr"/>
      <c r="N269" s="20" t="inlineStr"/>
      <c r="O269" s="20" t="inlineStr"/>
      <c r="P269" s="20" t="inlineStr"/>
      <c r="Q269" s="20" t="inlineStr"/>
      <c r="R269" s="20" t="inlineStr"/>
      <c r="S269" s="20" t="inlineStr"/>
      <c r="T269" s="21" t="n">
        <v>1113960</v>
      </c>
      <c r="U269" s="22" t="inlineStr">
        <is>
          <t>B</t>
        </is>
      </c>
      <c r="V269" s="23">
        <f>IFERROR(VLOOKUP(U269,Assumptions!$A$7:$D$11,2,FALSE),0)</f>
        <v/>
      </c>
      <c r="W269" s="24">
        <f>MAX(0.5,IFERROR(VLOOKUP(U269,Assumptions!$A$7:$D$11,3,FALSE),3)+IFERROR(VLOOKUP(U269,Assumptions!$A$7:$D$11,4,FALSE),8)/2-IF(AN269="",0,YEAR(TODAY())-AN269))</f>
        <v/>
      </c>
      <c r="X269" s="21">
        <f>T269*V269/(1+Assumptions!$B$3)^W269</f>
        <v/>
      </c>
      <c r="Y269" s="25">
        <f>IF(T269=0,"",ROUND(X269/T269*100,1))</f>
        <v/>
      </c>
      <c r="Z269" s="26">
        <f>X269*Assumptions!$B$4</f>
        <v/>
      </c>
      <c r="AA269" s="25">
        <f>IF(T269=0,"",ROUND(Z269/T269*100,1))</f>
        <v/>
      </c>
      <c r="AB269" s="26">
        <f>X269-Z269</f>
        <v/>
      </c>
      <c r="AC269" s="25">
        <f>IF(T269=0,"",ROUND((X269-Z269)/T269*100,1))</f>
        <v/>
      </c>
      <c r="AD269" s="27" t="inlineStr">
        <is>
          <t>ESTIMATED</t>
        </is>
      </c>
      <c r="AE269" s="28" t="inlineStr">
        <is>
          <t>https://ativosajce.com.br/admin/download.php?file=files/processo_documento/processo_documento13422625032025_1_.pdf&amp;nome=Relação de Credores - Art. 52º § 1º, da Lei nº 11.101/2005 - 25/02/2025</t>
        </is>
      </c>
      <c r="AF269" s="27" t="inlineStr">
        <is>
          <t>p3 r21</t>
        </is>
      </c>
      <c r="AG269" s="27" t="inlineStr">
        <is>
          <t>p3: R$ 1.113.960,00</t>
        </is>
      </c>
      <c r="AH269" s="27" t="inlineStr">
        <is>
          <t>UNKNOWN</t>
        </is>
      </c>
      <c r="AI269" s="27" t="inlineStr">
        <is>
          <t>2025-02-28</t>
        </is>
      </c>
      <c r="AJ269" s="27" t="inlineStr">
        <is>
          <t>OK_NO_TOTALS</t>
        </is>
      </c>
      <c r="AK269" s="29" t="inlineStr">
        <is>
          <t>1000119-75.2025.8.26.0354</t>
        </is>
      </c>
      <c r="AL269" s="29" t="inlineStr">
        <is>
          <t>TJSP</t>
        </is>
      </c>
      <c r="AM269" s="29" t="inlineStr">
        <is>
          <t>ACTIVE</t>
        </is>
      </c>
      <c r="AN269" s="29" t="n">
        <v>2025</v>
      </c>
      <c r="AO269" s="29" t="inlineStr">
        <is>
          <t>live case, no plan document yet</t>
        </is>
      </c>
      <c r="AP269" s="29" t="inlineStr"/>
      <c r="AQ269" s="29" t="inlineStr"/>
      <c r="AR269" s="29" t="inlineStr"/>
      <c r="AS269" s="29" t="inlineStr"/>
      <c r="AT269" s="29" t="inlineStr">
        <is>
          <t>MID-MARKET</t>
        </is>
      </c>
      <c r="AU269" s="29" t="inlineStr">
        <is>
          <t>59118133</t>
        </is>
      </c>
      <c r="AV269" s="29" t="n">
        <v>1</v>
      </c>
      <c r="AW269" s="29" t="inlineStr">
        <is>
          <t>LIKELY_FINANCIAL_BY_NAME ROWS:p3r21 UNRECONCILED_SOURCE</t>
        </is>
      </c>
    </row>
    <row r="270">
      <c r="A270" s="15" t="inlineStr">
        <is>
          <t>VP FOMENTO COMERCIAL LTDA</t>
        </is>
      </c>
      <c r="B270" s="16" t="n">
        <v>886711.5699999999</v>
      </c>
      <c r="C270" s="17" t="inlineStr">
        <is>
          <t>DIVINA INDUSTRIA DE COURO LTDA - EM RECUPERACAO JUDICIAL</t>
        </is>
      </c>
      <c r="D270" s="18" t="inlineStr">
        <is>
          <t>NEW</t>
        </is>
      </c>
      <c r="E270" s="19" t="inlineStr"/>
      <c r="F270" s="18" t="inlineStr"/>
      <c r="G270" s="19" t="inlineStr"/>
      <c r="H270" s="18" t="inlineStr"/>
      <c r="I270" s="20" t="inlineStr"/>
      <c r="J270" s="20" t="inlineStr"/>
      <c r="K270" s="20" t="inlineStr"/>
      <c r="L270" s="20" t="inlineStr"/>
      <c r="M270" s="20" t="inlineStr"/>
      <c r="N270" s="20" t="inlineStr"/>
      <c r="O270" s="20" t="inlineStr"/>
      <c r="P270" s="20" t="inlineStr"/>
      <c r="Q270" s="20" t="inlineStr"/>
      <c r="R270" s="20" t="inlineStr"/>
      <c r="S270" s="20" t="inlineStr"/>
      <c r="T270" s="21" t="n">
        <v>886711.5699999999</v>
      </c>
      <c r="U270" s="22" t="inlineStr">
        <is>
          <t>B</t>
        </is>
      </c>
      <c r="V270" s="23">
        <f>IFERROR(VLOOKUP(U270,Assumptions!$A$7:$D$11,2,FALSE),0)</f>
        <v/>
      </c>
      <c r="W270" s="24">
        <f>MAX(0.5,IFERROR(VLOOKUP(U270,Assumptions!$A$7:$D$11,3,FALSE),3)+IFERROR(VLOOKUP(U270,Assumptions!$A$7:$D$11,4,FALSE),8)/2-IF(AN270="",0,YEAR(TODAY())-AN270))</f>
        <v/>
      </c>
      <c r="X270" s="21">
        <f>T270*V270/(1+Assumptions!$B$3)^W270</f>
        <v/>
      </c>
      <c r="Y270" s="25">
        <f>IF(T270=0,"",ROUND(X270/T270*100,1))</f>
        <v/>
      </c>
      <c r="Z270" s="26">
        <f>X270*Assumptions!$B$4</f>
        <v/>
      </c>
      <c r="AA270" s="25">
        <f>IF(T270=0,"",ROUND(Z270/T270*100,1))</f>
        <v/>
      </c>
      <c r="AB270" s="26">
        <f>X270-Z270</f>
        <v/>
      </c>
      <c r="AC270" s="25">
        <f>IF(T270=0,"",ROUND((X270-Z270)/T270*100,1))</f>
        <v/>
      </c>
      <c r="AD270" s="27" t="inlineStr">
        <is>
          <t>ESTIMATED</t>
        </is>
      </c>
      <c r="AE270" s="28" t="inlineStr">
        <is>
          <t>https://lrflideres.com.br/wp-content/plugins/download-attachments/includes/download.php?id=6252</t>
        </is>
      </c>
      <c r="AF270" s="27" t="inlineStr">
        <is>
          <t>p3 r8</t>
        </is>
      </c>
      <c r="AG270" s="27" t="inlineStr">
        <is>
          <t>p3: R$ 886.711,57</t>
        </is>
      </c>
      <c r="AH270" s="27" t="inlineStr">
        <is>
          <t>AJ_LIST</t>
        </is>
      </c>
      <c r="AI270" s="27" t="inlineStr">
        <is>
          <t>2024-11-27</t>
        </is>
      </c>
      <c r="AJ270" s="27" t="inlineStr">
        <is>
          <t>QUARANTINED</t>
        </is>
      </c>
      <c r="AK270" s="29" t="inlineStr">
        <is>
          <t>0000721-61.2024.8.17.2620</t>
        </is>
      </c>
      <c r="AL270" s="29" t="inlineStr">
        <is>
          <t>TJPE</t>
        </is>
      </c>
      <c r="AM270" s="29" t="inlineStr">
        <is>
          <t>ACTIVE</t>
        </is>
      </c>
      <c r="AN270" s="29" t="n">
        <v>2024</v>
      </c>
      <c r="AO270" s="29" t="inlineStr">
        <is>
          <t>live case, no plan document yet</t>
        </is>
      </c>
      <c r="AP270" s="29" t="inlineStr"/>
      <c r="AQ270" s="29" t="inlineStr"/>
      <c r="AR270" s="29" t="inlineStr"/>
      <c r="AS270" s="29" t="inlineStr"/>
      <c r="AT270" s="29" t="inlineStr">
        <is>
          <t>MID-MARKET</t>
        </is>
      </c>
      <c r="AU270" s="29" t="inlineStr">
        <is>
          <t>34126828</t>
        </is>
      </c>
      <c r="AV270" s="29" t="n">
        <v>1</v>
      </c>
      <c r="AW270" s="29" t="inlineStr">
        <is>
          <t>LIKELY_FINANCIAL_BY_NAME PARTIAL_DOC_CLASS_III_RECONCILED ROWS:p3r8</t>
        </is>
      </c>
    </row>
    <row r="271">
      <c r="A271" s="15" t="inlineStr">
        <is>
          <t>COOPERATIVA DE CREDITO UNICRED DESBRAVADORA LTDA - UNICRED DESBRAVADORA</t>
        </is>
      </c>
      <c r="B271" s="16" t="n">
        <v>706911.1800000001</v>
      </c>
      <c r="C271" s="17" t="inlineStr">
        <is>
          <t>CRISTAL MASTER INDUSTRIA E COMERCIO LTDA</t>
        </is>
      </c>
      <c r="D271" s="18" t="inlineStr">
        <is>
          <t>NEW</t>
        </is>
      </c>
      <c r="E271" s="19" t="inlineStr"/>
      <c r="F271" s="18" t="inlineStr"/>
      <c r="G271" s="19" t="inlineStr"/>
      <c r="H271" s="18" t="inlineStr"/>
      <c r="I271" s="20" t="inlineStr"/>
      <c r="J271" s="20" t="inlineStr"/>
      <c r="K271" s="20" t="inlineStr"/>
      <c r="L271" s="20" t="inlineStr"/>
      <c r="M271" s="20" t="inlineStr"/>
      <c r="N271" s="20" t="inlineStr"/>
      <c r="O271" s="20" t="inlineStr"/>
      <c r="P271" s="20" t="inlineStr"/>
      <c r="Q271" s="20" t="inlineStr"/>
      <c r="R271" s="20" t="inlineStr"/>
      <c r="S271" s="20" t="inlineStr"/>
      <c r="T271" s="21" t="n">
        <v>706911.1800000001</v>
      </c>
      <c r="U271" s="22" t="inlineStr">
        <is>
          <t>B</t>
        </is>
      </c>
      <c r="V271" s="23">
        <f>IFERROR(VLOOKUP(U271,Assumptions!$A$7:$D$11,2,FALSE),0)</f>
        <v/>
      </c>
      <c r="W271" s="24">
        <f>MAX(0.5,IFERROR(VLOOKUP(U271,Assumptions!$A$7:$D$11,3,FALSE),3)+IFERROR(VLOOKUP(U271,Assumptions!$A$7:$D$11,4,FALSE),8)/2-IF(AN271="",0,YEAR(TODAY())-AN271))</f>
        <v/>
      </c>
      <c r="X271" s="21">
        <f>T271*V271/(1+Assumptions!$B$3)^W271</f>
        <v/>
      </c>
      <c r="Y271" s="25">
        <f>IF(T271=0,"",ROUND(X271/T271*100,1))</f>
        <v/>
      </c>
      <c r="Z271" s="26">
        <f>X271*Assumptions!$B$4</f>
        <v/>
      </c>
      <c r="AA271" s="25">
        <f>IF(T271=0,"",ROUND(Z271/T271*100,1))</f>
        <v/>
      </c>
      <c r="AB271" s="26">
        <f>X271-Z271</f>
        <v/>
      </c>
      <c r="AC271" s="25">
        <f>IF(T271=0,"",ROUND((X271-Z271)/T271*100,1))</f>
        <v/>
      </c>
      <c r="AD271" s="27" t="inlineStr">
        <is>
          <t>ESTIMATED</t>
        </is>
      </c>
      <c r="AE271" s="28" t="inlineStr">
        <is>
          <t>https://ajruiz.com.br/sites/default/files/public/arquivos-processos/2026-08/qgc_azeplast_julho_2026.pdf</t>
        </is>
      </c>
      <c r="AF271" s="27" t="inlineStr">
        <is>
          <t>p1 r17</t>
        </is>
      </c>
      <c r="AG271" s="27" t="inlineStr">
        <is>
          <t>p1: R$ 706.911,18</t>
        </is>
      </c>
      <c r="AH271" s="27" t="inlineStr">
        <is>
          <t>QGC</t>
        </is>
      </c>
      <c r="AI271" s="27" t="inlineStr"/>
      <c r="AJ271" s="27" t="inlineStr">
        <is>
          <t>QUARANTINED</t>
        </is>
      </c>
      <c r="AK271" s="29" t="inlineStr">
        <is>
          <t>5008793-34.2023.8.24.0019</t>
        </is>
      </c>
      <c r="AL271" s="29" t="inlineStr">
        <is>
          <t>TJSC</t>
        </is>
      </c>
      <c r="AM271" s="29" t="inlineStr">
        <is>
          <t>ACTIVE</t>
        </is>
      </c>
      <c r="AN271" s="29" t="n">
        <v>2023</v>
      </c>
      <c r="AO271" s="29" t="inlineStr">
        <is>
          <t>live case, no plan document yet</t>
        </is>
      </c>
      <c r="AP271" s="29" t="inlineStr"/>
      <c r="AQ271" s="29" t="inlineStr"/>
      <c r="AR271" s="29" t="inlineStr"/>
      <c r="AS271" s="29" t="inlineStr"/>
      <c r="AT271" s="29" t="inlineStr">
        <is>
          <t>MID-MARKET</t>
        </is>
      </c>
      <c r="AU271" s="29" t="inlineStr">
        <is>
          <t>01039011</t>
        </is>
      </c>
      <c r="AV271" s="29" t="n">
        <v>1</v>
      </c>
      <c r="AW271" s="29" t="inlineStr">
        <is>
          <t>LIKELY_FINANCIAL_BY_NAME PARTIAL_DOC_CLASS_III_RECONCILED ROWS:p1r17</t>
        </is>
      </c>
    </row>
    <row r="272">
      <c r="A272" s="15" t="inlineStr">
        <is>
          <t>SCANIA BANCO S.A.</t>
        </is>
      </c>
      <c r="B272" s="16" t="n">
        <v>705235.65</v>
      </c>
      <c r="C272" s="17" t="inlineStr">
        <is>
          <t>ADVOCACIA WANDERLEI DE PAULA BARRETO</t>
        </is>
      </c>
      <c r="D272" s="18" t="inlineStr">
        <is>
          <t>NEW</t>
        </is>
      </c>
      <c r="E272" s="19" t="inlineStr"/>
      <c r="F272" s="18" t="inlineStr"/>
      <c r="G272" s="19" t="inlineStr"/>
      <c r="H272" s="18" t="inlineStr"/>
      <c r="I272" s="20" t="inlineStr">
        <is>
          <t>OSCAR LARS RUNE JAERN</t>
        </is>
      </c>
      <c r="J272" s="20" t="inlineStr">
        <is>
          <t>Presidente</t>
        </is>
      </c>
      <c r="K272" s="20" t="inlineStr">
        <is>
          <t>(11) 3214-0820</t>
        </is>
      </c>
      <c r="L272" s="20" t="inlineStr"/>
      <c r="M272" s="20" t="inlineStr"/>
      <c r="N272" s="20" t="inlineStr"/>
      <c r="O272" s="20" t="inlineStr"/>
      <c r="P272" s="20" t="inlineStr">
        <is>
          <t>CARLOS JOSE RIVERA DE OLIVEIRA</t>
        </is>
      </c>
      <c r="Q272" s="20" t="inlineStr">
        <is>
          <t>Diretor</t>
        </is>
      </c>
      <c r="R272" s="20" t="inlineStr">
        <is>
          <t>(11) 3214-0820</t>
        </is>
      </c>
      <c r="S272" s="20" t="inlineStr"/>
      <c r="T272" s="21" t="n">
        <v>705235.65</v>
      </c>
      <c r="U272" s="22" t="inlineStr">
        <is>
          <t>B</t>
        </is>
      </c>
      <c r="V272" s="23">
        <f>IFERROR(VLOOKUP(U272,Assumptions!$A$7:$D$11,2,FALSE),0)</f>
        <v/>
      </c>
      <c r="W272" s="24">
        <f>MAX(0.5,IFERROR(VLOOKUP(U272,Assumptions!$A$7:$D$11,3,FALSE),3)+IFERROR(VLOOKUP(U272,Assumptions!$A$7:$D$11,4,FALSE),8)/2-IF(AN272="",0,YEAR(TODAY())-AN272))</f>
        <v/>
      </c>
      <c r="X272" s="21">
        <f>T272*V272/(1+Assumptions!$B$3)^W272</f>
        <v/>
      </c>
      <c r="Y272" s="25">
        <f>IF(T272=0,"",ROUND(X272/T272*100,1))</f>
        <v/>
      </c>
      <c r="Z272" s="26">
        <f>X272*Assumptions!$B$4</f>
        <v/>
      </c>
      <c r="AA272" s="25">
        <f>IF(T272=0,"",ROUND(Z272/T272*100,1))</f>
        <v/>
      </c>
      <c r="AB272" s="26">
        <f>X272-Z272</f>
        <v/>
      </c>
      <c r="AC272" s="25">
        <f>IF(T272=0,"",ROUND((X272-Z272)/T272*100,1))</f>
        <v/>
      </c>
      <c r="AD272" s="27" t="inlineStr">
        <is>
          <t>ESTIMATED</t>
        </is>
      </c>
      <c r="AE272" s="28" t="inlineStr">
        <is>
          <t>https://marquesadmjudicial.com.br/sgc/download.php?file=files/processo_documento/processo_documento17040729052024_1_.pdf&amp;nome=Relação Nominal de Credores AJ-Sintética</t>
        </is>
      </c>
      <c r="AF272" s="27" t="inlineStr">
        <is>
          <t>p12 r18</t>
        </is>
      </c>
      <c r="AG272" s="27" t="inlineStr">
        <is>
          <t>p12: R$ 705.235,65</t>
        </is>
      </c>
      <c r="AH272" s="27" t="inlineStr">
        <is>
          <t>AJ_LIST</t>
        </is>
      </c>
      <c r="AI272" s="27" t="inlineStr">
        <is>
          <t>2024-05-27</t>
        </is>
      </c>
      <c r="AJ272" s="27" t="inlineStr">
        <is>
          <t>QUARANTINED</t>
        </is>
      </c>
      <c r="AK272" s="29" t="inlineStr">
        <is>
          <t>0003971-03.2023.8.16.0119</t>
        </is>
      </c>
      <c r="AL272" s="29" t="inlineStr">
        <is>
          <t>TJPR</t>
        </is>
      </c>
      <c r="AM272" s="29" t="inlineStr">
        <is>
          <t>ACTIVE</t>
        </is>
      </c>
      <c r="AN272" s="29" t="n">
        <v>2023</v>
      </c>
      <c r="AO272" s="29" t="inlineStr">
        <is>
          <t>live case, no plan document yet</t>
        </is>
      </c>
      <c r="AP272" s="29" t="inlineStr">
        <is>
          <t>SAO BERNARDO DO CAMPO</t>
        </is>
      </c>
      <c r="AQ272" s="29" t="inlineStr">
        <is>
          <t>SP</t>
        </is>
      </c>
      <c r="AR272" s="29" t="inlineStr">
        <is>
          <t>Bancos múltiplos, sem carteira comercial</t>
        </is>
      </c>
      <c r="AS272" s="29" t="inlineStr">
        <is>
          <t>DEMAIS</t>
        </is>
      </c>
      <c r="AT272" s="29" t="inlineStr">
        <is>
          <t>LARGE CORP</t>
        </is>
      </c>
      <c r="AU272" s="29" t="inlineStr">
        <is>
          <t>11417016</t>
        </is>
      </c>
      <c r="AV272" s="29" t="n">
        <v>1</v>
      </c>
      <c r="AW272" s="29" t="inlineStr">
        <is>
          <t>LIKELY_FINANCIAL_BY_NAME PARTIAL_DOC_CLASS_III_RECONCILED ROWS:p12r18</t>
        </is>
      </c>
    </row>
    <row r="273">
      <c r="A273" s="15" t="inlineStr">
        <is>
          <t>BANCO SOFISA S.A.</t>
        </is>
      </c>
      <c r="B273" s="16" t="n">
        <v>1101118</v>
      </c>
      <c r="C273" s="17" t="inlineStr">
        <is>
          <t>- VENEZA SERVIÇOS ADMINISTRATIVOS LTDA</t>
        </is>
      </c>
      <c r="D273" s="18" t="inlineStr">
        <is>
          <t>NEW</t>
        </is>
      </c>
      <c r="E273" s="19" t="inlineStr"/>
      <c r="F273" s="18" t="inlineStr"/>
      <c r="G273" s="19" t="inlineStr"/>
      <c r="H273" s="18" t="inlineStr"/>
      <c r="I273" s="20" t="inlineStr">
        <is>
          <t>ALEXANDRE BURMAIAN</t>
        </is>
      </c>
      <c r="J273" s="20" t="inlineStr">
        <is>
          <t>Presidente</t>
        </is>
      </c>
      <c r="K273" s="20" t="inlineStr">
        <is>
          <t>(11) 3176-5500</t>
        </is>
      </c>
      <c r="L273" s="20" t="inlineStr"/>
      <c r="M273" s="20" t="inlineStr"/>
      <c r="N273" s="20" t="inlineStr"/>
      <c r="O273" s="20" t="inlineStr"/>
      <c r="P273" s="20" t="inlineStr">
        <is>
          <t>CESAR AUGUSTO DE OLIVEIRA GONCALVES</t>
        </is>
      </c>
      <c r="Q273" s="20" t="inlineStr">
        <is>
          <t>Diretor</t>
        </is>
      </c>
      <c r="R273" s="20" t="inlineStr">
        <is>
          <t>(11) 3176-5500</t>
        </is>
      </c>
      <c r="S273" s="20" t="inlineStr"/>
      <c r="T273" s="21" t="n">
        <v>1101118</v>
      </c>
      <c r="U273" s="22" t="inlineStr">
        <is>
          <t>B</t>
        </is>
      </c>
      <c r="V273" s="23">
        <f>IFERROR(VLOOKUP(U273,Assumptions!$A$7:$D$11,2,FALSE),0)</f>
        <v/>
      </c>
      <c r="W273" s="24">
        <f>MAX(0.5,IFERROR(VLOOKUP(U273,Assumptions!$A$7:$D$11,3,FALSE),3)+IFERROR(VLOOKUP(U273,Assumptions!$A$7:$D$11,4,FALSE),8)/2-IF(AN273="",0,YEAR(TODAY())-AN273))</f>
        <v/>
      </c>
      <c r="X273" s="21">
        <f>T273*V273/(1+Assumptions!$B$3)^W273</f>
        <v/>
      </c>
      <c r="Y273" s="25">
        <f>IF(T273=0,"",ROUND(X273/T273*100,1))</f>
        <v/>
      </c>
      <c r="Z273" s="26">
        <f>X273*Assumptions!$B$4</f>
        <v/>
      </c>
      <c r="AA273" s="25">
        <f>IF(T273=0,"",ROUND(Z273/T273*100,1))</f>
        <v/>
      </c>
      <c r="AB273" s="26">
        <f>X273-Z273</f>
        <v/>
      </c>
      <c r="AC273" s="25">
        <f>IF(T273=0,"",ROUND((X273-Z273)/T273*100,1))</f>
        <v/>
      </c>
      <c r="AD273" s="27" t="inlineStr">
        <is>
          <t>ESTIMATED</t>
        </is>
      </c>
      <c r="AE273" s="28" t="inlineStr">
        <is>
          <t>https://bugarimecoelho.com.br/ws/media-library/b6b7ea42b9fa2afe30bc728fe00cd5c6/07---edital-do-processamento-da-recuperacao-judicial.pdf</t>
        </is>
      </c>
      <c r="AF273" s="27" t="inlineStr">
        <is>
          <t>p16 r3</t>
        </is>
      </c>
      <c r="AG273" s="27" t="inlineStr">
        <is>
          <t>p16: R$ 1.101.118,00</t>
        </is>
      </c>
      <c r="AH273" s="27" t="inlineStr">
        <is>
          <t>UNKNOWN</t>
        </is>
      </c>
      <c r="AI273" s="27" t="inlineStr">
        <is>
          <t>2026-07-09</t>
        </is>
      </c>
      <c r="AJ273" s="27" t="inlineStr">
        <is>
          <t>OK</t>
        </is>
      </c>
      <c r="AK273" s="29" t="inlineStr">
        <is>
          <t>3000117-40.2025.8.06.0512</t>
        </is>
      </c>
      <c r="AL273" s="29" t="inlineStr">
        <is>
          <t>TJCE</t>
        </is>
      </c>
      <c r="AM273" s="29" t="inlineStr">
        <is>
          <t>ACTIVE</t>
        </is>
      </c>
      <c r="AN273" s="29" t="n">
        <v>2025</v>
      </c>
      <c r="AO273" s="29" t="inlineStr">
        <is>
          <t>live case, no plan document yet</t>
        </is>
      </c>
      <c r="AP273" s="29" t="inlineStr">
        <is>
          <t>SAO PAULO</t>
        </is>
      </c>
      <c r="AQ273" s="29" t="inlineStr">
        <is>
          <t>SP</t>
        </is>
      </c>
      <c r="AR273" s="29" t="inlineStr">
        <is>
          <t>Bancos múltiplos, com carteira comercial</t>
        </is>
      </c>
      <c r="AS273" s="29" t="inlineStr">
        <is>
          <t>DEMAIS</t>
        </is>
      </c>
      <c r="AT273" s="29" t="inlineStr">
        <is>
          <t>LARGE CORP</t>
        </is>
      </c>
      <c r="AU273" s="29" t="inlineStr">
        <is>
          <t>60889128</t>
        </is>
      </c>
      <c r="AV273" s="29" t="n">
        <v>1</v>
      </c>
      <c r="AW273" s="29" t="inlineStr">
        <is>
          <t>LIKELY_FINANCIAL_BY_NAME ROWS:p16r3</t>
        </is>
      </c>
    </row>
    <row r="274">
      <c r="A274" s="15" t="inlineStr">
        <is>
          <t>BANCO SANTANDER (BRASIL) S.A.</t>
        </is>
      </c>
      <c r="B274" s="16" t="n">
        <v>1097205.22</v>
      </c>
      <c r="C274" s="17" t="inlineStr">
        <is>
          <t>BIGOLIN MATERIAIS DE CONSTRUCAO LTDA</t>
        </is>
      </c>
      <c r="D274" s="18" t="inlineStr">
        <is>
          <t>NEW</t>
        </is>
      </c>
      <c r="E274" s="19" t="inlineStr"/>
      <c r="F274" s="18" t="inlineStr"/>
      <c r="G274" s="19" t="inlineStr"/>
      <c r="H274" s="18" t="inlineStr"/>
      <c r="I274" s="20" t="inlineStr">
        <is>
          <t>GILSON FINKELSZTAIN</t>
        </is>
      </c>
      <c r="J274" s="20" t="inlineStr">
        <is>
          <t>Presidente</t>
        </is>
      </c>
      <c r="K274" s="20" t="inlineStr">
        <is>
          <t>(11) 4004-3535</t>
        </is>
      </c>
      <c r="L274" s="20" t="inlineStr"/>
      <c r="M274" s="20" t="inlineStr"/>
      <c r="N274" s="20" t="inlineStr"/>
      <c r="O274" s="20" t="inlineStr"/>
      <c r="P274" s="20" t="inlineStr">
        <is>
          <t>ALESSANDRO CHAGAS FARIAS</t>
        </is>
      </c>
      <c r="Q274" s="20" t="inlineStr">
        <is>
          <t>Diretor</t>
        </is>
      </c>
      <c r="R274" s="20" t="inlineStr">
        <is>
          <t>(11) 4004-3535</t>
        </is>
      </c>
      <c r="S274" s="20" t="inlineStr"/>
      <c r="T274" s="21" t="n">
        <v>1097205.22</v>
      </c>
      <c r="U274" s="22" t="inlineStr">
        <is>
          <t>B</t>
        </is>
      </c>
      <c r="V274" s="23">
        <f>IFERROR(VLOOKUP(U274,Assumptions!$A$7:$D$11,2,FALSE),0)</f>
        <v/>
      </c>
      <c r="W274" s="24">
        <f>MAX(0.5,IFERROR(VLOOKUP(U274,Assumptions!$A$7:$D$11,3,FALSE),3)+IFERROR(VLOOKUP(U274,Assumptions!$A$7:$D$11,4,FALSE),8)/2-IF(AN274="",0,YEAR(TODAY())-AN274))</f>
        <v/>
      </c>
      <c r="X274" s="21">
        <f>T274*V274/(1+Assumptions!$B$3)^W274</f>
        <v/>
      </c>
      <c r="Y274" s="25">
        <f>IF(T274=0,"",ROUND(X274/T274*100,1))</f>
        <v/>
      </c>
      <c r="Z274" s="26">
        <f>X274*Assumptions!$B$4</f>
        <v/>
      </c>
      <c r="AA274" s="25">
        <f>IF(T274=0,"",ROUND(Z274/T274*100,1))</f>
        <v/>
      </c>
      <c r="AB274" s="26">
        <f>X274-Z274</f>
        <v/>
      </c>
      <c r="AC274" s="25">
        <f>IF(T274=0,"",ROUND((X274-Z274)/T274*100,1))</f>
        <v/>
      </c>
      <c r="AD274" s="27" t="inlineStr">
        <is>
          <t>ESTIMATED</t>
        </is>
      </c>
      <c r="AE274" s="28" t="inlineStr">
        <is>
          <t>https://ativosajce.com.br/admin/download.php?file=files/processo_documento/processo_documento16022716122025_1_.pdf&amp;nome=Relação de credores - art. 52, §1º da Lei 11.101/05 - 15/12/2025</t>
        </is>
      </c>
      <c r="AF274" s="27" t="inlineStr">
        <is>
          <t>p2 r20</t>
        </is>
      </c>
      <c r="AG274" s="27" t="inlineStr">
        <is>
          <t>p2: R$ 1.097.205,22</t>
        </is>
      </c>
      <c r="AH274" s="27" t="inlineStr">
        <is>
          <t>UNKNOWN</t>
        </is>
      </c>
      <c r="AI274" s="27" t="inlineStr"/>
      <c r="AJ274" s="27" t="inlineStr">
        <is>
          <t>OK_NO_TOTALS</t>
        </is>
      </c>
      <c r="AK274" s="29" t="inlineStr">
        <is>
          <t>4054599-35.2025.8.26.0100</t>
        </is>
      </c>
      <c r="AL274" s="29" t="inlineStr">
        <is>
          <t>TJSP</t>
        </is>
      </c>
      <c r="AM274" s="29" t="inlineStr">
        <is>
          <t>ACTIVE</t>
        </is>
      </c>
      <c r="AN274" s="29" t="n">
        <v>2025</v>
      </c>
      <c r="AO274" s="29" t="inlineStr">
        <is>
          <t>live case, no plan document yet</t>
        </is>
      </c>
      <c r="AP274" s="29" t="inlineStr">
        <is>
          <t>SAO PAULO</t>
        </is>
      </c>
      <c r="AQ274" s="29" t="inlineStr">
        <is>
          <t>SP</t>
        </is>
      </c>
      <c r="AR274" s="29" t="inlineStr">
        <is>
          <t>Bancos múltiplos, com carteira comercial</t>
        </is>
      </c>
      <c r="AS274" s="29" t="inlineStr">
        <is>
          <t>DEMAIS</t>
        </is>
      </c>
      <c r="AT274" s="29" t="inlineStr">
        <is>
          <t>LARGE CORP</t>
        </is>
      </c>
      <c r="AU274" s="29" t="inlineStr">
        <is>
          <t>90400888</t>
        </is>
      </c>
      <c r="AV274" s="29" t="n">
        <v>1</v>
      </c>
      <c r="AW274" s="29" t="inlineStr">
        <is>
          <t>ROWS:p2r20 UNRECONCILED_SOURCE VALUE_COL:Valor</t>
        </is>
      </c>
    </row>
    <row r="275">
      <c r="A275" s="15" t="inlineStr">
        <is>
          <t>BANCO SANTANDER (BRASIL) S.A.</t>
        </is>
      </c>
      <c r="B275" s="16" t="n">
        <v>561196.46</v>
      </c>
      <c r="C275" s="17" t="inlineStr">
        <is>
          <t>SECULAR COMÉRCIO CONSTRUÇÃO E REPRESENTAÇÃO LTDA - ME, EM</t>
        </is>
      </c>
      <c r="D275" s="18" t="inlineStr">
        <is>
          <t>NEW</t>
        </is>
      </c>
      <c r="E275" s="19" t="inlineStr"/>
      <c r="F275" s="18" t="inlineStr"/>
      <c r="G275" s="19" t="inlineStr"/>
      <c r="H275" s="18" t="inlineStr"/>
      <c r="I275" s="20" t="inlineStr">
        <is>
          <t>GILSON FINKELSZTAIN</t>
        </is>
      </c>
      <c r="J275" s="20" t="inlineStr">
        <is>
          <t>Presidente</t>
        </is>
      </c>
      <c r="K275" s="20" t="inlineStr">
        <is>
          <t>(11) 4004-3535</t>
        </is>
      </c>
      <c r="L275" s="20" t="inlineStr"/>
      <c r="M275" s="20" t="inlineStr"/>
      <c r="N275" s="20" t="inlineStr"/>
      <c r="O275" s="20" t="inlineStr"/>
      <c r="P275" s="20" t="inlineStr">
        <is>
          <t>ALESSANDRO CHAGAS FARIAS</t>
        </is>
      </c>
      <c r="Q275" s="20" t="inlineStr">
        <is>
          <t>Diretor</t>
        </is>
      </c>
      <c r="R275" s="20" t="inlineStr">
        <is>
          <t>(11) 4004-3535</t>
        </is>
      </c>
      <c r="S275" s="20" t="inlineStr"/>
      <c r="T275" s="21" t="n">
        <v>561196.46</v>
      </c>
      <c r="U275" s="22" t="inlineStr">
        <is>
          <t>B</t>
        </is>
      </c>
      <c r="V275" s="23">
        <f>IFERROR(VLOOKUP(U275,Assumptions!$A$7:$D$11,2,FALSE),0)</f>
        <v/>
      </c>
      <c r="W275" s="24">
        <f>MAX(0.5,IFERROR(VLOOKUP(U275,Assumptions!$A$7:$D$11,3,FALSE),3)+IFERROR(VLOOKUP(U275,Assumptions!$A$7:$D$11,4,FALSE),8)/2-IF(AN275="",0,YEAR(TODAY())-AN275))</f>
        <v/>
      </c>
      <c r="X275" s="21">
        <f>T275*V275/(1+Assumptions!$B$3)^W275</f>
        <v/>
      </c>
      <c r="Y275" s="25">
        <f>IF(T275=0,"",ROUND(X275/T275*100,1))</f>
        <v/>
      </c>
      <c r="Z275" s="26">
        <f>X275*Assumptions!$B$4</f>
        <v/>
      </c>
      <c r="AA275" s="25">
        <f>IF(T275=0,"",ROUND(Z275/T275*100,1))</f>
        <v/>
      </c>
      <c r="AB275" s="26">
        <f>X275-Z275</f>
        <v/>
      </c>
      <c r="AC275" s="25">
        <f>IF(T275=0,"",ROUND((X275-Z275)/T275*100,1))</f>
        <v/>
      </c>
      <c r="AD275" s="27" t="inlineStr">
        <is>
          <t>ESTIMATED</t>
        </is>
      </c>
      <c r="AE275" s="28" t="inlineStr">
        <is>
          <t>https://lrflideres.com.br/wp-content/uploads/2022/08/4.-EDITAL-2a-LISTA-DE-CREDORES.pdf</t>
        </is>
      </c>
      <c r="AF275" s="27" t="inlineStr">
        <is>
          <t>p1 r5</t>
        </is>
      </c>
      <c r="AG275" s="27" t="inlineStr">
        <is>
          <t>p1: R$ 561.196,46</t>
        </is>
      </c>
      <c r="AH275" s="27" t="inlineStr">
        <is>
          <t>AJ_LIST</t>
        </is>
      </c>
      <c r="AI275" s="27" t="inlineStr">
        <is>
          <t>2023-12-04</t>
        </is>
      </c>
      <c r="AJ275" s="27" t="inlineStr">
        <is>
          <t>OK</t>
        </is>
      </c>
      <c r="AK275" s="29" t="inlineStr">
        <is>
          <t>0804204-35.2022.8.15.0731</t>
        </is>
      </c>
      <c r="AL275" s="29" t="inlineStr">
        <is>
          <t>TJPB</t>
        </is>
      </c>
      <c r="AM275" s="29" t="inlineStr">
        <is>
          <t>ACTIVE</t>
        </is>
      </c>
      <c r="AN275" s="29" t="n">
        <v>2022</v>
      </c>
      <c r="AO275" s="29" t="inlineStr">
        <is>
          <t>live case, no plan document yet</t>
        </is>
      </c>
      <c r="AP275" s="29" t="inlineStr">
        <is>
          <t>SAO PAULO</t>
        </is>
      </c>
      <c r="AQ275" s="29" t="inlineStr">
        <is>
          <t>SP</t>
        </is>
      </c>
      <c r="AR275" s="29" t="inlineStr">
        <is>
          <t>Bancos múltiplos, com carteira comercial</t>
        </is>
      </c>
      <c r="AS275" s="29" t="inlineStr">
        <is>
          <t>DEMAIS</t>
        </is>
      </c>
      <c r="AT275" s="29" t="inlineStr">
        <is>
          <t>LARGE CORP</t>
        </is>
      </c>
      <c r="AU275" s="29" t="inlineStr">
        <is>
          <t>90400888</t>
        </is>
      </c>
      <c r="AV275" s="29" t="n">
        <v>1</v>
      </c>
      <c r="AW275" s="29" t="inlineStr">
        <is>
          <t>LIKELY_FINANCIAL_BY_NAME ROWS:p1r5</t>
        </is>
      </c>
    </row>
    <row r="276">
      <c r="A276" s="15" t="inlineStr">
        <is>
          <t>ITAU UNIBANCO S.A.</t>
        </is>
      </c>
      <c r="B276" s="16" t="n">
        <v>799334.67</v>
      </c>
      <c r="C276" s="17" t="inlineStr">
        <is>
          <t>E FALENCIA</t>
        </is>
      </c>
      <c r="D276" s="18" t="inlineStr">
        <is>
          <t>NEW</t>
        </is>
      </c>
      <c r="E276" s="19" t="inlineStr"/>
      <c r="F276" s="18" t="inlineStr"/>
      <c r="G276" s="19" t="inlineStr"/>
      <c r="H276" s="18" t="inlineStr"/>
      <c r="I276" s="20" t="inlineStr">
        <is>
          <t>FELIPE SAMPAIO NABUCO</t>
        </is>
      </c>
      <c r="J276" s="20" t="inlineStr">
        <is>
          <t>Administrador</t>
        </is>
      </c>
      <c r="K276" s="20" t="inlineStr">
        <is>
          <t>(11) 3003-4828</t>
        </is>
      </c>
      <c r="L276" s="20" t="inlineStr"/>
      <c r="M276" s="20" t="inlineStr"/>
      <c r="N276" s="20" t="inlineStr"/>
      <c r="O276" s="20" t="inlineStr"/>
      <c r="P276" s="20" t="inlineStr">
        <is>
          <t>MILTON MALUHY FILHO</t>
        </is>
      </c>
      <c r="Q276" s="20" t="inlineStr">
        <is>
          <t>Presidente</t>
        </is>
      </c>
      <c r="R276" s="20" t="inlineStr">
        <is>
          <t>(11) 3003-4828</t>
        </is>
      </c>
      <c r="S276" s="20" t="inlineStr"/>
      <c r="T276" s="21" t="n">
        <v>799334.67</v>
      </c>
      <c r="U276" s="31" t="inlineStr">
        <is>
          <t>C</t>
        </is>
      </c>
      <c r="V276" s="23">
        <f>IFERROR(VLOOKUP(U276,Assumptions!$A$7:$D$11,2,FALSE),0)</f>
        <v/>
      </c>
      <c r="W276" s="24">
        <f>MAX(0.5,IFERROR(VLOOKUP(U276,Assumptions!$A$7:$D$11,3,FALSE),3)+IFERROR(VLOOKUP(U276,Assumptions!$A$7:$D$11,4,FALSE),8)/2-IF(AN276="",0,YEAR(TODAY())-AN276))</f>
        <v/>
      </c>
      <c r="X276" s="21">
        <f>T276*V276/(1+Assumptions!$B$3)^W276</f>
        <v/>
      </c>
      <c r="Y276" s="25">
        <f>IF(T276=0,"",ROUND(X276/T276*100,1))</f>
        <v/>
      </c>
      <c r="Z276" s="26">
        <f>X276*Assumptions!$B$4</f>
        <v/>
      </c>
      <c r="AA276" s="25">
        <f>IF(T276=0,"",ROUND(Z276/T276*100,1))</f>
        <v/>
      </c>
      <c r="AB276" s="26">
        <f>X276-Z276</f>
        <v/>
      </c>
      <c r="AC276" s="25">
        <f>IF(T276=0,"",ROUND((X276-Z276)/T276*100,1))</f>
        <v/>
      </c>
      <c r="AD276" s="27" t="inlineStr">
        <is>
          <t>UNKNOWN</t>
        </is>
      </c>
      <c r="AE276" s="28" t="inlineStr">
        <is>
          <t>https://diligence.adm.br/wp-content/plugins/download-attachments/includes/download.php?id=4579</t>
        </is>
      </c>
      <c r="AF276" s="27" t="inlineStr">
        <is>
          <t>p8 r8</t>
        </is>
      </c>
      <c r="AG276" s="27" t="inlineStr">
        <is>
          <t>p8: R$ 799.334,67</t>
        </is>
      </c>
      <c r="AH276" s="27" t="inlineStr">
        <is>
          <t>AJ_LIST</t>
        </is>
      </c>
      <c r="AI276" s="27" t="inlineStr">
        <is>
          <t>2024-06-11</t>
        </is>
      </c>
      <c r="AJ276" s="27" t="inlineStr">
        <is>
          <t>OK_NO_TOTALS</t>
        </is>
      </c>
      <c r="AK276" s="29" t="inlineStr">
        <is>
          <t>0032731-52.2010.8.17.0001</t>
        </is>
      </c>
      <c r="AL276" s="29" t="inlineStr">
        <is>
          <t>TJ</t>
        </is>
      </c>
      <c r="AM276" s="29" t="inlineStr"/>
      <c r="AN276" s="29" t="n">
        <v>2010</v>
      </c>
      <c r="AO276" s="29" t="inlineStr">
        <is>
          <t>16y since filing, no plan document</t>
        </is>
      </c>
      <c r="AP276" s="29" t="inlineStr">
        <is>
          <t>SAO PAULO</t>
        </is>
      </c>
      <c r="AQ276" s="29" t="inlineStr">
        <is>
          <t>SP</t>
        </is>
      </c>
      <c r="AR276" s="29" t="inlineStr">
        <is>
          <t>Bancos comerciais</t>
        </is>
      </c>
      <c r="AS276" s="29" t="inlineStr">
        <is>
          <t>DEMAIS</t>
        </is>
      </c>
      <c r="AT276" s="29" t="inlineStr">
        <is>
          <t>LARGE CORP</t>
        </is>
      </c>
      <c r="AU276" s="29" t="inlineStr">
        <is>
          <t>60701190</t>
        </is>
      </c>
      <c r="AV276" s="29" t="n">
        <v>1</v>
      </c>
      <c r="AW276" s="29" t="inlineStr">
        <is>
          <t>LIKELY_FINANCIAL_BY_NAME ROWS:p8r8 UNRECONCILED_SOURCE VALUE_COL:Crédito_1ª_Lista</t>
        </is>
      </c>
    </row>
    <row r="277">
      <c r="A277" s="15" t="inlineStr">
        <is>
          <t>BANCO DO BRASIL SA</t>
        </is>
      </c>
      <c r="B277" s="16" t="n">
        <v>879178</v>
      </c>
      <c r="C277" s="17" t="inlineStr"/>
      <c r="D277" s="18" t="inlineStr">
        <is>
          <t>NEW</t>
        </is>
      </c>
      <c r="E277" s="19" t="inlineStr"/>
      <c r="F277" s="18" t="inlineStr"/>
      <c r="G277" s="19" t="inlineStr"/>
      <c r="H277" s="18" t="inlineStr"/>
      <c r="I277" s="20" t="inlineStr">
        <is>
          <t>TARCIANA PAULA GOMES MEDEIROS</t>
        </is>
      </c>
      <c r="J277" s="20" t="inlineStr">
        <is>
          <t>Presidente</t>
        </is>
      </c>
      <c r="K277" s="20" t="inlineStr">
        <is>
          <t>(61) 3493-9002</t>
        </is>
      </c>
      <c r="L277" s="20" t="inlineStr"/>
      <c r="M277" s="20" t="inlineStr"/>
      <c r="N277" s="20" t="inlineStr"/>
      <c r="O277" s="20" t="inlineStr"/>
      <c r="P277" s="20" t="inlineStr">
        <is>
          <t>ALAN CARLOS GUEDES DE OLIVEIRA</t>
        </is>
      </c>
      <c r="Q277" s="20" t="inlineStr">
        <is>
          <t>Diretor</t>
        </is>
      </c>
      <c r="R277" s="20" t="inlineStr">
        <is>
          <t>(61) 3493-9002</t>
        </is>
      </c>
      <c r="S277" s="20" t="inlineStr"/>
      <c r="T277" s="21" t="n">
        <v>879178</v>
      </c>
      <c r="U277" s="31" t="inlineStr">
        <is>
          <t>C</t>
        </is>
      </c>
      <c r="V277" s="23">
        <f>IFERROR(VLOOKUP(U277,Assumptions!$A$7:$D$11,2,FALSE),0)</f>
        <v/>
      </c>
      <c r="W277" s="24">
        <f>MAX(0.5,IFERROR(VLOOKUP(U277,Assumptions!$A$7:$D$11,3,FALSE),3)+IFERROR(VLOOKUP(U277,Assumptions!$A$7:$D$11,4,FALSE),8)/2-IF(AN277="",0,YEAR(TODAY())-AN277))</f>
        <v/>
      </c>
      <c r="X277" s="21">
        <f>T277*V277/(1+Assumptions!$B$3)^W277</f>
        <v/>
      </c>
      <c r="Y277" s="25">
        <f>IF(T277=0,"",ROUND(X277/T277*100,1))</f>
        <v/>
      </c>
      <c r="Z277" s="26">
        <f>X277*Assumptions!$B$4</f>
        <v/>
      </c>
      <c r="AA277" s="25">
        <f>IF(T277=0,"",ROUND(Z277/T277*100,1))</f>
        <v/>
      </c>
      <c r="AB277" s="26">
        <f>X277-Z277</f>
        <v/>
      </c>
      <c r="AC277" s="25">
        <f>IF(T277=0,"",ROUND((X277-Z277)/T277*100,1))</f>
        <v/>
      </c>
      <c r="AD277" s="27" t="inlineStr">
        <is>
          <t>UNKNOWN</t>
        </is>
      </c>
      <c r="AE277" s="28" t="inlineStr">
        <is>
          <t>https://realbrasil.com.br/wp-content/uploads/2018/06/2_LISTA-DE-CREDORES-DA-RECUPERANDA_ROQUE.pdf</t>
        </is>
      </c>
      <c r="AF277" s="27" t="inlineStr">
        <is>
          <t>p2 r4</t>
        </is>
      </c>
      <c r="AG277" s="27" t="inlineStr">
        <is>
          <t>p2: R$ 879.178,00</t>
        </is>
      </c>
      <c r="AH277" s="27" t="inlineStr">
        <is>
          <t>UNKNOWN</t>
        </is>
      </c>
      <c r="AI277" s="27" t="inlineStr"/>
      <c r="AJ277" s="27" t="inlineStr">
        <is>
          <t>OK</t>
        </is>
      </c>
      <c r="AK277" s="29" t="inlineStr">
        <is>
          <t>0802426-35.2019.8.10.0000</t>
        </is>
      </c>
      <c r="AL277" s="29" t="inlineStr">
        <is>
          <t>TJ</t>
        </is>
      </c>
      <c r="AM277" s="29" t="inlineStr"/>
      <c r="AN277" s="29" t="n">
        <v>2019</v>
      </c>
      <c r="AO277" s="29" t="inlineStr">
        <is>
          <t>7y since filing, no plan document</t>
        </is>
      </c>
      <c r="AP277" s="29" t="inlineStr">
        <is>
          <t>BRASILIA</t>
        </is>
      </c>
      <c r="AQ277" s="29" t="inlineStr">
        <is>
          <t>DF</t>
        </is>
      </c>
      <c r="AR277" s="29" t="inlineStr">
        <is>
          <t>Bancos múltiplos, com carteira comercial</t>
        </is>
      </c>
      <c r="AS277" s="29" t="inlineStr">
        <is>
          <t>DEMAIS</t>
        </is>
      </c>
      <c r="AT277" s="29" t="inlineStr">
        <is>
          <t>LARGE CORP</t>
        </is>
      </c>
      <c r="AU277" s="29" t="inlineStr">
        <is>
          <t>00000000</t>
        </is>
      </c>
      <c r="AV277" s="29" t="n">
        <v>1</v>
      </c>
      <c r="AW277" s="29" t="inlineStr">
        <is>
          <t>ROWS:p2r4 VALUE_COL:Saldo_Total</t>
        </is>
      </c>
    </row>
    <row r="278">
      <c r="A278" s="15" t="inlineStr">
        <is>
          <t>CONFIANÇA FUNDO DE INVESTIMENTO EM DIREITOS CREDITÓRI</t>
        </is>
      </c>
      <c r="B278" s="16" t="n">
        <v>858338.78</v>
      </c>
      <c r="C278" s="17" t="inlineStr">
        <is>
          <t>DIVINA INDUSTRIA DE COURO LTDA - EM RECUPERACAO JUDICIAL</t>
        </is>
      </c>
      <c r="D278" s="18" t="inlineStr">
        <is>
          <t>NEW</t>
        </is>
      </c>
      <c r="E278" s="19" t="inlineStr"/>
      <c r="F278" s="18" t="inlineStr"/>
      <c r="G278" s="19" t="inlineStr"/>
      <c r="H278" s="18" t="inlineStr"/>
      <c r="I278" s="20" t="inlineStr"/>
      <c r="J278" s="20" t="inlineStr"/>
      <c r="K278" s="20" t="inlineStr"/>
      <c r="L278" s="20" t="inlineStr"/>
      <c r="M278" s="20" t="inlineStr"/>
      <c r="N278" s="20" t="inlineStr"/>
      <c r="O278" s="20" t="inlineStr"/>
      <c r="P278" s="20" t="inlineStr"/>
      <c r="Q278" s="20" t="inlineStr"/>
      <c r="R278" s="20" t="inlineStr"/>
      <c r="S278" s="20" t="inlineStr"/>
      <c r="T278" s="21" t="n">
        <v>858338.78</v>
      </c>
      <c r="U278" s="22" t="inlineStr">
        <is>
          <t>B</t>
        </is>
      </c>
      <c r="V278" s="23">
        <f>IFERROR(VLOOKUP(U278,Assumptions!$A$7:$D$11,2,FALSE),0)</f>
        <v/>
      </c>
      <c r="W278" s="24">
        <f>MAX(0.5,IFERROR(VLOOKUP(U278,Assumptions!$A$7:$D$11,3,FALSE),3)+IFERROR(VLOOKUP(U278,Assumptions!$A$7:$D$11,4,FALSE),8)/2-IF(AN278="",0,YEAR(TODAY())-AN278))</f>
        <v/>
      </c>
      <c r="X278" s="21">
        <f>T278*V278/(1+Assumptions!$B$3)^W278</f>
        <v/>
      </c>
      <c r="Y278" s="25">
        <f>IF(T278=0,"",ROUND(X278/T278*100,1))</f>
        <v/>
      </c>
      <c r="Z278" s="26">
        <f>X278*Assumptions!$B$4</f>
        <v/>
      </c>
      <c r="AA278" s="25">
        <f>IF(T278=0,"",ROUND(Z278/T278*100,1))</f>
        <v/>
      </c>
      <c r="AB278" s="26">
        <f>X278-Z278</f>
        <v/>
      </c>
      <c r="AC278" s="25">
        <f>IF(T278=0,"",ROUND((X278-Z278)/T278*100,1))</f>
        <v/>
      </c>
      <c r="AD278" s="27" t="inlineStr">
        <is>
          <t>ESTIMATED</t>
        </is>
      </c>
      <c r="AE278" s="28" t="inlineStr">
        <is>
          <t>https://lrflideres.com.br/wp-content/plugins/download-attachments/includes/download.php?id=6252</t>
        </is>
      </c>
      <c r="AF278" s="27" t="inlineStr">
        <is>
          <t>p2 r29</t>
        </is>
      </c>
      <c r="AG278" s="27" t="inlineStr">
        <is>
          <t>p2: R$ 858.338,78</t>
        </is>
      </c>
      <c r="AH278" s="27" t="inlineStr">
        <is>
          <t>AJ_LIST</t>
        </is>
      </c>
      <c r="AI278" s="27" t="inlineStr">
        <is>
          <t>2024-11-27</t>
        </is>
      </c>
      <c r="AJ278" s="27" t="inlineStr">
        <is>
          <t>QUARANTINED</t>
        </is>
      </c>
      <c r="AK278" s="29" t="inlineStr">
        <is>
          <t>0000721-61.2024.8.17.2620</t>
        </is>
      </c>
      <c r="AL278" s="29" t="inlineStr">
        <is>
          <t>TJPE</t>
        </is>
      </c>
      <c r="AM278" s="29" t="inlineStr">
        <is>
          <t>ACTIVE</t>
        </is>
      </c>
      <c r="AN278" s="29" t="n">
        <v>2024</v>
      </c>
      <c r="AO278" s="29" t="inlineStr">
        <is>
          <t>live case, no plan document yet</t>
        </is>
      </c>
      <c r="AP278" s="29" t="inlineStr"/>
      <c r="AQ278" s="29" t="inlineStr"/>
      <c r="AR278" s="29" t="inlineStr"/>
      <c r="AS278" s="29" t="inlineStr"/>
      <c r="AT278" s="29" t="inlineStr">
        <is>
          <t>MID-MARKET</t>
        </is>
      </c>
      <c r="AU278" s="29" t="inlineStr">
        <is>
          <t>31658884</t>
        </is>
      </c>
      <c r="AV278" s="29" t="n">
        <v>1</v>
      </c>
      <c r="AW278" s="29" t="inlineStr">
        <is>
          <t>LIKELY_FINANCIAL_BY_NAME PARTIAL_DOC_CLASS_III_RECONCILED ROWS:p2r29</t>
        </is>
      </c>
    </row>
    <row r="279">
      <c r="A279" s="15" t="inlineStr">
        <is>
          <t>SAFRA LEASING S.A. ARRENDAMENTO MERCANTIL</t>
        </is>
      </c>
      <c r="B279" s="16" t="n">
        <v>2000000</v>
      </c>
      <c r="C279" s="17" t="inlineStr"/>
      <c r="D279" s="18" t="inlineStr">
        <is>
          <t>NEW</t>
        </is>
      </c>
      <c r="E279" s="19" t="inlineStr"/>
      <c r="F279" s="18" t="inlineStr"/>
      <c r="G279" s="19" t="inlineStr"/>
      <c r="H279" s="18" t="inlineStr"/>
      <c r="I279" s="20" t="inlineStr">
        <is>
          <t>GUILHERME GONZALEZ CRONEMBERGER PARENTE</t>
        </is>
      </c>
      <c r="J279" s="20" t="inlineStr">
        <is>
          <t>Administrador</t>
        </is>
      </c>
      <c r="K279" s="20" t="inlineStr">
        <is>
          <t>(11) 3175-7575</t>
        </is>
      </c>
      <c r="L279" s="20" t="inlineStr"/>
      <c r="M279" s="20" t="inlineStr"/>
      <c r="N279" s="20" t="inlineStr"/>
      <c r="O279" s="20" t="inlineStr"/>
      <c r="P279" s="20" t="inlineStr">
        <is>
          <t>ALBERTO MONTEIRO DE QUEIROZ NETTO</t>
        </is>
      </c>
      <c r="Q279" s="20" t="inlineStr">
        <is>
          <t>Diretor</t>
        </is>
      </c>
      <c r="R279" s="20" t="inlineStr">
        <is>
          <t>(11) 3175-7575</t>
        </is>
      </c>
      <c r="S279" s="20" t="inlineStr"/>
      <c r="T279" s="21" t="n">
        <v>2000000</v>
      </c>
      <c r="U279" s="30" t="inlineStr">
        <is>
          <t>?</t>
        </is>
      </c>
      <c r="V279" s="23">
        <f>IFERROR(VLOOKUP(U279,Assumptions!$A$7:$D$11,2,FALSE),0)</f>
        <v/>
      </c>
      <c r="W279" s="24">
        <f>MAX(0.5,IFERROR(VLOOKUP(U279,Assumptions!$A$7:$D$11,3,FALSE),3)+IFERROR(VLOOKUP(U279,Assumptions!$A$7:$D$11,4,FALSE),8)/2-IF(AN279="",0,YEAR(TODAY())-AN279))</f>
        <v/>
      </c>
      <c r="X279" s="21">
        <f>T279*V279/(1+Assumptions!$B$3)^W279</f>
        <v/>
      </c>
      <c r="Y279" s="25">
        <f>IF(T279=0,"",ROUND(X279/T279*100,1))</f>
        <v/>
      </c>
      <c r="Z279" s="26">
        <f>X279*Assumptions!$B$4</f>
        <v/>
      </c>
      <c r="AA279" s="25">
        <f>IF(T279=0,"",ROUND(Z279/T279*100,1))</f>
        <v/>
      </c>
      <c r="AB279" s="26">
        <f>X279-Z279</f>
        <v/>
      </c>
      <c r="AC279" s="25">
        <f>IF(T279=0,"",ROUND((X279-Z279)/T279*100,1))</f>
        <v/>
      </c>
      <c r="AD279" s="27" t="inlineStr">
        <is>
          <t>UNKNOWN</t>
        </is>
      </c>
      <c r="AE279" s="28" t="inlineStr">
        <is>
          <t>https://ajruiz.com.br/sites/default/files/public/arquivos-processos/2023-11/4_relacao_de_credores_analitica_art._51_iii_da_lre.pdf</t>
        </is>
      </c>
      <c r="AF279" s="27" t="inlineStr">
        <is>
          <t>p2 r15</t>
        </is>
      </c>
      <c r="AG279" s="27" t="inlineStr">
        <is>
          <t>p2: R$ 2.000.000,00</t>
        </is>
      </c>
      <c r="AH279" s="27" t="inlineStr">
        <is>
          <t>UNKNOWN</t>
        </is>
      </c>
      <c r="AI279" s="27" t="inlineStr"/>
      <c r="AJ279" s="27" t="inlineStr">
        <is>
          <t>OK</t>
        </is>
      </c>
      <c r="AK279" s="29" t="inlineStr">
        <is>
          <t>(not printed)</t>
        </is>
      </c>
      <c r="AL279" s="29" t="inlineStr"/>
      <c r="AM279" s="29" t="inlineStr"/>
      <c r="AN279" s="29" t="inlineStr"/>
      <c r="AO279" s="29" t="inlineStr">
        <is>
          <t>RJ case number not identified on the document</t>
        </is>
      </c>
      <c r="AP279" s="29" t="inlineStr">
        <is>
          <t>SAO PAULO</t>
        </is>
      </c>
      <c r="AQ279" s="29" t="inlineStr">
        <is>
          <t>SP</t>
        </is>
      </c>
      <c r="AR279" s="29" t="inlineStr">
        <is>
          <t>Arrendamento mercantil</t>
        </is>
      </c>
      <c r="AS279" s="29" t="inlineStr">
        <is>
          <t>DEMAIS</t>
        </is>
      </c>
      <c r="AT279" s="29" t="inlineStr">
        <is>
          <t>LARGE CORP</t>
        </is>
      </c>
      <c r="AU279" s="29" t="inlineStr">
        <is>
          <t>62063177</t>
        </is>
      </c>
      <c r="AV279" s="29" t="n">
        <v>1</v>
      </c>
      <c r="AW279" s="29" t="inlineStr">
        <is>
          <t>ALT_VALUE:BANCOS ROWS:p2r15 VALUE_COL:Valor_Do_Crédito CASE_NUMBER_CORRECTED</t>
        </is>
      </c>
    </row>
    <row r="280">
      <c r="A280" s="15" t="inlineStr">
        <is>
          <t>TIME CONSULTORIA E FOMENTO MERCANTIL LTDA</t>
        </is>
      </c>
      <c r="B280" s="16" t="n">
        <v>864333.3</v>
      </c>
      <c r="C280" s="17" t="inlineStr">
        <is>
          <t>Grupo Arnon de Mello — Lindoso e Araujo</t>
        </is>
      </c>
      <c r="D280" s="18" t="inlineStr">
        <is>
          <t>NEW</t>
        </is>
      </c>
      <c r="E280" s="19" t="inlineStr"/>
      <c r="F280" s="18" t="inlineStr"/>
      <c r="G280" s="19" t="inlineStr"/>
      <c r="H280" s="18" t="inlineStr"/>
      <c r="I280" s="20" t="inlineStr"/>
      <c r="J280" s="20" t="inlineStr"/>
      <c r="K280" s="20" t="inlineStr"/>
      <c r="L280" s="20" t="inlineStr"/>
      <c r="M280" s="20" t="inlineStr"/>
      <c r="N280" s="20" t="inlineStr"/>
      <c r="O280" s="20" t="inlineStr"/>
      <c r="P280" s="20" t="inlineStr"/>
      <c r="Q280" s="20" t="inlineStr"/>
      <c r="R280" s="20" t="inlineStr"/>
      <c r="S280" s="20" t="inlineStr"/>
      <c r="T280" s="21" t="n">
        <v>864333.3</v>
      </c>
      <c r="U280" s="31" t="inlineStr">
        <is>
          <t>C</t>
        </is>
      </c>
      <c r="V280" s="23">
        <f>IFERROR(VLOOKUP(U280,Assumptions!$A$7:$D$11,2,FALSE),0)</f>
        <v/>
      </c>
      <c r="W280" s="24">
        <f>MAX(0.5,IFERROR(VLOOKUP(U280,Assumptions!$A$7:$D$11,3,FALSE),3)+IFERROR(VLOOKUP(U280,Assumptions!$A$7:$D$11,4,FALSE),8)/2-IF(AN280="",0,YEAR(TODAY())-AN280))</f>
        <v/>
      </c>
      <c r="X280" s="21">
        <f>T280*V280/(1+Assumptions!$B$3)^W280</f>
        <v/>
      </c>
      <c r="Y280" s="25">
        <f>IF(T280=0,"",ROUND(X280/T280*100,1))</f>
        <v/>
      </c>
      <c r="Z280" s="26">
        <f>X280*Assumptions!$B$4</f>
        <v/>
      </c>
      <c r="AA280" s="25">
        <f>IF(T280=0,"",ROUND(Z280/T280*100,1))</f>
        <v/>
      </c>
      <c r="AB280" s="26">
        <f>X280-Z280</f>
        <v/>
      </c>
      <c r="AC280" s="25">
        <f>IF(T280=0,"",ROUND((X280-Z280)/T280*100,1))</f>
        <v/>
      </c>
      <c r="AD280" s="27" t="inlineStr">
        <is>
          <t>UNKNOWN</t>
        </is>
      </c>
      <c r="AE280" s="28" t="inlineStr">
        <is>
          <t>https://recuperacaojudicial.squarespace.com/s/RJ-Grupo-Arnon-de-Melo-Lista-de-Credores-Consolidada-abril-2022.pdf</t>
        </is>
      </c>
      <c r="AF280" s="27" t="inlineStr">
        <is>
          <t>p9 r39</t>
        </is>
      </c>
      <c r="AG280" s="27" t="inlineStr">
        <is>
          <t>p9: R$ 864.333,30</t>
        </is>
      </c>
      <c r="AH280" s="27" t="inlineStr">
        <is>
          <t>AJ_LIST</t>
        </is>
      </c>
      <c r="AI280" s="27" t="inlineStr"/>
      <c r="AJ280" s="27" t="inlineStr">
        <is>
          <t>OK_NO_TOTALS</t>
        </is>
      </c>
      <c r="AK280" s="29" t="inlineStr">
        <is>
          <t>0700256-03.2019.8.02.0066</t>
        </is>
      </c>
      <c r="AL280" s="29" t="inlineStr">
        <is>
          <t>TJ</t>
        </is>
      </c>
      <c r="AM280" s="29" t="inlineStr"/>
      <c r="AN280" s="29" t="n">
        <v>2019</v>
      </c>
      <c r="AO280" s="29" t="inlineStr">
        <is>
          <t>7y since filing, no plan document</t>
        </is>
      </c>
      <c r="AP280" s="29" t="inlineStr"/>
      <c r="AQ280" s="29" t="inlineStr"/>
      <c r="AR280" s="29" t="inlineStr"/>
      <c r="AS280" s="29" t="inlineStr"/>
      <c r="AT280" s="29" t="inlineStr">
        <is>
          <t>MID-MARKET</t>
        </is>
      </c>
      <c r="AU280" s="29" t="inlineStr">
        <is>
          <t>03084842</t>
        </is>
      </c>
      <c r="AV280" s="29" t="n">
        <v>1</v>
      </c>
      <c r="AW280" s="29" t="inlineStr">
        <is>
          <t>LIKELY_FINANCIAL_BY_NAME ROWS:p9r39 UNRECONCILED_SOURCE</t>
        </is>
      </c>
    </row>
    <row r="281">
      <c r="A281" s="15" t="inlineStr">
        <is>
          <t>TREVISO FUNDO DE INVESTIMENTO EM DIREITOS CREDITORIOS</t>
        </is>
      </c>
      <c r="B281" s="16" t="n">
        <v>661424.53</v>
      </c>
      <c r="C281" s="17" t="inlineStr">
        <is>
          <t>Conduscabos Brasil Indústria Comércio de</t>
        </is>
      </c>
      <c r="D281" s="18" t="inlineStr">
        <is>
          <t>NEW</t>
        </is>
      </c>
      <c r="E281" s="19" t="inlineStr"/>
      <c r="F281" s="18" t="inlineStr"/>
      <c r="G281" s="19" t="inlineStr"/>
      <c r="H281" s="18" t="inlineStr"/>
      <c r="I281" s="20" t="inlineStr"/>
      <c r="J281" s="20" t="inlineStr"/>
      <c r="K281" s="20" t="inlineStr">
        <is>
          <t>(11) 2827-3500</t>
        </is>
      </c>
      <c r="L281" s="20" t="inlineStr"/>
      <c r="M281" s="20" t="inlineStr"/>
      <c r="N281" s="20" t="inlineStr"/>
      <c r="O281" s="20" t="inlineStr"/>
      <c r="P281" s="20" t="inlineStr"/>
      <c r="Q281" s="20" t="inlineStr"/>
      <c r="R281" s="20" t="inlineStr"/>
      <c r="S281" s="20" t="inlineStr"/>
      <c r="T281" s="21" t="n">
        <v>661424.53</v>
      </c>
      <c r="U281" s="22" t="inlineStr">
        <is>
          <t>B</t>
        </is>
      </c>
      <c r="V281" s="23">
        <f>IFERROR(VLOOKUP(U281,Assumptions!$A$7:$D$11,2,FALSE),0)</f>
        <v/>
      </c>
      <c r="W281" s="24">
        <f>MAX(0.5,IFERROR(VLOOKUP(U281,Assumptions!$A$7:$D$11,3,FALSE),3)+IFERROR(VLOOKUP(U281,Assumptions!$A$7:$D$11,4,FALSE),8)/2-IF(AN281="",0,YEAR(TODAY())-AN281))</f>
        <v/>
      </c>
      <c r="X281" s="21">
        <f>T281*V281/(1+Assumptions!$B$3)^W281</f>
        <v/>
      </c>
      <c r="Y281" s="25">
        <f>IF(T281=0,"",ROUND(X281/T281*100,1))</f>
        <v/>
      </c>
      <c r="Z281" s="26">
        <f>X281*Assumptions!$B$4</f>
        <v/>
      </c>
      <c r="AA281" s="25">
        <f>IF(T281=0,"",ROUND(Z281/T281*100,1))</f>
        <v/>
      </c>
      <c r="AB281" s="26">
        <f>X281-Z281</f>
        <v/>
      </c>
      <c r="AC281" s="25">
        <f>IF(T281=0,"",ROUND((X281-Z281)/T281*100,1))</f>
        <v/>
      </c>
      <c r="AD281" s="27" t="inlineStr">
        <is>
          <t>ESTIMATED</t>
        </is>
      </c>
      <c r="AE281" s="28" t="inlineStr">
        <is>
          <t>https://assistjud.com.br/wp-content/uploads/elementor/forms/65098c80a5824.pdf</t>
        </is>
      </c>
      <c r="AF281" s="27" t="inlineStr">
        <is>
          <t>p10 r6; p19 r9</t>
        </is>
      </c>
      <c r="AG281" s="27" t="inlineStr">
        <is>
          <t>p10: R$ 156.614,07; p19: R$ 504.810,46</t>
        </is>
      </c>
      <c r="AH281" s="27" t="inlineStr">
        <is>
          <t>AJ_LIST</t>
        </is>
      </c>
      <c r="AI281" s="27" t="inlineStr">
        <is>
          <t>2023-09-18</t>
        </is>
      </c>
      <c r="AJ281" s="27" t="inlineStr">
        <is>
          <t>OK_NO_TOTALS</t>
        </is>
      </c>
      <c r="AK281" s="29" t="inlineStr">
        <is>
          <t>8005129-09.2023.8.05.0039</t>
        </is>
      </c>
      <c r="AL281" s="29" t="inlineStr">
        <is>
          <t>TJBA</t>
        </is>
      </c>
      <c r="AM281" s="29" t="inlineStr">
        <is>
          <t>ACTIVE</t>
        </is>
      </c>
      <c r="AN281" s="29" t="n">
        <v>2023</v>
      </c>
      <c r="AO281" s="29" t="inlineStr">
        <is>
          <t>live case, no plan document yet</t>
        </is>
      </c>
      <c r="AP281" s="29" t="inlineStr">
        <is>
          <t>SAO PAULO</t>
        </is>
      </c>
      <c r="AQ281" s="29" t="inlineStr">
        <is>
          <t>SP</t>
        </is>
      </c>
      <c r="AR281" s="29" t="inlineStr">
        <is>
          <t>Fundos de investimento, exceto previdenciários e imobiliários</t>
        </is>
      </c>
      <c r="AS281" s="29" t="inlineStr">
        <is>
          <t>DEMAIS</t>
        </is>
      </c>
      <c r="AT281" s="29" t="inlineStr">
        <is>
          <t>MID-MARKET</t>
        </is>
      </c>
      <c r="AU281" s="29" t="inlineStr">
        <is>
          <t>26506898</t>
        </is>
      </c>
      <c r="AV281" s="29" t="n">
        <v>2</v>
      </c>
      <c r="AW281" s="29" t="inlineStr">
        <is>
          <t>ROWS:p10r6,p19r9 UNRECONCILED_SOURCE</t>
        </is>
      </c>
    </row>
    <row r="282">
      <c r="A282" s="15" t="inlineStr">
        <is>
          <t>BOCOM BBM CORPORATE CREDIT FIF - CLASSE DE INVESTIMENTO RF CRED PRIV - RESP LIMITADA</t>
        </is>
      </c>
      <c r="B282" s="16" t="n">
        <v>1031462.76</v>
      </c>
      <c r="C282" s="17" t="inlineStr"/>
      <c r="D282" s="18" t="inlineStr">
        <is>
          <t>NEW</t>
        </is>
      </c>
      <c r="E282" s="19" t="inlineStr"/>
      <c r="F282" s="18" t="inlineStr"/>
      <c r="G282" s="19" t="inlineStr"/>
      <c r="H282" s="18" t="inlineStr"/>
      <c r="I282" s="20" t="inlineStr"/>
      <c r="J282" s="20" t="inlineStr"/>
      <c r="K282" s="20" t="inlineStr">
        <is>
          <t>(11) 3684-5122</t>
        </is>
      </c>
      <c r="L282" s="20" t="inlineStr"/>
      <c r="M282" s="20" t="inlineStr"/>
      <c r="N282" s="20" t="inlineStr"/>
      <c r="O282" s="20" t="inlineStr"/>
      <c r="P282" s="20" t="inlineStr"/>
      <c r="Q282" s="20" t="inlineStr"/>
      <c r="R282" s="20" t="inlineStr"/>
      <c r="S282" s="20" t="inlineStr"/>
      <c r="T282" s="21" t="n">
        <v>1031462.76</v>
      </c>
      <c r="U282" s="22" t="inlineStr">
        <is>
          <t>B</t>
        </is>
      </c>
      <c r="V282" s="23">
        <f>IFERROR(VLOOKUP(U282,Assumptions!$A$7:$D$11,2,FALSE),0)</f>
        <v/>
      </c>
      <c r="W282" s="24">
        <f>MAX(0.5,IFERROR(VLOOKUP(U282,Assumptions!$A$7:$D$11,3,FALSE),3)+IFERROR(VLOOKUP(U282,Assumptions!$A$7:$D$11,4,FALSE),8)/2-IF(AN282="",0,YEAR(TODAY())-AN282))</f>
        <v/>
      </c>
      <c r="X282" s="21">
        <f>T282*V282/(1+Assumptions!$B$3)^W282</f>
        <v/>
      </c>
      <c r="Y282" s="25">
        <f>IF(T282=0,"",ROUND(X282/T282*100,1))</f>
        <v/>
      </c>
      <c r="Z282" s="26">
        <f>X282*Assumptions!$B$4</f>
        <v/>
      </c>
      <c r="AA282" s="25">
        <f>IF(T282=0,"",ROUND(Z282/T282*100,1))</f>
        <v/>
      </c>
      <c r="AB282" s="26">
        <f>X282-Z282</f>
        <v/>
      </c>
      <c r="AC282" s="25">
        <f>IF(T282=0,"",ROUND((X282-Z282)/T282*100,1))</f>
        <v/>
      </c>
      <c r="AD282" s="27" t="inlineStr">
        <is>
          <t>UNKNOWN</t>
        </is>
      </c>
      <c r="AE282" s="28" t="inlineStr">
        <is>
          <t>https://credibilita.com.br/wp-content/uploads/2025/09/Relacao-Credores-29.04.2026.pdf</t>
        </is>
      </c>
      <c r="AF282" s="27" t="inlineStr">
        <is>
          <t>p1 r16</t>
        </is>
      </c>
      <c r="AG282" s="27" t="inlineStr">
        <is>
          <t>p1: R$ 1.031.462,76</t>
        </is>
      </c>
      <c r="AH282" s="27" t="inlineStr">
        <is>
          <t>UNKNOWN</t>
        </is>
      </c>
      <c r="AI282" s="27" t="inlineStr"/>
      <c r="AJ282" s="27" t="inlineStr">
        <is>
          <t>OK_NO_TOTALS</t>
        </is>
      </c>
      <c r="AK282" s="29" t="inlineStr">
        <is>
          <t>5057720-48.2025.8.24.0023</t>
        </is>
      </c>
      <c r="AL282" s="29" t="inlineStr">
        <is>
          <t>TJ</t>
        </is>
      </c>
      <c r="AM282" s="29" t="inlineStr"/>
      <c r="AN282" s="29" t="n">
        <v>2025</v>
      </c>
      <c r="AO282" s="29" t="inlineStr">
        <is>
          <t>live case, no plan document yet</t>
        </is>
      </c>
      <c r="AP282" s="29" t="inlineStr">
        <is>
          <t>OSASCO</t>
        </is>
      </c>
      <c r="AQ282" s="29" t="inlineStr">
        <is>
          <t>SP</t>
        </is>
      </c>
      <c r="AR282" s="29" t="inlineStr">
        <is>
          <t>Fundos de investimento, exceto previdenciários e imobiliários</t>
        </is>
      </c>
      <c r="AS282" s="29" t="inlineStr">
        <is>
          <t>DEMAIS</t>
        </is>
      </c>
      <c r="AT282" s="29" t="inlineStr">
        <is>
          <t>MID-MARKET</t>
        </is>
      </c>
      <c r="AU282" s="29" t="inlineStr">
        <is>
          <t>34799162</t>
        </is>
      </c>
      <c r="AV282" s="29" t="n">
        <v>1</v>
      </c>
      <c r="AW282" s="29" t="inlineStr">
        <is>
          <t>ROWS:p1r16 UNRECONCILED_SOURCE VALUE_COL:Valor_Após_Analise</t>
        </is>
      </c>
    </row>
    <row r="283">
      <c r="A283" s="15" t="inlineStr">
        <is>
          <t>INVISTA III FUNDO DE INVESTIMENTO EM DIREITOS CREDITORIOS - RESPONSABILIDADE LIMITADA</t>
        </is>
      </c>
      <c r="B283" s="16" t="n">
        <v>658063</v>
      </c>
      <c r="C283" s="17" t="inlineStr">
        <is>
          <t>Conduscabos Brasil Indústria Comércio de</t>
        </is>
      </c>
      <c r="D283" s="18" t="inlineStr">
        <is>
          <t>NEW</t>
        </is>
      </c>
      <c r="E283" s="19" t="inlineStr"/>
      <c r="F283" s="18" t="inlineStr"/>
      <c r="G283" s="19" t="inlineStr"/>
      <c r="H283" s="18" t="inlineStr"/>
      <c r="I283" s="20" t="inlineStr"/>
      <c r="J283" s="20" t="inlineStr"/>
      <c r="K283" s="20" t="inlineStr">
        <is>
          <t>(41) 3122-7300</t>
        </is>
      </c>
      <c r="L283" s="20" t="inlineStr"/>
      <c r="M283" s="20" t="inlineStr"/>
      <c r="N283" s="20" t="inlineStr"/>
      <c r="O283" s="20" t="inlineStr"/>
      <c r="P283" s="20" t="inlineStr"/>
      <c r="Q283" s="20" t="inlineStr"/>
      <c r="R283" s="20" t="inlineStr"/>
      <c r="S283" s="20" t="inlineStr"/>
      <c r="T283" s="21" t="n">
        <v>658063</v>
      </c>
      <c r="U283" s="22" t="inlineStr">
        <is>
          <t>B</t>
        </is>
      </c>
      <c r="V283" s="23">
        <f>IFERROR(VLOOKUP(U283,Assumptions!$A$7:$D$11,2,FALSE),0)</f>
        <v/>
      </c>
      <c r="W283" s="24">
        <f>MAX(0.5,IFERROR(VLOOKUP(U283,Assumptions!$A$7:$D$11,3,FALSE),3)+IFERROR(VLOOKUP(U283,Assumptions!$A$7:$D$11,4,FALSE),8)/2-IF(AN283="",0,YEAR(TODAY())-AN283))</f>
        <v/>
      </c>
      <c r="X283" s="21">
        <f>T283*V283/(1+Assumptions!$B$3)^W283</f>
        <v/>
      </c>
      <c r="Y283" s="25">
        <f>IF(T283=0,"",ROUND(X283/T283*100,1))</f>
        <v/>
      </c>
      <c r="Z283" s="26">
        <f>X283*Assumptions!$B$4</f>
        <v/>
      </c>
      <c r="AA283" s="25">
        <f>IF(T283=0,"",ROUND(Z283/T283*100,1))</f>
        <v/>
      </c>
      <c r="AB283" s="26">
        <f>X283-Z283</f>
        <v/>
      </c>
      <c r="AC283" s="25">
        <f>IF(T283=0,"",ROUND((X283-Z283)/T283*100,1))</f>
        <v/>
      </c>
      <c r="AD283" s="27" t="inlineStr">
        <is>
          <t>ESTIMATED</t>
        </is>
      </c>
      <c r="AE283" s="28" t="inlineStr">
        <is>
          <t>https://assistjud.com.br/wp-content/uploads/elementor/forms/65098c80a5824.pdf</t>
        </is>
      </c>
      <c r="AF283" s="27" t="inlineStr">
        <is>
          <t>p8 r2; p18 r4</t>
        </is>
      </c>
      <c r="AG283" s="27" t="inlineStr">
        <is>
          <t>p8: R$ 195.889,00; p18: R$ 462.174,00</t>
        </is>
      </c>
      <c r="AH283" s="27" t="inlineStr">
        <is>
          <t>AJ_LIST</t>
        </is>
      </c>
      <c r="AI283" s="27" t="inlineStr">
        <is>
          <t>2023-09-18</t>
        </is>
      </c>
      <c r="AJ283" s="27" t="inlineStr">
        <is>
          <t>OK_NO_TOTALS</t>
        </is>
      </c>
      <c r="AK283" s="29" t="inlineStr">
        <is>
          <t>8005129-09.2023.8.05.0039</t>
        </is>
      </c>
      <c r="AL283" s="29" t="inlineStr">
        <is>
          <t>TJBA</t>
        </is>
      </c>
      <c r="AM283" s="29" t="inlineStr">
        <is>
          <t>ACTIVE</t>
        </is>
      </c>
      <c r="AN283" s="29" t="n">
        <v>2023</v>
      </c>
      <c r="AO283" s="29" t="inlineStr">
        <is>
          <t>live case, no plan document yet</t>
        </is>
      </c>
      <c r="AP283" s="29" t="inlineStr">
        <is>
          <t>CURITIBA</t>
        </is>
      </c>
      <c r="AQ283" s="29" t="inlineStr">
        <is>
          <t>PR</t>
        </is>
      </c>
      <c r="AR283" s="29" t="inlineStr">
        <is>
          <t>Fundos de investimento, exceto previdenciários e imobiliários</t>
        </is>
      </c>
      <c r="AS283" s="29" t="inlineStr">
        <is>
          <t>DEMAIS</t>
        </is>
      </c>
      <c r="AT283" s="29" t="inlineStr">
        <is>
          <t>MID-MARKET</t>
        </is>
      </c>
      <c r="AU283" s="29" t="inlineStr">
        <is>
          <t>26489103</t>
        </is>
      </c>
      <c r="AV283" s="29" t="n">
        <v>2</v>
      </c>
      <c r="AW283" s="29" t="inlineStr">
        <is>
          <t>ROWS:p8r2,p18r4 UNRECONCILED_SOURCE</t>
        </is>
      </c>
    </row>
    <row r="284">
      <c r="A284" s="15" t="inlineStr">
        <is>
          <t>BANCO DAYCOVAL S.A.</t>
        </is>
      </c>
      <c r="B284" s="16" t="n">
        <v>809807.28</v>
      </c>
      <c r="C284" s="17" t="inlineStr">
        <is>
          <t>FRIGORIFICO ALFA INDUSTRIA E COMERCIO DE CARNES E DERIVADOS LTDA EM RECUPERACAO JUDICIAL</t>
        </is>
      </c>
      <c r="D284" s="18" t="inlineStr">
        <is>
          <t>NEW</t>
        </is>
      </c>
      <c r="E284" s="19" t="inlineStr"/>
      <c r="F284" s="18" t="inlineStr"/>
      <c r="G284" s="19" t="inlineStr"/>
      <c r="H284" s="18" t="inlineStr"/>
      <c r="I284" s="20" t="inlineStr">
        <is>
          <t>ADELY DAYAN HAMOUI</t>
        </is>
      </c>
      <c r="J284" s="20" t="inlineStr">
        <is>
          <t>Diretor</t>
        </is>
      </c>
      <c r="K284" s="20" t="inlineStr">
        <is>
          <t>(11) 3138-0500</t>
        </is>
      </c>
      <c r="L284" s="20" t="inlineStr"/>
      <c r="M284" s="20" t="inlineStr"/>
      <c r="N284" s="20" t="inlineStr"/>
      <c r="O284" s="20" t="inlineStr"/>
      <c r="P284" s="20" t="inlineStr">
        <is>
          <t>ALBERT ROUBEN</t>
        </is>
      </c>
      <c r="Q284" s="20" t="inlineStr">
        <is>
          <t>Diretor</t>
        </is>
      </c>
      <c r="R284" s="20" t="inlineStr">
        <is>
          <t>(11) 3138-0500</t>
        </is>
      </c>
      <c r="S284" s="20" t="inlineStr"/>
      <c r="T284" s="21" t="n">
        <v>809807.28</v>
      </c>
      <c r="U284" s="22" t="inlineStr">
        <is>
          <t>B</t>
        </is>
      </c>
      <c r="V284" s="23">
        <f>IFERROR(VLOOKUP(U284,Assumptions!$A$7:$D$11,2,FALSE),0)</f>
        <v/>
      </c>
      <c r="W284" s="24">
        <f>MAX(0.5,IFERROR(VLOOKUP(U284,Assumptions!$A$7:$D$11,3,FALSE),3)+IFERROR(VLOOKUP(U284,Assumptions!$A$7:$D$11,4,FALSE),8)/2-IF(AN284="",0,YEAR(TODAY())-AN284))</f>
        <v/>
      </c>
      <c r="X284" s="21">
        <f>T284*V284/(1+Assumptions!$B$3)^W284</f>
        <v/>
      </c>
      <c r="Y284" s="25">
        <f>IF(T284=0,"",ROUND(X284/T284*100,1))</f>
        <v/>
      </c>
      <c r="Z284" s="26">
        <f>X284*Assumptions!$B$4</f>
        <v/>
      </c>
      <c r="AA284" s="25">
        <f>IF(T284=0,"",ROUND(Z284/T284*100,1))</f>
        <v/>
      </c>
      <c r="AB284" s="26">
        <f>X284-Z284</f>
        <v/>
      </c>
      <c r="AC284" s="25">
        <f>IF(T284=0,"",ROUND((X284-Z284)/T284*100,1))</f>
        <v/>
      </c>
      <c r="AD284" s="27" t="inlineStr">
        <is>
          <t>ESTIMATED</t>
        </is>
      </c>
      <c r="AE284" s="28" t="inlineStr">
        <is>
          <t>https://vtladm.com.br/wp-content/uploads/2024/04/09-–-EDITAL-DE-CONVOCACAO-DE-CREDORES-–-Frigorifico-Alfa-Industria-e-Comercio-de-Carnes-e-Derivados-Ltda.-e-Ctx-Logistica-Transporte-E-Locacoes-Ltda.pdf</t>
        </is>
      </c>
      <c r="AF284" s="27" t="inlineStr">
        <is>
          <t>p1 r14</t>
        </is>
      </c>
      <c r="AG284" s="27" t="inlineStr">
        <is>
          <t>p1: R$ 809.807,28</t>
        </is>
      </c>
      <c r="AH284" s="27" t="inlineStr">
        <is>
          <t>AJ_LIST</t>
        </is>
      </c>
      <c r="AI284" s="27" t="inlineStr"/>
      <c r="AJ284" s="27" t="inlineStr">
        <is>
          <t>OK</t>
        </is>
      </c>
      <c r="AK284" s="29" t="inlineStr">
        <is>
          <t>1009827-02.2024.8.26.0576</t>
        </is>
      </c>
      <c r="AL284" s="29" t="inlineStr">
        <is>
          <t>TJSP</t>
        </is>
      </c>
      <c r="AM284" s="29" t="inlineStr">
        <is>
          <t>ACTIVE</t>
        </is>
      </c>
      <c r="AN284" s="29" t="n">
        <v>2024</v>
      </c>
      <c r="AO284" s="29" t="inlineStr">
        <is>
          <t>live case, no plan document yet</t>
        </is>
      </c>
      <c r="AP284" s="29" t="inlineStr">
        <is>
          <t>SAO PAULO</t>
        </is>
      </c>
      <c r="AQ284" s="29" t="inlineStr">
        <is>
          <t>SP</t>
        </is>
      </c>
      <c r="AR284" s="29" t="inlineStr">
        <is>
          <t>Bancos múltiplos, com carteira comercial</t>
        </is>
      </c>
      <c r="AS284" s="29" t="inlineStr">
        <is>
          <t>DEMAIS</t>
        </is>
      </c>
      <c r="AT284" s="29" t="inlineStr">
        <is>
          <t>LARGE CORP</t>
        </is>
      </c>
      <c r="AU284" s="29" t="inlineStr">
        <is>
          <t>62232889</t>
        </is>
      </c>
      <c r="AV284" s="29" t="n">
        <v>1</v>
      </c>
      <c r="AW284" s="29" t="inlineStr">
        <is>
          <t>LIKELY_FINANCIAL_BY_NAME ROWS:p1r14</t>
        </is>
      </c>
    </row>
    <row r="285">
      <c r="A285" s="15" t="inlineStr">
        <is>
          <t>BANCO C6 S.A.</t>
        </is>
      </c>
      <c r="B285" s="16" t="n">
        <v>1009368.3</v>
      </c>
      <c r="C285" s="17" t="inlineStr">
        <is>
          <t>ARRUDA &amp; MELO COMERCIO E DISTRIBUICAO DE ALIMENTOS E BEBIDAS LTDA</t>
        </is>
      </c>
      <c r="D285" s="18" t="inlineStr">
        <is>
          <t>NEW</t>
        </is>
      </c>
      <c r="E285" s="19" t="inlineStr"/>
      <c r="F285" s="18" t="inlineStr"/>
      <c r="G285" s="19" t="inlineStr"/>
      <c r="H285" s="18" t="inlineStr"/>
      <c r="I285" s="20" t="inlineStr">
        <is>
          <t>FERNANDO NOGUEIRA NOLASCO ASTOLFI</t>
        </is>
      </c>
      <c r="J285" s="20" t="inlineStr">
        <is>
          <t>Diretor</t>
        </is>
      </c>
      <c r="K285" s="20" t="inlineStr">
        <is>
          <t>(11) 2832-6000</t>
        </is>
      </c>
      <c r="L285" s="20" t="inlineStr"/>
      <c r="M285" s="20" t="inlineStr"/>
      <c r="N285" s="20" t="inlineStr"/>
      <c r="O285" s="20" t="inlineStr"/>
      <c r="P285" s="20" t="inlineStr">
        <is>
          <t>GUSTAVO CALDAS DA SILVA</t>
        </is>
      </c>
      <c r="Q285" s="20" t="inlineStr">
        <is>
          <t>Diretor</t>
        </is>
      </c>
      <c r="R285" s="20" t="inlineStr">
        <is>
          <t>(11) 2832-6000</t>
        </is>
      </c>
      <c r="S285" s="20" t="inlineStr"/>
      <c r="T285" s="21" t="n">
        <v>1009368.3</v>
      </c>
      <c r="U285" s="22" t="inlineStr">
        <is>
          <t>B</t>
        </is>
      </c>
      <c r="V285" s="23">
        <f>IFERROR(VLOOKUP(U285,Assumptions!$A$7:$D$11,2,FALSE),0)</f>
        <v/>
      </c>
      <c r="W285" s="24">
        <f>MAX(0.5,IFERROR(VLOOKUP(U285,Assumptions!$A$7:$D$11,3,FALSE),3)+IFERROR(VLOOKUP(U285,Assumptions!$A$7:$D$11,4,FALSE),8)/2-IF(AN285="",0,YEAR(TODAY())-AN285))</f>
        <v/>
      </c>
      <c r="X285" s="21">
        <f>T285*V285/(1+Assumptions!$B$3)^W285</f>
        <v/>
      </c>
      <c r="Y285" s="25">
        <f>IF(T285=0,"",ROUND(X285/T285*100,1))</f>
        <v/>
      </c>
      <c r="Z285" s="26">
        <f>X285*Assumptions!$B$4</f>
        <v/>
      </c>
      <c r="AA285" s="25">
        <f>IF(T285=0,"",ROUND(Z285/T285*100,1))</f>
        <v/>
      </c>
      <c r="AB285" s="26">
        <f>X285-Z285</f>
        <v/>
      </c>
      <c r="AC285" s="25">
        <f>IF(T285=0,"",ROUND((X285-Z285)/T285*100,1))</f>
        <v/>
      </c>
      <c r="AD285" s="27" t="inlineStr">
        <is>
          <t>ESTIMATED</t>
        </is>
      </c>
      <c r="AE285" s="28" t="inlineStr">
        <is>
          <t>https://diligence.adm.br/wp-content/uploads/2025/06/Edital-1a-Lista-de-Credores.pdf</t>
        </is>
      </c>
      <c r="AF285" s="27" t="inlineStr">
        <is>
          <t>p5 r65</t>
        </is>
      </c>
      <c r="AG285" s="27" t="inlineStr">
        <is>
          <t>p5: R$ 1.009.368,30</t>
        </is>
      </c>
      <c r="AH285" s="27" t="inlineStr">
        <is>
          <t>DEBTOR_LIST</t>
        </is>
      </c>
      <c r="AI285" s="27" t="inlineStr">
        <is>
          <t>2025-06-10</t>
        </is>
      </c>
      <c r="AJ285" s="27" t="inlineStr">
        <is>
          <t>OK</t>
        </is>
      </c>
      <c r="AK285" s="29" t="inlineStr">
        <is>
          <t>0008526-45.2025.8.17.2001</t>
        </is>
      </c>
      <c r="AL285" s="29" t="inlineStr">
        <is>
          <t>TJPE</t>
        </is>
      </c>
      <c r="AM285" s="29" t="inlineStr">
        <is>
          <t>ACTIVE</t>
        </is>
      </c>
      <c r="AN285" s="29" t="n">
        <v>2025</v>
      </c>
      <c r="AO285" s="29" t="inlineStr">
        <is>
          <t>live case, no plan document yet</t>
        </is>
      </c>
      <c r="AP285" s="29" t="inlineStr">
        <is>
          <t>SAO PAULO</t>
        </is>
      </c>
      <c r="AQ285" s="29" t="inlineStr">
        <is>
          <t>SP</t>
        </is>
      </c>
      <c r="AR285" s="29" t="inlineStr">
        <is>
          <t>Bancos múltiplos, com carteira comercial</t>
        </is>
      </c>
      <c r="AS285" s="29" t="inlineStr">
        <is>
          <t>DEMAIS</t>
        </is>
      </c>
      <c r="AT285" s="29" t="inlineStr">
        <is>
          <t>LARGE CORP</t>
        </is>
      </c>
      <c r="AU285" s="29" t="inlineStr">
        <is>
          <t>31872495</t>
        </is>
      </c>
      <c r="AV285" s="29" t="n">
        <v>1</v>
      </c>
      <c r="AW285" s="29" t="inlineStr">
        <is>
          <t>LIKELY_FINANCIAL_BY_NAME ROWS:p5r65</t>
        </is>
      </c>
    </row>
    <row r="286">
      <c r="A286" s="15" t="inlineStr">
        <is>
          <t>BANCO DO BRASIL SA</t>
        </is>
      </c>
      <c r="B286" s="16" t="n">
        <v>802157.46</v>
      </c>
      <c r="C286" s="17" t="inlineStr">
        <is>
          <t>FRIGORIFICO ALFA INDUSTRIA E COMERCIO DE CARNES E DERIVADOS LTDA EM RECUPERACAO JUDICIAL</t>
        </is>
      </c>
      <c r="D286" s="18" t="inlineStr">
        <is>
          <t>NEW</t>
        </is>
      </c>
      <c r="E286" s="19" t="inlineStr"/>
      <c r="F286" s="18" t="inlineStr"/>
      <c r="G286" s="19" t="inlineStr"/>
      <c r="H286" s="18" t="inlineStr"/>
      <c r="I286" s="20" t="inlineStr">
        <is>
          <t>TARCIANA PAULA GOMES MEDEIROS</t>
        </is>
      </c>
      <c r="J286" s="20" t="inlineStr">
        <is>
          <t>Presidente</t>
        </is>
      </c>
      <c r="K286" s="20" t="inlineStr">
        <is>
          <t>(61) 3493-9002</t>
        </is>
      </c>
      <c r="L286" s="20" t="inlineStr"/>
      <c r="M286" s="20" t="inlineStr"/>
      <c r="N286" s="20" t="inlineStr"/>
      <c r="O286" s="20" t="inlineStr"/>
      <c r="P286" s="20" t="inlineStr">
        <is>
          <t>ALAN CARLOS GUEDES DE OLIVEIRA</t>
        </is>
      </c>
      <c r="Q286" s="20" t="inlineStr">
        <is>
          <t>Diretor</t>
        </is>
      </c>
      <c r="R286" s="20" t="inlineStr">
        <is>
          <t>(61) 3493-9002</t>
        </is>
      </c>
      <c r="S286" s="20" t="inlineStr"/>
      <c r="T286" s="21" t="n">
        <v>802157.46</v>
      </c>
      <c r="U286" s="22" t="inlineStr">
        <is>
          <t>B</t>
        </is>
      </c>
      <c r="V286" s="23">
        <f>IFERROR(VLOOKUP(U286,Assumptions!$A$7:$D$11,2,FALSE),0)</f>
        <v/>
      </c>
      <c r="W286" s="24">
        <f>MAX(0.5,IFERROR(VLOOKUP(U286,Assumptions!$A$7:$D$11,3,FALSE),3)+IFERROR(VLOOKUP(U286,Assumptions!$A$7:$D$11,4,FALSE),8)/2-IF(AN286="",0,YEAR(TODAY())-AN286))</f>
        <v/>
      </c>
      <c r="X286" s="21">
        <f>T286*V286/(1+Assumptions!$B$3)^W286</f>
        <v/>
      </c>
      <c r="Y286" s="25">
        <f>IF(T286=0,"",ROUND(X286/T286*100,1))</f>
        <v/>
      </c>
      <c r="Z286" s="26">
        <f>X286*Assumptions!$B$4</f>
        <v/>
      </c>
      <c r="AA286" s="25">
        <f>IF(T286=0,"",ROUND(Z286/T286*100,1))</f>
        <v/>
      </c>
      <c r="AB286" s="26">
        <f>X286-Z286</f>
        <v/>
      </c>
      <c r="AC286" s="25">
        <f>IF(T286=0,"",ROUND((X286-Z286)/T286*100,1))</f>
        <v/>
      </c>
      <c r="AD286" s="27" t="inlineStr">
        <is>
          <t>ESTIMATED</t>
        </is>
      </c>
      <c r="AE286" s="28" t="inlineStr">
        <is>
          <t>https://vtladm.com.br/wp-content/uploads/2024/04/09-–-EDITAL-DE-CONVOCACAO-DE-CREDORES-–-Frigorifico-Alfa-Industria-e-Comercio-de-Carnes-e-Derivados-Ltda.-e-Ctx-Logistica-Transporte-E-Locacoes-Ltda.pdf</t>
        </is>
      </c>
      <c r="AF286" s="27" t="inlineStr">
        <is>
          <t>p1 r15</t>
        </is>
      </c>
      <c r="AG286" s="27" t="inlineStr">
        <is>
          <t>p1: R$ 802.157,46</t>
        </is>
      </c>
      <c r="AH286" s="27" t="inlineStr">
        <is>
          <t>AJ_LIST</t>
        </is>
      </c>
      <c r="AI286" s="27" t="inlineStr"/>
      <c r="AJ286" s="27" t="inlineStr">
        <is>
          <t>OK</t>
        </is>
      </c>
      <c r="AK286" s="29" t="inlineStr">
        <is>
          <t>1009827-02.2024.8.26.0576</t>
        </is>
      </c>
      <c r="AL286" s="29" t="inlineStr">
        <is>
          <t>TJSP</t>
        </is>
      </c>
      <c r="AM286" s="29" t="inlineStr">
        <is>
          <t>ACTIVE</t>
        </is>
      </c>
      <c r="AN286" s="29" t="n">
        <v>2024</v>
      </c>
      <c r="AO286" s="29" t="inlineStr">
        <is>
          <t>live case, no plan document yet</t>
        </is>
      </c>
      <c r="AP286" s="29" t="inlineStr">
        <is>
          <t>BRASILIA</t>
        </is>
      </c>
      <c r="AQ286" s="29" t="inlineStr">
        <is>
          <t>DF</t>
        </is>
      </c>
      <c r="AR286" s="29" t="inlineStr">
        <is>
          <t>Bancos múltiplos, com carteira comercial</t>
        </is>
      </c>
      <c r="AS286" s="29" t="inlineStr">
        <is>
          <t>DEMAIS</t>
        </is>
      </c>
      <c r="AT286" s="29" t="inlineStr">
        <is>
          <t>LARGE CORP</t>
        </is>
      </c>
      <c r="AU286" s="29" t="inlineStr">
        <is>
          <t>00000000</t>
        </is>
      </c>
      <c r="AV286" s="29" t="n">
        <v>1</v>
      </c>
      <c r="AW286" s="29" t="inlineStr">
        <is>
          <t>ALT_VALUE:802.157,46 LIKELY_FINANCIAL_BY_NAME ROWS:p1r15</t>
        </is>
      </c>
    </row>
    <row r="287">
      <c r="A287" s="15" t="inlineStr">
        <is>
          <t>SICOOB ADMINISTRADORA DE CONSORCIOS LTDA</t>
        </is>
      </c>
      <c r="B287" s="16" t="n">
        <v>1000149.31</v>
      </c>
      <c r="C287" s="17" t="inlineStr">
        <is>
          <t>ATIVOS ADMINISTRAÇÃO JUDICIA</t>
        </is>
      </c>
      <c r="D287" s="18" t="inlineStr">
        <is>
          <t>NEW</t>
        </is>
      </c>
      <c r="E287" s="19" t="inlineStr"/>
      <c r="F287" s="18" t="inlineStr"/>
      <c r="G287" s="19" t="inlineStr"/>
      <c r="H287" s="18" t="inlineStr"/>
      <c r="I287" s="20" t="inlineStr"/>
      <c r="J287" s="20" t="inlineStr"/>
      <c r="K287" s="20" t="inlineStr"/>
      <c r="L287" s="20" t="inlineStr"/>
      <c r="M287" s="20" t="inlineStr"/>
      <c r="N287" s="20" t="inlineStr"/>
      <c r="O287" s="20" t="inlineStr"/>
      <c r="P287" s="20" t="inlineStr"/>
      <c r="Q287" s="20" t="inlineStr"/>
      <c r="R287" s="20" t="inlineStr"/>
      <c r="S287" s="20" t="inlineStr"/>
      <c r="T287" s="21" t="n">
        <v>1000149.31</v>
      </c>
      <c r="U287" s="22" t="inlineStr">
        <is>
          <t>B</t>
        </is>
      </c>
      <c r="V287" s="23">
        <f>IFERROR(VLOOKUP(U287,Assumptions!$A$7:$D$11,2,FALSE),0)</f>
        <v/>
      </c>
      <c r="W287" s="24">
        <f>MAX(0.5,IFERROR(VLOOKUP(U287,Assumptions!$A$7:$D$11,3,FALSE),3)+IFERROR(VLOOKUP(U287,Assumptions!$A$7:$D$11,4,FALSE),8)/2-IF(AN287="",0,YEAR(TODAY())-AN287))</f>
        <v/>
      </c>
      <c r="X287" s="21">
        <f>T287*V287/(1+Assumptions!$B$3)^W287</f>
        <v/>
      </c>
      <c r="Y287" s="25">
        <f>IF(T287=0,"",ROUND(X287/T287*100,1))</f>
        <v/>
      </c>
      <c r="Z287" s="26">
        <f>X287*Assumptions!$B$4</f>
        <v/>
      </c>
      <c r="AA287" s="25">
        <f>IF(T287=0,"",ROUND(Z287/T287*100,1))</f>
        <v/>
      </c>
      <c r="AB287" s="26">
        <f>X287-Z287</f>
        <v/>
      </c>
      <c r="AC287" s="25">
        <f>IF(T287=0,"",ROUND((X287-Z287)/T287*100,1))</f>
        <v/>
      </c>
      <c r="AD287" s="27" t="inlineStr">
        <is>
          <t>ESTIMATED</t>
        </is>
      </c>
      <c r="AE287" s="28" t="inlineStr">
        <is>
          <t>https://ativosajce.com.br/admin/download.php?file=files/processo_documento/processo_documento13422625032025_1_.pdf&amp;nome=Relação de Credores - Art. 52º § 1º, da Lei nº 11.101/2005 - 25/02/2025</t>
        </is>
      </c>
      <c r="AF287" s="27" t="inlineStr">
        <is>
          <t>p5 r3; p5 r4; p5 r5; p5 r6; p5 r7; p5 r8; p5 r9; p5 r10; p5 r11; p5 r12; p5 r13; p5 r14; p5 r15; p5 r16; p5 r17; p5 r18; p5 r19; p5 r20; p5 r21; p5 r22</t>
        </is>
      </c>
      <c r="AG287" s="27" t="inlineStr">
        <is>
          <t>p5: R$ 5.049,41; p5: R$ 5.099,90; p5: R$ 5.099,90; p5: R$ 5.099,90; p5: R$ 5.099,90; p5: R$ 5.099,90; p5: R$ 5.099,90; p5: R$ 5.099,90; p5: R$ 5.099,90; p5: R$ 5.099,90; p5: R$ 5.099,90; p5: R$ 5.099,90; p5: R$ 5.099,90; p5: R$ 5.099,90; p5: R$ 5.099,90; p5: R$ 5.099,90; p5: R$ 5.099,90; p5: R$ 5.099,90; p5: R$ 5.099,90; p5: R$ 990.000,00</t>
        </is>
      </c>
      <c r="AH287" s="27" t="inlineStr">
        <is>
          <t>UNKNOWN</t>
        </is>
      </c>
      <c r="AI287" s="27" t="inlineStr">
        <is>
          <t>2025-02-28</t>
        </is>
      </c>
      <c r="AJ287" s="27" t="inlineStr">
        <is>
          <t>OK_NO_TOTALS</t>
        </is>
      </c>
      <c r="AK287" s="29" t="inlineStr">
        <is>
          <t>1000119-75.2025.8.26.0354</t>
        </is>
      </c>
      <c r="AL287" s="29" t="inlineStr">
        <is>
          <t>TJSP</t>
        </is>
      </c>
      <c r="AM287" s="29" t="inlineStr">
        <is>
          <t>ACTIVE</t>
        </is>
      </c>
      <c r="AN287" s="29" t="n">
        <v>2025</v>
      </c>
      <c r="AO287" s="29" t="inlineStr">
        <is>
          <t>live case, no plan document yet</t>
        </is>
      </c>
      <c r="AP287" s="29" t="inlineStr"/>
      <c r="AQ287" s="29" t="inlineStr"/>
      <c r="AR287" s="29" t="inlineStr"/>
      <c r="AS287" s="29" t="inlineStr"/>
      <c r="AT287" s="29" t="inlineStr">
        <is>
          <t>MID-MARKET</t>
        </is>
      </c>
      <c r="AU287" s="29" t="inlineStr">
        <is>
          <t>16551061</t>
        </is>
      </c>
      <c r="AV287" s="29" t="n">
        <v>3</v>
      </c>
      <c r="AW287" s="29" t="inlineStr">
        <is>
          <t>LIKELY_FINANCIAL_BY_NAME ROWS:p5r3,p5r4,p5r22 UNRECONCILED_SOURCE</t>
        </is>
      </c>
    </row>
    <row r="288">
      <c r="A288" s="15" t="inlineStr">
        <is>
          <t>ITAU UNIBANCO S.A.</t>
        </is>
      </c>
      <c r="B288" s="16" t="n">
        <v>796319.5699999999</v>
      </c>
      <c r="C288" s="17" t="inlineStr">
        <is>
          <t>IMOBI DESENVOLVIMENTO URBANO LTDA - EM RECUPERACAO JUDICIAL</t>
        </is>
      </c>
      <c r="D288" s="18" t="inlineStr">
        <is>
          <t>NEW</t>
        </is>
      </c>
      <c r="E288" s="19" t="inlineStr"/>
      <c r="F288" s="18" t="inlineStr"/>
      <c r="G288" s="19" t="inlineStr"/>
      <c r="H288" s="18" t="inlineStr"/>
      <c r="I288" s="20" t="inlineStr">
        <is>
          <t>FELIPE SAMPAIO NABUCO</t>
        </is>
      </c>
      <c r="J288" s="20" t="inlineStr">
        <is>
          <t>Administrador</t>
        </is>
      </c>
      <c r="K288" s="20" t="inlineStr">
        <is>
          <t>(11) 3003-4828</t>
        </is>
      </c>
      <c r="L288" s="20" t="inlineStr"/>
      <c r="M288" s="20" t="inlineStr"/>
      <c r="N288" s="20" t="inlineStr"/>
      <c r="O288" s="20" t="inlineStr"/>
      <c r="P288" s="20" t="inlineStr">
        <is>
          <t>MILTON MALUHY FILHO</t>
        </is>
      </c>
      <c r="Q288" s="20" t="inlineStr">
        <is>
          <t>Presidente</t>
        </is>
      </c>
      <c r="R288" s="20" t="inlineStr">
        <is>
          <t>(11) 3003-4828</t>
        </is>
      </c>
      <c r="S288" s="20" t="inlineStr"/>
      <c r="T288" s="21" t="n">
        <v>796319.5699999999</v>
      </c>
      <c r="U288" s="22" t="inlineStr">
        <is>
          <t>B</t>
        </is>
      </c>
      <c r="V288" s="23">
        <f>IFERROR(VLOOKUP(U288,Assumptions!$A$7:$D$11,2,FALSE),0)</f>
        <v/>
      </c>
      <c r="W288" s="24">
        <f>MAX(0.5,IFERROR(VLOOKUP(U288,Assumptions!$A$7:$D$11,3,FALSE),3)+IFERROR(VLOOKUP(U288,Assumptions!$A$7:$D$11,4,FALSE),8)/2-IF(AN288="",0,YEAR(TODAY())-AN288))</f>
        <v/>
      </c>
      <c r="X288" s="21">
        <f>T288*V288/(1+Assumptions!$B$3)^W288</f>
        <v/>
      </c>
      <c r="Y288" s="25">
        <f>IF(T288=0,"",ROUND(X288/T288*100,1))</f>
        <v/>
      </c>
      <c r="Z288" s="26">
        <f>X288*Assumptions!$B$4</f>
        <v/>
      </c>
      <c r="AA288" s="25">
        <f>IF(T288=0,"",ROUND(Z288/T288*100,1))</f>
        <v/>
      </c>
      <c r="AB288" s="26">
        <f>X288-Z288</f>
        <v/>
      </c>
      <c r="AC288" s="25">
        <f>IF(T288=0,"",ROUND((X288-Z288)/T288*100,1))</f>
        <v/>
      </c>
      <c r="AD288" s="27" t="inlineStr">
        <is>
          <t>ESTIMATED</t>
        </is>
      </c>
      <c r="AE288" s="28" t="inlineStr">
        <is>
          <t>https://lrflideres.com.br/wp-content/plugins/download-attachments/includes/download.php?id=6273</t>
        </is>
      </c>
      <c r="AF288" s="27" t="inlineStr">
        <is>
          <t>p5 r2</t>
        </is>
      </c>
      <c r="AG288" s="27" t="inlineStr">
        <is>
          <t>p5: R$ 796.319,57</t>
        </is>
      </c>
      <c r="AH288" s="27" t="inlineStr">
        <is>
          <t>AJ_LIST</t>
        </is>
      </c>
      <c r="AI288" s="27" t="inlineStr">
        <is>
          <t>2024-11-14</t>
        </is>
      </c>
      <c r="AJ288" s="27" t="inlineStr">
        <is>
          <t>OK</t>
        </is>
      </c>
      <c r="AK288" s="29" t="inlineStr">
        <is>
          <t>0074500-63.2024.8.17.2001</t>
        </is>
      </c>
      <c r="AL288" s="29" t="inlineStr">
        <is>
          <t>TJPE</t>
        </is>
      </c>
      <c r="AM288" s="29" t="inlineStr">
        <is>
          <t>ACTIVE</t>
        </is>
      </c>
      <c r="AN288" s="29" t="n">
        <v>2024</v>
      </c>
      <c r="AO288" s="29" t="inlineStr">
        <is>
          <t>live case, no plan document yet</t>
        </is>
      </c>
      <c r="AP288" s="29" t="inlineStr">
        <is>
          <t>SAO PAULO</t>
        </is>
      </c>
      <c r="AQ288" s="29" t="inlineStr">
        <is>
          <t>SP</t>
        </is>
      </c>
      <c r="AR288" s="29" t="inlineStr">
        <is>
          <t>Bancos comerciais</t>
        </is>
      </c>
      <c r="AS288" s="29" t="inlineStr">
        <is>
          <t>DEMAIS</t>
        </is>
      </c>
      <c r="AT288" s="29" t="inlineStr">
        <is>
          <t>LARGE CORP</t>
        </is>
      </c>
      <c r="AU288" s="29" t="inlineStr">
        <is>
          <t>60701190</t>
        </is>
      </c>
      <c r="AV288" s="29" t="n">
        <v>1</v>
      </c>
      <c r="AW288" s="29" t="inlineStr">
        <is>
          <t>LIKELY_FINANCIAL_BY_NAME ROWS:p5r2</t>
        </is>
      </c>
    </row>
    <row r="289">
      <c r="A289" s="15" t="inlineStr">
        <is>
          <t>BANCO ABC BRASIL S.A.</t>
        </is>
      </c>
      <c r="B289" s="16" t="n">
        <v>991010.33</v>
      </c>
      <c r="C289" s="17" t="inlineStr">
        <is>
          <t>ATIVOS ADMINISTRAÇÃO JUDICIA</t>
        </is>
      </c>
      <c r="D289" s="18" t="inlineStr">
        <is>
          <t>NEW</t>
        </is>
      </c>
      <c r="E289" s="19" t="inlineStr"/>
      <c r="F289" s="18" t="inlineStr"/>
      <c r="G289" s="19" t="inlineStr"/>
      <c r="H289" s="18" t="inlineStr"/>
      <c r="I289" s="20" t="inlineStr">
        <is>
          <t>SERGIO LULIA JACOB</t>
        </is>
      </c>
      <c r="J289" s="20" t="inlineStr">
        <is>
          <t>Presidente</t>
        </is>
      </c>
      <c r="K289" s="20" t="inlineStr">
        <is>
          <t>(11) 3170-2000</t>
        </is>
      </c>
      <c r="L289" s="20" t="inlineStr"/>
      <c r="M289" s="20" t="inlineStr"/>
      <c r="N289" s="20" t="inlineStr"/>
      <c r="O289" s="20" t="inlineStr"/>
      <c r="P289" s="20" t="inlineStr">
        <is>
          <t>ADRIANA FERNANDES PERES</t>
        </is>
      </c>
      <c r="Q289" s="20" t="inlineStr">
        <is>
          <t>Diretor</t>
        </is>
      </c>
      <c r="R289" s="20" t="inlineStr">
        <is>
          <t>(11) 3170-2000</t>
        </is>
      </c>
      <c r="S289" s="20" t="inlineStr"/>
      <c r="T289" s="21" t="n">
        <v>991010.33</v>
      </c>
      <c r="U289" s="22" t="inlineStr">
        <is>
          <t>B</t>
        </is>
      </c>
      <c r="V289" s="23">
        <f>IFERROR(VLOOKUP(U289,Assumptions!$A$7:$D$11,2,FALSE),0)</f>
        <v/>
      </c>
      <c r="W289" s="24">
        <f>MAX(0.5,IFERROR(VLOOKUP(U289,Assumptions!$A$7:$D$11,3,FALSE),3)+IFERROR(VLOOKUP(U289,Assumptions!$A$7:$D$11,4,FALSE),8)/2-IF(AN289="",0,YEAR(TODAY())-AN289))</f>
        <v/>
      </c>
      <c r="X289" s="21">
        <f>T289*V289/(1+Assumptions!$B$3)^W289</f>
        <v/>
      </c>
      <c r="Y289" s="25">
        <f>IF(T289=0,"",ROUND(X289/T289*100,1))</f>
        <v/>
      </c>
      <c r="Z289" s="26">
        <f>X289*Assumptions!$B$4</f>
        <v/>
      </c>
      <c r="AA289" s="25">
        <f>IF(T289=0,"",ROUND(Z289/T289*100,1))</f>
        <v/>
      </c>
      <c r="AB289" s="26">
        <f>X289-Z289</f>
        <v/>
      </c>
      <c r="AC289" s="25">
        <f>IF(T289=0,"",ROUND((X289-Z289)/T289*100,1))</f>
        <v/>
      </c>
      <c r="AD289" s="27" t="inlineStr">
        <is>
          <t>ESTIMATED</t>
        </is>
      </c>
      <c r="AE289" s="28" t="inlineStr">
        <is>
          <t>https://ativosajce.com.br/admin/download.php?file=files/processo_documento/processo_documento13422625032025_1_.pdf&amp;nome=Relação de Credores - Art. 52º § 1º, da Lei nº 11.101/2005 - 25/02/2025</t>
        </is>
      </c>
      <c r="AF289" s="27" t="inlineStr">
        <is>
          <t>p3 r15</t>
        </is>
      </c>
      <c r="AG289" s="27" t="inlineStr">
        <is>
          <t>p3: R$ 991.010,33</t>
        </is>
      </c>
      <c r="AH289" s="27" t="inlineStr">
        <is>
          <t>UNKNOWN</t>
        </is>
      </c>
      <c r="AI289" s="27" t="inlineStr">
        <is>
          <t>2025-02-28</t>
        </is>
      </c>
      <c r="AJ289" s="27" t="inlineStr">
        <is>
          <t>OK_NO_TOTALS</t>
        </is>
      </c>
      <c r="AK289" s="29" t="inlineStr">
        <is>
          <t>1000119-75.2025.8.26.0354</t>
        </is>
      </c>
      <c r="AL289" s="29" t="inlineStr">
        <is>
          <t>TJSP</t>
        </is>
      </c>
      <c r="AM289" s="29" t="inlineStr">
        <is>
          <t>ACTIVE</t>
        </is>
      </c>
      <c r="AN289" s="29" t="n">
        <v>2025</v>
      </c>
      <c r="AO289" s="29" t="inlineStr">
        <is>
          <t>live case, no plan document yet</t>
        </is>
      </c>
      <c r="AP289" s="29" t="inlineStr">
        <is>
          <t>SAO PAULO</t>
        </is>
      </c>
      <c r="AQ289" s="29" t="inlineStr">
        <is>
          <t>SP</t>
        </is>
      </c>
      <c r="AR289" s="29" t="inlineStr">
        <is>
          <t>Bancos múltiplos, com carteira comercial</t>
        </is>
      </c>
      <c r="AS289" s="29" t="inlineStr">
        <is>
          <t>DEMAIS</t>
        </is>
      </c>
      <c r="AT289" s="29" t="inlineStr">
        <is>
          <t>LARGE CORP</t>
        </is>
      </c>
      <c r="AU289" s="29" t="inlineStr">
        <is>
          <t>28195667</t>
        </is>
      </c>
      <c r="AV289" s="29" t="n">
        <v>1</v>
      </c>
      <c r="AW289" s="29" t="inlineStr">
        <is>
          <t>LIKELY_FINANCIAL_BY_NAME ROWS:p3r15 UNRECONCILED_SOURCE</t>
        </is>
      </c>
    </row>
    <row r="290">
      <c r="A290" s="15" t="inlineStr">
        <is>
          <t>ITAU UNIBANCO S.A.</t>
        </is>
      </c>
      <c r="B290" s="16" t="n">
        <v>623067.28</v>
      </c>
      <c r="C290" s="17" t="inlineStr"/>
      <c r="D290" s="18" t="inlineStr">
        <is>
          <t>NEW</t>
        </is>
      </c>
      <c r="E290" s="19" t="inlineStr"/>
      <c r="F290" s="18" t="inlineStr"/>
      <c r="G290" s="19" t="inlineStr"/>
      <c r="H290" s="18" t="inlineStr"/>
      <c r="I290" s="20" t="inlineStr">
        <is>
          <t>FELIPE SAMPAIO NABUCO</t>
        </is>
      </c>
      <c r="J290" s="20" t="inlineStr">
        <is>
          <t>Administrador</t>
        </is>
      </c>
      <c r="K290" s="20" t="inlineStr">
        <is>
          <t>(11) 3003-4828</t>
        </is>
      </c>
      <c r="L290" s="20" t="inlineStr"/>
      <c r="M290" s="20" t="inlineStr"/>
      <c r="N290" s="20" t="inlineStr"/>
      <c r="O290" s="20" t="inlineStr"/>
      <c r="P290" s="20" t="inlineStr">
        <is>
          <t>MILTON MALUHY FILHO</t>
        </is>
      </c>
      <c r="Q290" s="20" t="inlineStr">
        <is>
          <t>Presidente</t>
        </is>
      </c>
      <c r="R290" s="20" t="inlineStr">
        <is>
          <t>(11) 3003-4828</t>
        </is>
      </c>
      <c r="S290" s="20" t="inlineStr"/>
      <c r="T290" s="21" t="n">
        <v>623067.28</v>
      </c>
      <c r="U290" s="22" t="inlineStr">
        <is>
          <t>B</t>
        </is>
      </c>
      <c r="V290" s="23">
        <f>IFERROR(VLOOKUP(U290,Assumptions!$A$7:$D$11,2,FALSE),0)</f>
        <v/>
      </c>
      <c r="W290" s="24">
        <f>MAX(0.5,IFERROR(VLOOKUP(U290,Assumptions!$A$7:$D$11,3,FALSE),3)+IFERROR(VLOOKUP(U290,Assumptions!$A$7:$D$11,4,FALSE),8)/2-IF(AN290="",0,YEAR(TODAY())-AN290))</f>
        <v/>
      </c>
      <c r="X290" s="21">
        <f>T290*V290/(1+Assumptions!$B$3)^W290</f>
        <v/>
      </c>
      <c r="Y290" s="25">
        <f>IF(T290=0,"",ROUND(X290/T290*100,1))</f>
        <v/>
      </c>
      <c r="Z290" s="26">
        <f>X290*Assumptions!$B$4</f>
        <v/>
      </c>
      <c r="AA290" s="25">
        <f>IF(T290=0,"",ROUND(Z290/T290*100,1))</f>
        <v/>
      </c>
      <c r="AB290" s="26">
        <f>X290-Z290</f>
        <v/>
      </c>
      <c r="AC290" s="25">
        <f>IF(T290=0,"",ROUND((X290-Z290)/T290*100,1))</f>
        <v/>
      </c>
      <c r="AD290" s="27" t="inlineStr">
        <is>
          <t>ESTIMATED</t>
        </is>
      </c>
      <c r="AE290" s="28" t="inlineStr">
        <is>
          <t>https://cataliseaj.com.br/sgc/download.php?file=files/processo_documento/processo_documento15092204102024_1_.pdf&amp;nome=02. RELAÇÃO DE CREDORES</t>
        </is>
      </c>
      <c r="AF290" s="27" t="inlineStr">
        <is>
          <t>p2 r14</t>
        </is>
      </c>
      <c r="AG290" s="27" t="inlineStr">
        <is>
          <t>p2: R$ 623.067,28</t>
        </is>
      </c>
      <c r="AH290" s="27" t="inlineStr">
        <is>
          <t>DEBTOR_LIST</t>
        </is>
      </c>
      <c r="AI290" s="27" t="inlineStr"/>
      <c r="AJ290" s="27" t="inlineStr">
        <is>
          <t>OK_NO_TOTALS</t>
        </is>
      </c>
      <c r="AK290" s="29" t="inlineStr">
        <is>
          <t>5011460-87.2023.8.24.0020</t>
        </is>
      </c>
      <c r="AL290" s="29" t="inlineStr">
        <is>
          <t>TJSC</t>
        </is>
      </c>
      <c r="AM290" s="29" t="inlineStr">
        <is>
          <t>ACTIVE</t>
        </is>
      </c>
      <c r="AN290" s="29" t="n">
        <v>2023</v>
      </c>
      <c r="AO290" s="29" t="inlineStr">
        <is>
          <t>live case, no plan document yet</t>
        </is>
      </c>
      <c r="AP290" s="29" t="inlineStr">
        <is>
          <t>SAO PAULO</t>
        </is>
      </c>
      <c r="AQ290" s="29" t="inlineStr">
        <is>
          <t>SP</t>
        </is>
      </c>
      <c r="AR290" s="29" t="inlineStr">
        <is>
          <t>Bancos comerciais</t>
        </is>
      </c>
      <c r="AS290" s="29" t="inlineStr">
        <is>
          <t>DEMAIS</t>
        </is>
      </c>
      <c r="AT290" s="29" t="inlineStr">
        <is>
          <t>LARGE CORP</t>
        </is>
      </c>
      <c r="AU290" s="29" t="inlineStr">
        <is>
          <t>60701190</t>
        </is>
      </c>
      <c r="AV290" s="29" t="n">
        <v>1</v>
      </c>
      <c r="AW290" s="29" t="inlineStr">
        <is>
          <t>ROWS:p2r14 UNRECONCILED_SOURCE</t>
        </is>
      </c>
    </row>
    <row r="291">
      <c r="A291" s="15" t="inlineStr">
        <is>
          <t>Rnx Fundo De Investimento Em Direitos Creditorios Multissetorial</t>
        </is>
      </c>
      <c r="B291" s="16" t="n">
        <v>606780</v>
      </c>
      <c r="C291" s="17" t="inlineStr">
        <is>
          <t>ADVOCACIA WANDERLEI DE PAULA BARRETO</t>
        </is>
      </c>
      <c r="D291" s="18" t="inlineStr">
        <is>
          <t>NEW</t>
        </is>
      </c>
      <c r="E291" s="19" t="inlineStr"/>
      <c r="F291" s="18" t="inlineStr"/>
      <c r="G291" s="19" t="inlineStr"/>
      <c r="H291" s="18" t="inlineStr"/>
      <c r="I291" s="20" t="inlineStr"/>
      <c r="J291" s="20" t="inlineStr"/>
      <c r="K291" s="20" t="inlineStr"/>
      <c r="L291" s="20" t="inlineStr"/>
      <c r="M291" s="20" t="inlineStr"/>
      <c r="N291" s="20" t="inlineStr"/>
      <c r="O291" s="20" t="inlineStr"/>
      <c r="P291" s="20" t="inlineStr"/>
      <c r="Q291" s="20" t="inlineStr"/>
      <c r="R291" s="20" t="inlineStr"/>
      <c r="S291" s="20" t="inlineStr"/>
      <c r="T291" s="21" t="n">
        <v>606780</v>
      </c>
      <c r="U291" s="22" t="inlineStr">
        <is>
          <t>B</t>
        </is>
      </c>
      <c r="V291" s="23">
        <f>IFERROR(VLOOKUP(U291,Assumptions!$A$7:$D$11,2,FALSE),0)</f>
        <v/>
      </c>
      <c r="W291" s="24">
        <f>MAX(0.5,IFERROR(VLOOKUP(U291,Assumptions!$A$7:$D$11,3,FALSE),3)+IFERROR(VLOOKUP(U291,Assumptions!$A$7:$D$11,4,FALSE),8)/2-IF(AN291="",0,YEAR(TODAY())-AN291))</f>
        <v/>
      </c>
      <c r="X291" s="21">
        <f>T291*V291/(1+Assumptions!$B$3)^W291</f>
        <v/>
      </c>
      <c r="Y291" s="25">
        <f>IF(T291=0,"",ROUND(X291/T291*100,1))</f>
        <v/>
      </c>
      <c r="Z291" s="26">
        <f>X291*Assumptions!$B$4</f>
        <v/>
      </c>
      <c r="AA291" s="25">
        <f>IF(T291=0,"",ROUND(Z291/T291*100,1))</f>
        <v/>
      </c>
      <c r="AB291" s="26">
        <f>X291-Z291</f>
        <v/>
      </c>
      <c r="AC291" s="25">
        <f>IF(T291=0,"",ROUND((X291-Z291)/T291*100,1))</f>
        <v/>
      </c>
      <c r="AD291" s="27" t="inlineStr">
        <is>
          <t>ESTIMATED</t>
        </is>
      </c>
      <c r="AE291" s="28" t="inlineStr">
        <is>
          <t>https://marquesadmjudicial.com.br/sgc/download.php?file=files/processo_documento/processo_documento17040729052024_1_.pdf&amp;nome=Relação Nominal de Credores AJ-Sintética</t>
        </is>
      </c>
      <c r="AF291" s="27" t="inlineStr">
        <is>
          <t>p12 r15</t>
        </is>
      </c>
      <c r="AG291" s="27" t="inlineStr">
        <is>
          <t>p12: R$ 606.780,00</t>
        </is>
      </c>
      <c r="AH291" s="27" t="inlineStr">
        <is>
          <t>AJ_LIST</t>
        </is>
      </c>
      <c r="AI291" s="27" t="inlineStr">
        <is>
          <t>2024-05-27</t>
        </is>
      </c>
      <c r="AJ291" s="27" t="inlineStr">
        <is>
          <t>QUARANTINED</t>
        </is>
      </c>
      <c r="AK291" s="29" t="inlineStr">
        <is>
          <t>0003971-03.2023.8.16.0119</t>
        </is>
      </c>
      <c r="AL291" s="29" t="inlineStr">
        <is>
          <t>TJPR</t>
        </is>
      </c>
      <c r="AM291" s="29" t="inlineStr">
        <is>
          <t>ACTIVE</t>
        </is>
      </c>
      <c r="AN291" s="29" t="n">
        <v>2023</v>
      </c>
      <c r="AO291" s="29" t="inlineStr">
        <is>
          <t>live case, no plan document yet</t>
        </is>
      </c>
      <c r="AP291" s="29" t="inlineStr"/>
      <c r="AQ291" s="29" t="inlineStr"/>
      <c r="AR291" s="29" t="inlineStr"/>
      <c r="AS291" s="29" t="inlineStr"/>
      <c r="AT291" s="29" t="inlineStr">
        <is>
          <t>MID-MARKET</t>
        </is>
      </c>
      <c r="AU291" s="29" t="inlineStr">
        <is>
          <t>12813212</t>
        </is>
      </c>
      <c r="AV291" s="29" t="n">
        <v>1</v>
      </c>
      <c r="AW291" s="29" t="inlineStr">
        <is>
          <t>LIKELY_FINANCIAL_BY_NAME PARTIAL_DOC_CLASS_III_RECONCILED ROWS:p12r15</t>
        </is>
      </c>
    </row>
    <row r="292">
      <c r="A292" s="15" t="inlineStr">
        <is>
          <t>BANCO BRADESCO S.A.</t>
        </is>
      </c>
      <c r="B292" s="16" t="n">
        <v>947813.16</v>
      </c>
      <c r="C292" s="17" t="inlineStr">
        <is>
          <t>GRUPO CASAS BAHIA S.A.</t>
        </is>
      </c>
      <c r="D292" s="18" t="inlineStr">
        <is>
          <t>NEW</t>
        </is>
      </c>
      <c r="E292" s="19" t="inlineStr"/>
      <c r="F292" s="18" t="inlineStr"/>
      <c r="G292" s="19" t="inlineStr"/>
      <c r="H292" s="18" t="inlineStr"/>
      <c r="I292" s="20" t="inlineStr">
        <is>
          <t>MARCELO DE ARAUJO NORONHA</t>
        </is>
      </c>
      <c r="J292" s="20" t="inlineStr">
        <is>
          <t>Presidente</t>
        </is>
      </c>
      <c r="K292" s="20" t="inlineStr">
        <is>
          <t>(11) 3684-5122</t>
        </is>
      </c>
      <c r="L292" s="20" t="inlineStr"/>
      <c r="M292" s="20" t="inlineStr"/>
      <c r="N292" s="20" t="inlineStr"/>
      <c r="O292" s="20" t="inlineStr"/>
      <c r="P292" s="20" t="inlineStr">
        <is>
          <t>AFRANIO CARLOS CAMARGO DANTZGER</t>
        </is>
      </c>
      <c r="Q292" s="20" t="inlineStr">
        <is>
          <t>Diretor</t>
        </is>
      </c>
      <c r="R292" s="20" t="inlineStr">
        <is>
          <t>(11) 3684-5122</t>
        </is>
      </c>
      <c r="S292" s="20" t="inlineStr"/>
      <c r="T292" s="21" t="n">
        <v>947813.16</v>
      </c>
      <c r="U292" s="22" t="inlineStr">
        <is>
          <t>B</t>
        </is>
      </c>
      <c r="V292" s="23">
        <f>IFERROR(VLOOKUP(U292,Assumptions!$A$7:$D$11,2,FALSE),0)</f>
        <v/>
      </c>
      <c r="W292" s="24">
        <f>MAX(0.5,IFERROR(VLOOKUP(U292,Assumptions!$A$7:$D$11,3,FALSE),3)+IFERROR(VLOOKUP(U292,Assumptions!$A$7:$D$11,4,FALSE),8)/2-IF(AN292="",0,YEAR(TODAY())-AN292))</f>
        <v/>
      </c>
      <c r="X292" s="21">
        <f>T292*V292/(1+Assumptions!$B$3)^W292</f>
        <v/>
      </c>
      <c r="Y292" s="25">
        <f>IF(T292=0,"",ROUND(X292/T292*100,1))</f>
        <v/>
      </c>
      <c r="Z292" s="26">
        <f>X292*Assumptions!$B$4</f>
        <v/>
      </c>
      <c r="AA292" s="25">
        <f>IF(T292=0,"",ROUND(Z292/T292*100,1))</f>
        <v/>
      </c>
      <c r="AB292" s="26">
        <f>X292-Z292</f>
        <v/>
      </c>
      <c r="AC292" s="25">
        <f>IF(T292=0,"",ROUND((X292-Z292)/T292*100,1))</f>
        <v/>
      </c>
      <c r="AD292" s="27" t="inlineStr">
        <is>
          <t>UNKNOWN</t>
        </is>
      </c>
      <c r="AE292" s="28" t="inlineStr">
        <is>
          <t>https://scalzilliaj.com.br/sgc/download.php?file=files/processo_documento/processo_documento15180810062026_1_.pdf&amp;nome=10 - Relação de credores do art. 7º, §2º, da Lei 11.101/2005</t>
        </is>
      </c>
      <c r="AF292" s="27" t="inlineStr">
        <is>
          <t>p2 r26</t>
        </is>
      </c>
      <c r="AG292" s="27" t="inlineStr">
        <is>
          <t>p2: R$ 947.813,16</t>
        </is>
      </c>
      <c r="AH292" s="27" t="inlineStr">
        <is>
          <t>AJ_LIST</t>
        </is>
      </c>
      <c r="AI292" s="27" t="inlineStr"/>
      <c r="AJ292" s="27" t="inlineStr">
        <is>
          <t>OK_NO_TOTALS</t>
        </is>
      </c>
      <c r="AK292" s="29" t="inlineStr">
        <is>
          <t>5009529-81.2025.8.24.0019</t>
        </is>
      </c>
      <c r="AL292" s="29" t="inlineStr">
        <is>
          <t>TJ</t>
        </is>
      </c>
      <c r="AM292" s="29" t="inlineStr"/>
      <c r="AN292" s="29" t="n">
        <v>2025</v>
      </c>
      <c r="AO292" s="29" t="inlineStr">
        <is>
          <t>live case, no plan document yet</t>
        </is>
      </c>
      <c r="AP292" s="29" t="inlineStr">
        <is>
          <t>OSASCO</t>
        </is>
      </c>
      <c r="AQ292" s="29" t="inlineStr">
        <is>
          <t>SP</t>
        </is>
      </c>
      <c r="AR292" s="29" t="inlineStr">
        <is>
          <t>Bancos múltiplos, com carteira comercial</t>
        </is>
      </c>
      <c r="AS292" s="29" t="inlineStr">
        <is>
          <t>DEMAIS</t>
        </is>
      </c>
      <c r="AT292" s="29" t="inlineStr">
        <is>
          <t>LARGE CORP</t>
        </is>
      </c>
      <c r="AU292" s="29" t="inlineStr">
        <is>
          <t>60746948</t>
        </is>
      </c>
      <c r="AV292" s="29" t="n">
        <v>1</v>
      </c>
      <c r="AW292" s="29" t="inlineStr">
        <is>
          <t>LIKELY_FINANCIAL_BY_NAME ROWS:p2r26 UNRECONCILED_SOURCE</t>
        </is>
      </c>
    </row>
    <row r="293">
      <c r="A293" s="15" t="inlineStr">
        <is>
          <t>DLR CAPITAL FUNDOS DE INVESTIMENTOS EM DIREITOS CREDITÓRIOS (</t>
        </is>
      </c>
      <c r="B293" s="16" t="n">
        <v>1170052.77</v>
      </c>
      <c r="C293" s="17" t="inlineStr">
        <is>
          <t>VECTOR INDUSTRIA DE PRODUTOS METALURGICOS LTDA - EM RECUPERACAO JUDICIAL</t>
        </is>
      </c>
      <c r="D293" s="18" t="inlineStr">
        <is>
          <t>NEW</t>
        </is>
      </c>
      <c r="E293" s="19" t="inlineStr"/>
      <c r="F293" s="18" t="inlineStr"/>
      <c r="G293" s="19" t="inlineStr"/>
      <c r="H293" s="18" t="inlineStr"/>
      <c r="I293" s="20" t="inlineStr"/>
      <c r="J293" s="20" t="inlineStr"/>
      <c r="K293" s="20" t="inlineStr"/>
      <c r="L293" s="20" t="inlineStr"/>
      <c r="M293" s="20" t="inlineStr"/>
      <c r="N293" s="20" t="inlineStr"/>
      <c r="O293" s="20" t="inlineStr"/>
      <c r="P293" s="20" t="inlineStr"/>
      <c r="Q293" s="20" t="inlineStr"/>
      <c r="R293" s="20" t="inlineStr"/>
      <c r="S293" s="20" t="inlineStr"/>
      <c r="T293" s="21" t="n">
        <v>1170052.77</v>
      </c>
      <c r="U293" s="31" t="inlineStr">
        <is>
          <t>C</t>
        </is>
      </c>
      <c r="V293" s="23">
        <f>IFERROR(VLOOKUP(U293,Assumptions!$A$7:$D$11,2,FALSE),0)</f>
        <v/>
      </c>
      <c r="W293" s="24">
        <f>MAX(0.5,IFERROR(VLOOKUP(U293,Assumptions!$A$7:$D$11,3,FALSE),3)+IFERROR(VLOOKUP(U293,Assumptions!$A$7:$D$11,4,FALSE),8)/2-IF(AN293="",0,YEAR(TODAY())-AN293))</f>
        <v/>
      </c>
      <c r="X293" s="21">
        <f>T293*V293/(1+Assumptions!$B$3)^W293</f>
        <v/>
      </c>
      <c r="Y293" s="25">
        <f>IF(T293=0,"",ROUND(X293/T293*100,1))</f>
        <v/>
      </c>
      <c r="Z293" s="26">
        <f>X293*Assumptions!$B$4</f>
        <v/>
      </c>
      <c r="AA293" s="25">
        <f>IF(T293=0,"",ROUND(Z293/T293*100,1))</f>
        <v/>
      </c>
      <c r="AB293" s="26">
        <f>X293-Z293</f>
        <v/>
      </c>
      <c r="AC293" s="25">
        <f>IF(T293=0,"",ROUND((X293-Z293)/T293*100,1))</f>
        <v/>
      </c>
      <c r="AD293" s="27" t="inlineStr">
        <is>
          <t>ESTIMATED</t>
        </is>
      </c>
      <c r="AE293" s="28" t="inlineStr">
        <is>
          <t>https://scalzilliaj.com.br/sgc/download.php?file=files/processo_documento/processo_documento15513401112022_1_.pdf&amp;nome=15 - Edital do art. 7º, §2º (segunda lista de credores) e do art. 53 da Lei 11.101/2005 (recebimento do plano)</t>
        </is>
      </c>
      <c r="AF293" s="27" t="inlineStr">
        <is>
          <t>p6 r33</t>
        </is>
      </c>
      <c r="AG293" s="27" t="inlineStr">
        <is>
          <t>p6: R$ 1.170.052,77</t>
        </is>
      </c>
      <c r="AH293" s="27" t="inlineStr">
        <is>
          <t>AJ_LIST</t>
        </is>
      </c>
      <c r="AI293" s="27" t="inlineStr">
        <is>
          <t>2022-11-01</t>
        </is>
      </c>
      <c r="AJ293" s="27" t="inlineStr">
        <is>
          <t>OK_NO_TOTALS</t>
        </is>
      </c>
      <c r="AK293" s="29" t="inlineStr">
        <is>
          <t>5014104-85.2021.8.21.0010</t>
        </is>
      </c>
      <c r="AL293" s="29" t="inlineStr">
        <is>
          <t>TJRS</t>
        </is>
      </c>
      <c r="AM293" s="29" t="inlineStr">
        <is>
          <t>ACTIVE</t>
        </is>
      </c>
      <c r="AN293" s="29" t="n">
        <v>2021</v>
      </c>
      <c r="AO293" s="29" t="inlineStr">
        <is>
          <t>5y since filing, no plan document</t>
        </is>
      </c>
      <c r="AP293" s="29" t="inlineStr"/>
      <c r="AQ293" s="29" t="inlineStr"/>
      <c r="AR293" s="29" t="inlineStr"/>
      <c r="AS293" s="29" t="inlineStr"/>
      <c r="AT293" s="29" t="inlineStr">
        <is>
          <t>MID-MARKET</t>
        </is>
      </c>
      <c r="AU293" s="29" t="inlineStr">
        <is>
          <t>28849641</t>
        </is>
      </c>
      <c r="AV293" s="29" t="n">
        <v>1</v>
      </c>
      <c r="AW293" s="29" t="inlineStr">
        <is>
          <t>LIKELY_FINANCIAL_BY_NAME ROWS:p6r33 UNRECONCILED_SOURCE</t>
        </is>
      </c>
    </row>
    <row r="294">
      <c r="A294" s="15" t="inlineStr">
        <is>
          <t>CAPITAL RS NP FUNDO DE INVESTIMENTO EM DIREITOS CREDITÓRIOS NÃO PADRONIZADOS MULTISSETORIAL (</t>
        </is>
      </c>
      <c r="B294" s="16" t="n">
        <v>1169956.13</v>
      </c>
      <c r="C294" s="17" t="inlineStr">
        <is>
          <t>VECTOR INDUSTRIA DE PRODUTOS METALURGICOS LTDA - EM RECUPERACAO JUDICIAL</t>
        </is>
      </c>
      <c r="D294" s="18" t="inlineStr">
        <is>
          <t>NEW</t>
        </is>
      </c>
      <c r="E294" s="19" t="inlineStr"/>
      <c r="F294" s="18" t="inlineStr"/>
      <c r="G294" s="19" t="inlineStr"/>
      <c r="H294" s="18" t="inlineStr"/>
      <c r="I294" s="20" t="inlineStr"/>
      <c r="J294" s="20" t="inlineStr"/>
      <c r="K294" s="20" t="inlineStr"/>
      <c r="L294" s="20" t="inlineStr"/>
      <c r="M294" s="20" t="inlineStr"/>
      <c r="N294" s="20" t="inlineStr"/>
      <c r="O294" s="20" t="inlineStr"/>
      <c r="P294" s="20" t="inlineStr"/>
      <c r="Q294" s="20" t="inlineStr"/>
      <c r="R294" s="20" t="inlineStr"/>
      <c r="S294" s="20" t="inlineStr"/>
      <c r="T294" s="21" t="n">
        <v>1169956.13</v>
      </c>
      <c r="U294" s="31" t="inlineStr">
        <is>
          <t>C</t>
        </is>
      </c>
      <c r="V294" s="23">
        <f>IFERROR(VLOOKUP(U294,Assumptions!$A$7:$D$11,2,FALSE),0)</f>
        <v/>
      </c>
      <c r="W294" s="24">
        <f>MAX(0.5,IFERROR(VLOOKUP(U294,Assumptions!$A$7:$D$11,3,FALSE),3)+IFERROR(VLOOKUP(U294,Assumptions!$A$7:$D$11,4,FALSE),8)/2-IF(AN294="",0,YEAR(TODAY())-AN294))</f>
        <v/>
      </c>
      <c r="X294" s="21">
        <f>T294*V294/(1+Assumptions!$B$3)^W294</f>
        <v/>
      </c>
      <c r="Y294" s="25">
        <f>IF(T294=0,"",ROUND(X294/T294*100,1))</f>
        <v/>
      </c>
      <c r="Z294" s="26">
        <f>X294*Assumptions!$B$4</f>
        <v/>
      </c>
      <c r="AA294" s="25">
        <f>IF(T294=0,"",ROUND(Z294/T294*100,1))</f>
        <v/>
      </c>
      <c r="AB294" s="26">
        <f>X294-Z294</f>
        <v/>
      </c>
      <c r="AC294" s="25">
        <f>IF(T294=0,"",ROUND((X294-Z294)/T294*100,1))</f>
        <v/>
      </c>
      <c r="AD294" s="27" t="inlineStr">
        <is>
          <t>ESTIMATED</t>
        </is>
      </c>
      <c r="AE294" s="28" t="inlineStr">
        <is>
          <t>https://scalzilliaj.com.br/sgc/download.php?file=files/processo_documento/processo_documento15513401112022_1_.pdf&amp;nome=15 - Edital do art. 7º, §2º (segunda lista de credores) e do art. 53 da Lei 11.101/2005 (recebimento do plano)</t>
        </is>
      </c>
      <c r="AF294" s="27" t="inlineStr">
        <is>
          <t>p6 r10</t>
        </is>
      </c>
      <c r="AG294" s="27" t="inlineStr">
        <is>
          <t>p6: R$ 1.169.956,13</t>
        </is>
      </c>
      <c r="AH294" s="27" t="inlineStr">
        <is>
          <t>AJ_LIST</t>
        </is>
      </c>
      <c r="AI294" s="27" t="inlineStr">
        <is>
          <t>2022-11-01</t>
        </is>
      </c>
      <c r="AJ294" s="27" t="inlineStr">
        <is>
          <t>OK_NO_TOTALS</t>
        </is>
      </c>
      <c r="AK294" s="29" t="inlineStr">
        <is>
          <t>5014104-85.2021.8.21.0010</t>
        </is>
      </c>
      <c r="AL294" s="29" t="inlineStr">
        <is>
          <t>TJRS</t>
        </is>
      </c>
      <c r="AM294" s="29" t="inlineStr">
        <is>
          <t>ACTIVE</t>
        </is>
      </c>
      <c r="AN294" s="29" t="n">
        <v>2021</v>
      </c>
      <c r="AO294" s="29" t="inlineStr">
        <is>
          <t>5y since filing, no plan document</t>
        </is>
      </c>
      <c r="AP294" s="29" t="inlineStr"/>
      <c r="AQ294" s="29" t="inlineStr"/>
      <c r="AR294" s="29" t="inlineStr"/>
      <c r="AS294" s="29" t="inlineStr"/>
      <c r="AT294" s="29" t="inlineStr">
        <is>
          <t>MID-MARKET</t>
        </is>
      </c>
      <c r="AU294" s="29" t="inlineStr">
        <is>
          <t>12910463</t>
        </is>
      </c>
      <c r="AV294" s="29" t="n">
        <v>1</v>
      </c>
      <c r="AW294" s="29" t="inlineStr">
        <is>
          <t>LIKELY_FINANCIAL_BY_NAME ROWS:p6r10 UNRECONCILED_SOURCE</t>
        </is>
      </c>
    </row>
    <row r="295">
      <c r="A295" s="15" t="inlineStr">
        <is>
          <t>BANCO FIBRA SA</t>
        </is>
      </c>
      <c r="B295" s="16" t="n">
        <v>912282.02</v>
      </c>
      <c r="C295" s="17" t="inlineStr"/>
      <c r="D295" s="18" t="inlineStr">
        <is>
          <t>NEW</t>
        </is>
      </c>
      <c r="E295" s="19" t="inlineStr"/>
      <c r="F295" s="18" t="inlineStr"/>
      <c r="G295" s="19" t="inlineStr"/>
      <c r="H295" s="18" t="inlineStr"/>
      <c r="I295" s="20" t="inlineStr">
        <is>
          <t>ARNO SCHWARZ</t>
        </is>
      </c>
      <c r="J295" s="20" t="inlineStr">
        <is>
          <t>Presidente</t>
        </is>
      </c>
      <c r="K295" s="20" t="inlineStr">
        <is>
          <t>(11) 3847-6943</t>
        </is>
      </c>
      <c r="L295" s="20" t="inlineStr"/>
      <c r="M295" s="20" t="inlineStr"/>
      <c r="N295" s="20" t="inlineStr"/>
      <c r="O295" s="20" t="inlineStr"/>
      <c r="P295" s="20" t="inlineStr">
        <is>
          <t>ANDRE CADIME DE GODOI</t>
        </is>
      </c>
      <c r="Q295" s="20" t="inlineStr">
        <is>
          <t>Diretor</t>
        </is>
      </c>
      <c r="R295" s="20" t="inlineStr">
        <is>
          <t>(11) 3847-6943</t>
        </is>
      </c>
      <c r="S295" s="20" t="inlineStr"/>
      <c r="T295" s="21" t="n">
        <v>912282.02</v>
      </c>
      <c r="U295" s="22" t="inlineStr">
        <is>
          <t>B</t>
        </is>
      </c>
      <c r="V295" s="23">
        <f>IFERROR(VLOOKUP(U295,Assumptions!$A$7:$D$11,2,FALSE),0)</f>
        <v/>
      </c>
      <c r="W295" s="24">
        <f>MAX(0.5,IFERROR(VLOOKUP(U295,Assumptions!$A$7:$D$11,3,FALSE),3)+IFERROR(VLOOKUP(U295,Assumptions!$A$7:$D$11,4,FALSE),8)/2-IF(AN295="",0,YEAR(TODAY())-AN295))</f>
        <v/>
      </c>
      <c r="X295" s="21">
        <f>T295*V295/(1+Assumptions!$B$3)^W295</f>
        <v/>
      </c>
      <c r="Y295" s="25">
        <f>IF(T295=0,"",ROUND(X295/T295*100,1))</f>
        <v/>
      </c>
      <c r="Z295" s="26">
        <f>X295*Assumptions!$B$4</f>
        <v/>
      </c>
      <c r="AA295" s="25">
        <f>IF(T295=0,"",ROUND(Z295/T295*100,1))</f>
        <v/>
      </c>
      <c r="AB295" s="26">
        <f>X295-Z295</f>
        <v/>
      </c>
      <c r="AC295" s="25">
        <f>IF(T295=0,"",ROUND((X295-Z295)/T295*100,1))</f>
        <v/>
      </c>
      <c r="AD295" s="27" t="inlineStr">
        <is>
          <t>UNKNOWN</t>
        </is>
      </c>
      <c r="AE295" s="28" t="inlineStr">
        <is>
          <t>https://credibilita.com.br/wp-content/uploads/2025/09/Relacao-Credores-29.04.2026.pdf</t>
        </is>
      </c>
      <c r="AF295" s="27" t="inlineStr">
        <is>
          <t>p1 r11</t>
        </is>
      </c>
      <c r="AG295" s="27" t="inlineStr">
        <is>
          <t>p1: R$ 912.282,02</t>
        </is>
      </c>
      <c r="AH295" s="27" t="inlineStr">
        <is>
          <t>UNKNOWN</t>
        </is>
      </c>
      <c r="AI295" s="27" t="inlineStr"/>
      <c r="AJ295" s="27" t="inlineStr">
        <is>
          <t>OK_NO_TOTALS</t>
        </is>
      </c>
      <c r="AK295" s="29" t="inlineStr">
        <is>
          <t>5057720-48.2025.8.24.0023</t>
        </is>
      </c>
      <c r="AL295" s="29" t="inlineStr">
        <is>
          <t>TJ</t>
        </is>
      </c>
      <c r="AM295" s="29" t="inlineStr"/>
      <c r="AN295" s="29" t="n">
        <v>2025</v>
      </c>
      <c r="AO295" s="29" t="inlineStr">
        <is>
          <t>live case, no plan document yet</t>
        </is>
      </c>
      <c r="AP295" s="29" t="inlineStr">
        <is>
          <t>SAO PAULO</t>
        </is>
      </c>
      <c r="AQ295" s="29" t="inlineStr">
        <is>
          <t>SP</t>
        </is>
      </c>
      <c r="AR295" s="29" t="inlineStr">
        <is>
          <t>Bancos múltiplos, com carteira comercial</t>
        </is>
      </c>
      <c r="AS295" s="29" t="inlineStr">
        <is>
          <t>DEMAIS</t>
        </is>
      </c>
      <c r="AT295" s="29" t="inlineStr">
        <is>
          <t>LARGE CORP</t>
        </is>
      </c>
      <c r="AU295" s="29" t="inlineStr">
        <is>
          <t>58616418</t>
        </is>
      </c>
      <c r="AV295" s="29" t="n">
        <v>1</v>
      </c>
      <c r="AW295" s="29" t="inlineStr">
        <is>
          <t>ROWS:p1r11 UNRECONCILED_SOURCE VALUE_COL:Valor_Após_Analise</t>
        </is>
      </c>
    </row>
    <row r="296">
      <c r="A296" s="15" t="inlineStr">
        <is>
          <t>BANCO SOFISA S.A.</t>
        </is>
      </c>
      <c r="B296" s="16" t="n">
        <v>665953</v>
      </c>
      <c r="C296" s="17" t="inlineStr"/>
      <c r="D296" s="18" t="inlineStr">
        <is>
          <t>NEW</t>
        </is>
      </c>
      <c r="E296" s="19" t="inlineStr"/>
      <c r="F296" s="18" t="inlineStr"/>
      <c r="G296" s="19" t="inlineStr"/>
      <c r="H296" s="18" t="inlineStr"/>
      <c r="I296" s="20" t="inlineStr">
        <is>
          <t>ALEXANDRE BURMAIAN</t>
        </is>
      </c>
      <c r="J296" s="20" t="inlineStr">
        <is>
          <t>Presidente</t>
        </is>
      </c>
      <c r="K296" s="20" t="inlineStr">
        <is>
          <t>(11) 3176-5500</t>
        </is>
      </c>
      <c r="L296" s="20" t="inlineStr"/>
      <c r="M296" s="20" t="inlineStr"/>
      <c r="N296" s="20" t="inlineStr"/>
      <c r="O296" s="20" t="inlineStr"/>
      <c r="P296" s="20" t="inlineStr">
        <is>
          <t>CESAR AUGUSTO DE OLIVEIRA GONCALVES</t>
        </is>
      </c>
      <c r="Q296" s="20" t="inlineStr">
        <is>
          <t>Diretor</t>
        </is>
      </c>
      <c r="R296" s="20" t="inlineStr">
        <is>
          <t>(11) 3176-5500</t>
        </is>
      </c>
      <c r="S296" s="20" t="inlineStr"/>
      <c r="T296" s="21" t="n">
        <v>665953</v>
      </c>
      <c r="U296" s="31" t="inlineStr">
        <is>
          <t>C</t>
        </is>
      </c>
      <c r="V296" s="23">
        <f>IFERROR(VLOOKUP(U296,Assumptions!$A$7:$D$11,2,FALSE),0)</f>
        <v/>
      </c>
      <c r="W296" s="24">
        <f>MAX(0.5,IFERROR(VLOOKUP(U296,Assumptions!$A$7:$D$11,3,FALSE),3)+IFERROR(VLOOKUP(U296,Assumptions!$A$7:$D$11,4,FALSE),8)/2-IF(AN296="",0,YEAR(TODAY())-AN296))</f>
        <v/>
      </c>
      <c r="X296" s="21">
        <f>T296*V296/(1+Assumptions!$B$3)^W296</f>
        <v/>
      </c>
      <c r="Y296" s="25">
        <f>IF(T296=0,"",ROUND(X296/T296*100,1))</f>
        <v/>
      </c>
      <c r="Z296" s="26">
        <f>X296*Assumptions!$B$4</f>
        <v/>
      </c>
      <c r="AA296" s="25">
        <f>IF(T296=0,"",ROUND(Z296/T296*100,1))</f>
        <v/>
      </c>
      <c r="AB296" s="26">
        <f>X296-Z296</f>
        <v/>
      </c>
      <c r="AC296" s="25">
        <f>IF(T296=0,"",ROUND((X296-Z296)/T296*100,1))</f>
        <v/>
      </c>
      <c r="AD296" s="27" t="inlineStr">
        <is>
          <t>UNKNOWN</t>
        </is>
      </c>
      <c r="AE296" s="28" t="inlineStr">
        <is>
          <t>https://administradorajudicialgs.com.br/wp-content/uploads/2024/12/relacao-de-credores-da-falida.pdf</t>
        </is>
      </c>
      <c r="AF296" s="27" t="inlineStr">
        <is>
          <t>p13 r10</t>
        </is>
      </c>
      <c r="AG296" s="27" t="inlineStr">
        <is>
          <t>p13: R$ 665.953,00</t>
        </is>
      </c>
      <c r="AH296" s="27" t="inlineStr">
        <is>
          <t>UNKNOWN</t>
        </is>
      </c>
      <c r="AI296" s="27" t="inlineStr">
        <is>
          <t>2025-03-25</t>
        </is>
      </c>
      <c r="AJ296" s="27" t="inlineStr">
        <is>
          <t>OK_NO_TOTALS</t>
        </is>
      </c>
      <c r="AK296" s="29" t="inlineStr">
        <is>
          <t>0005010-50.2013.8.24.0026</t>
        </is>
      </c>
      <c r="AL296" s="29" t="inlineStr">
        <is>
          <t>TJ</t>
        </is>
      </c>
      <c r="AM296" s="29" t="inlineStr"/>
      <c r="AN296" s="29" t="n">
        <v>2013</v>
      </c>
      <c r="AO296" s="29" t="inlineStr">
        <is>
          <t>13y since filing, no plan document</t>
        </is>
      </c>
      <c r="AP296" s="29" t="inlineStr">
        <is>
          <t>SAO PAULO</t>
        </is>
      </c>
      <c r="AQ296" s="29" t="inlineStr">
        <is>
          <t>SP</t>
        </is>
      </c>
      <c r="AR296" s="29" t="inlineStr">
        <is>
          <t>Bancos múltiplos, com carteira comercial</t>
        </is>
      </c>
      <c r="AS296" s="29" t="inlineStr">
        <is>
          <t>DEMAIS</t>
        </is>
      </c>
      <c r="AT296" s="29" t="inlineStr">
        <is>
          <t>LARGE CORP</t>
        </is>
      </c>
      <c r="AU296" s="29" t="inlineStr">
        <is>
          <t>60889128</t>
        </is>
      </c>
      <c r="AV296" s="29" t="n">
        <v>1</v>
      </c>
      <c r="AW296" s="29" t="inlineStr">
        <is>
          <t>LIKELY_FINANCIAL_BY_NAME ROWS:p13r10 UNRECONCILED_SOURCE</t>
        </is>
      </c>
    </row>
    <row r="297">
      <c r="A297" s="15" t="inlineStr">
        <is>
          <t>OXSS SECURITIZADORA S/A. (</t>
        </is>
      </c>
      <c r="B297" s="16" t="n">
        <v>1150184.84</v>
      </c>
      <c r="C297" s="17" t="inlineStr">
        <is>
          <t>VECTOR INDUSTRIA DE PRODUTOS METALURGICOS LTDA - EM RECUPERACAO JUDICIAL</t>
        </is>
      </c>
      <c r="D297" s="18" t="inlineStr">
        <is>
          <t>NEW</t>
        </is>
      </c>
      <c r="E297" s="19" t="inlineStr"/>
      <c r="F297" s="18" t="inlineStr"/>
      <c r="G297" s="19" t="inlineStr"/>
      <c r="H297" s="18" t="inlineStr"/>
      <c r="I297" s="20" t="inlineStr"/>
      <c r="J297" s="20" t="inlineStr"/>
      <c r="K297" s="20" t="inlineStr"/>
      <c r="L297" s="20" t="inlineStr"/>
      <c r="M297" s="20" t="inlineStr"/>
      <c r="N297" s="20" t="inlineStr"/>
      <c r="O297" s="20" t="inlineStr"/>
      <c r="P297" s="20" t="inlineStr"/>
      <c r="Q297" s="20" t="inlineStr"/>
      <c r="R297" s="20" t="inlineStr"/>
      <c r="S297" s="20" t="inlineStr"/>
      <c r="T297" s="21" t="n">
        <v>1150184.84</v>
      </c>
      <c r="U297" s="31" t="inlineStr">
        <is>
          <t>C</t>
        </is>
      </c>
      <c r="V297" s="23">
        <f>IFERROR(VLOOKUP(U297,Assumptions!$A$7:$D$11,2,FALSE),0)</f>
        <v/>
      </c>
      <c r="W297" s="24">
        <f>MAX(0.5,IFERROR(VLOOKUP(U297,Assumptions!$A$7:$D$11,3,FALSE),3)+IFERROR(VLOOKUP(U297,Assumptions!$A$7:$D$11,4,FALSE),8)/2-IF(AN297="",0,YEAR(TODAY())-AN297))</f>
        <v/>
      </c>
      <c r="X297" s="21">
        <f>T297*V297/(1+Assumptions!$B$3)^W297</f>
        <v/>
      </c>
      <c r="Y297" s="25">
        <f>IF(T297=0,"",ROUND(X297/T297*100,1))</f>
        <v/>
      </c>
      <c r="Z297" s="26">
        <f>X297*Assumptions!$B$4</f>
        <v/>
      </c>
      <c r="AA297" s="25">
        <f>IF(T297=0,"",ROUND(Z297/T297*100,1))</f>
        <v/>
      </c>
      <c r="AB297" s="26">
        <f>X297-Z297</f>
        <v/>
      </c>
      <c r="AC297" s="25">
        <f>IF(T297=0,"",ROUND((X297-Z297)/T297*100,1))</f>
        <v/>
      </c>
      <c r="AD297" s="27" t="inlineStr">
        <is>
          <t>ESTIMATED</t>
        </is>
      </c>
      <c r="AE297" s="28" t="inlineStr">
        <is>
          <t>https://scalzilliaj.com.br/sgc/download.php?file=files/processo_documento/processo_documento15513401112022_1_.pdf&amp;nome=15 - Edital do art. 7º, §2º (segunda lista de credores) e do art. 53 da Lei 11.101/2005 (recebimento do plano)</t>
        </is>
      </c>
      <c r="AF297" s="27" t="inlineStr">
        <is>
          <t>p8 r39</t>
        </is>
      </c>
      <c r="AG297" s="27" t="inlineStr">
        <is>
          <t>p8: R$ 1.150.184,84</t>
        </is>
      </c>
      <c r="AH297" s="27" t="inlineStr">
        <is>
          <t>AJ_LIST</t>
        </is>
      </c>
      <c r="AI297" s="27" t="inlineStr">
        <is>
          <t>2022-11-01</t>
        </is>
      </c>
      <c r="AJ297" s="27" t="inlineStr">
        <is>
          <t>OK_NO_TOTALS</t>
        </is>
      </c>
      <c r="AK297" s="29" t="inlineStr">
        <is>
          <t>5014104-85.2021.8.21.0010</t>
        </is>
      </c>
      <c r="AL297" s="29" t="inlineStr">
        <is>
          <t>TJRS</t>
        </is>
      </c>
      <c r="AM297" s="29" t="inlineStr">
        <is>
          <t>ACTIVE</t>
        </is>
      </c>
      <c r="AN297" s="29" t="n">
        <v>2021</v>
      </c>
      <c r="AO297" s="29" t="inlineStr">
        <is>
          <t>5y since filing, no plan document</t>
        </is>
      </c>
      <c r="AP297" s="29" t="inlineStr"/>
      <c r="AQ297" s="29" t="inlineStr"/>
      <c r="AR297" s="29" t="inlineStr"/>
      <c r="AS297" s="29" t="inlineStr"/>
      <c r="AT297" s="29" t="inlineStr">
        <is>
          <t>MID-MARKET</t>
        </is>
      </c>
      <c r="AU297" s="29" t="inlineStr">
        <is>
          <t>18329685</t>
        </is>
      </c>
      <c r="AV297" s="29" t="n">
        <v>1</v>
      </c>
      <c r="AW297" s="29" t="inlineStr">
        <is>
          <t>LIKELY_FINANCIAL_BY_NAME ROWS:p8r39 UNRECONCILED_SOURCE</t>
        </is>
      </c>
    </row>
    <row r="298">
      <c r="A298" s="15" t="inlineStr">
        <is>
          <t>ALFA FUNDO DE INVET EM DIREITOS CREDITORIOS MULTISSETOR</t>
        </is>
      </c>
      <c r="B298" s="16" t="n">
        <v>713186.5</v>
      </c>
      <c r="C298" s="17" t="inlineStr">
        <is>
          <t>DIVINA INDUSTRIA DE COURO LTDA - EM RECUPERACAO JUDICIAL</t>
        </is>
      </c>
      <c r="D298" s="18" t="inlineStr">
        <is>
          <t>NEW</t>
        </is>
      </c>
      <c r="E298" s="19" t="inlineStr"/>
      <c r="F298" s="18" t="inlineStr"/>
      <c r="G298" s="19" t="inlineStr"/>
      <c r="H298" s="18" t="inlineStr"/>
      <c r="I298" s="20" t="inlineStr"/>
      <c r="J298" s="20" t="inlineStr"/>
      <c r="K298" s="20" t="inlineStr"/>
      <c r="L298" s="20" t="inlineStr"/>
      <c r="M298" s="20" t="inlineStr"/>
      <c r="N298" s="20" t="inlineStr"/>
      <c r="O298" s="20" t="inlineStr"/>
      <c r="P298" s="20" t="inlineStr"/>
      <c r="Q298" s="20" t="inlineStr"/>
      <c r="R298" s="20" t="inlineStr"/>
      <c r="S298" s="20" t="inlineStr"/>
      <c r="T298" s="21" t="n">
        <v>713186.5</v>
      </c>
      <c r="U298" s="22" t="inlineStr">
        <is>
          <t>B</t>
        </is>
      </c>
      <c r="V298" s="23">
        <f>IFERROR(VLOOKUP(U298,Assumptions!$A$7:$D$11,2,FALSE),0)</f>
        <v/>
      </c>
      <c r="W298" s="24">
        <f>MAX(0.5,IFERROR(VLOOKUP(U298,Assumptions!$A$7:$D$11,3,FALSE),3)+IFERROR(VLOOKUP(U298,Assumptions!$A$7:$D$11,4,FALSE),8)/2-IF(AN298="",0,YEAR(TODAY())-AN298))</f>
        <v/>
      </c>
      <c r="X298" s="21">
        <f>T298*V298/(1+Assumptions!$B$3)^W298</f>
        <v/>
      </c>
      <c r="Y298" s="25">
        <f>IF(T298=0,"",ROUND(X298/T298*100,1))</f>
        <v/>
      </c>
      <c r="Z298" s="26">
        <f>X298*Assumptions!$B$4</f>
        <v/>
      </c>
      <c r="AA298" s="25">
        <f>IF(T298=0,"",ROUND(Z298/T298*100,1))</f>
        <v/>
      </c>
      <c r="AB298" s="26">
        <f>X298-Z298</f>
        <v/>
      </c>
      <c r="AC298" s="25">
        <f>IF(T298=0,"",ROUND((X298-Z298)/T298*100,1))</f>
        <v/>
      </c>
      <c r="AD298" s="27" t="inlineStr">
        <is>
          <t>ESTIMATED</t>
        </is>
      </c>
      <c r="AE298" s="28" t="inlineStr">
        <is>
          <t>https://lrflideres.com.br/wp-content/plugins/download-attachments/includes/download.php?id=6252</t>
        </is>
      </c>
      <c r="AF298" s="27" t="inlineStr">
        <is>
          <t>p2 r5</t>
        </is>
      </c>
      <c r="AG298" s="27" t="inlineStr">
        <is>
          <t>p2: R$ 713.186,50</t>
        </is>
      </c>
      <c r="AH298" s="27" t="inlineStr">
        <is>
          <t>AJ_LIST</t>
        </is>
      </c>
      <c r="AI298" s="27" t="inlineStr">
        <is>
          <t>2024-11-27</t>
        </is>
      </c>
      <c r="AJ298" s="27" t="inlineStr">
        <is>
          <t>QUARANTINED</t>
        </is>
      </c>
      <c r="AK298" s="29" t="inlineStr">
        <is>
          <t>0000721-61.2024.8.17.2620</t>
        </is>
      </c>
      <c r="AL298" s="29" t="inlineStr">
        <is>
          <t>TJPE</t>
        </is>
      </c>
      <c r="AM298" s="29" t="inlineStr">
        <is>
          <t>ACTIVE</t>
        </is>
      </c>
      <c r="AN298" s="29" t="n">
        <v>2024</v>
      </c>
      <c r="AO298" s="29" t="inlineStr">
        <is>
          <t>live case, no plan document yet</t>
        </is>
      </c>
      <c r="AP298" s="29" t="inlineStr"/>
      <c r="AQ298" s="29" t="inlineStr"/>
      <c r="AR298" s="29" t="inlineStr"/>
      <c r="AS298" s="29" t="inlineStr"/>
      <c r="AT298" s="29" t="inlineStr">
        <is>
          <t>MID-MARKET</t>
        </is>
      </c>
      <c r="AU298" s="29" t="inlineStr">
        <is>
          <t>11261368</t>
        </is>
      </c>
      <c r="AV298" s="29" t="n">
        <v>1</v>
      </c>
      <c r="AW298" s="29" t="inlineStr">
        <is>
          <t>LIKELY_FINANCIAL_BY_NAME PARTIAL_DOC_CLASS_III_RECONCILED ROWS:p2r5</t>
        </is>
      </c>
    </row>
    <row r="299">
      <c r="A299" s="15" t="inlineStr">
        <is>
          <t>BANCO BRADESCO S.A.</t>
        </is>
      </c>
      <c r="B299" s="16" t="n">
        <v>710562.74</v>
      </c>
      <c r="C299" s="17" t="inlineStr">
        <is>
          <t>COOPERATIVA REGIONAL AGROPECUARIA VALE DO ITAJAI</t>
        </is>
      </c>
      <c r="D299" s="18" t="inlineStr">
        <is>
          <t>NEW</t>
        </is>
      </c>
      <c r="E299" s="19" t="inlineStr"/>
      <c r="F299" s="18" t="inlineStr"/>
      <c r="G299" s="19" t="inlineStr"/>
      <c r="H299" s="18" t="inlineStr"/>
      <c r="I299" s="20" t="inlineStr">
        <is>
          <t>MARCELO DE ARAUJO NORONHA</t>
        </is>
      </c>
      <c r="J299" s="20" t="inlineStr">
        <is>
          <t>Presidente</t>
        </is>
      </c>
      <c r="K299" s="20" t="inlineStr">
        <is>
          <t>(11) 3684-5122</t>
        </is>
      </c>
      <c r="L299" s="20" t="inlineStr"/>
      <c r="M299" s="20" t="inlineStr"/>
      <c r="N299" s="20" t="inlineStr"/>
      <c r="O299" s="20" t="inlineStr"/>
      <c r="P299" s="20" t="inlineStr">
        <is>
          <t>AFRANIO CARLOS CAMARGO DANTZGER</t>
        </is>
      </c>
      <c r="Q299" s="20" t="inlineStr">
        <is>
          <t>Diretor</t>
        </is>
      </c>
      <c r="R299" s="20" t="inlineStr">
        <is>
          <t>(11) 3684-5122</t>
        </is>
      </c>
      <c r="S299" s="20" t="inlineStr"/>
      <c r="T299" s="21" t="n">
        <v>710562.74</v>
      </c>
      <c r="U299" s="22" t="inlineStr">
        <is>
          <t>B</t>
        </is>
      </c>
      <c r="V299" s="23">
        <f>IFERROR(VLOOKUP(U299,Assumptions!$A$7:$D$11,2,FALSE),0)</f>
        <v/>
      </c>
      <c r="W299" s="24">
        <f>MAX(0.5,IFERROR(VLOOKUP(U299,Assumptions!$A$7:$D$11,3,FALSE),3)+IFERROR(VLOOKUP(U299,Assumptions!$A$7:$D$11,4,FALSE),8)/2-IF(AN299="",0,YEAR(TODAY())-AN299))</f>
        <v/>
      </c>
      <c r="X299" s="21">
        <f>T299*V299/(1+Assumptions!$B$3)^W299</f>
        <v/>
      </c>
      <c r="Y299" s="25">
        <f>IF(T299=0,"",ROUND(X299/T299*100,1))</f>
        <v/>
      </c>
      <c r="Z299" s="26">
        <f>X299*Assumptions!$B$4</f>
        <v/>
      </c>
      <c r="AA299" s="25">
        <f>IF(T299=0,"",ROUND(Z299/T299*100,1))</f>
        <v/>
      </c>
      <c r="AB299" s="26">
        <f>X299-Z299</f>
        <v/>
      </c>
      <c r="AC299" s="25">
        <f>IF(T299=0,"",ROUND((X299-Z299)/T299*100,1))</f>
        <v/>
      </c>
      <c r="AD299" s="27" t="inlineStr">
        <is>
          <t>ESTIMATED</t>
        </is>
      </c>
      <c r="AE299" s="28" t="inlineStr">
        <is>
          <t>https://marquesadmjudicial.com.br/sgc/download.php?file=files/processo_documento/processo_documento10074612042024_1_.pdf&amp;nome=2º Edital-Relação de Credores AJ e PRJ</t>
        </is>
      </c>
      <c r="AF299" s="27" t="inlineStr">
        <is>
          <t>p1 r26</t>
        </is>
      </c>
      <c r="AG299" s="27" t="inlineStr">
        <is>
          <t>p1: R$ 710.562,74</t>
        </is>
      </c>
      <c r="AH299" s="27" t="inlineStr">
        <is>
          <t>AJ_LIST</t>
        </is>
      </c>
      <c r="AI299" s="27" t="inlineStr">
        <is>
          <t>2024-01-12</t>
        </is>
      </c>
      <c r="AJ299" s="27" t="inlineStr">
        <is>
          <t>OK_NO_TOTALS</t>
        </is>
      </c>
      <c r="AK299" s="29" t="inlineStr">
        <is>
          <t>0000357-17.2024.8.16.0131</t>
        </is>
      </c>
      <c r="AL299" s="29" t="inlineStr">
        <is>
          <t>TJPR</t>
        </is>
      </c>
      <c r="AM299" s="29" t="inlineStr">
        <is>
          <t>ACTIVE</t>
        </is>
      </c>
      <c r="AN299" s="29" t="n">
        <v>2024</v>
      </c>
      <c r="AO299" s="29" t="inlineStr">
        <is>
          <t>live case, no plan document yet</t>
        </is>
      </c>
      <c r="AP299" s="29" t="inlineStr">
        <is>
          <t>OSASCO</t>
        </is>
      </c>
      <c r="AQ299" s="29" t="inlineStr">
        <is>
          <t>SP</t>
        </is>
      </c>
      <c r="AR299" s="29" t="inlineStr">
        <is>
          <t>Bancos múltiplos, com carteira comercial</t>
        </is>
      </c>
      <c r="AS299" s="29" t="inlineStr">
        <is>
          <t>DEMAIS</t>
        </is>
      </c>
      <c r="AT299" s="29" t="inlineStr">
        <is>
          <t>LARGE CORP</t>
        </is>
      </c>
      <c r="AU299" s="29" t="inlineStr">
        <is>
          <t>60746948</t>
        </is>
      </c>
      <c r="AV299" s="29" t="n">
        <v>1</v>
      </c>
      <c r="AW299" s="29" t="inlineStr">
        <is>
          <t>LIKELY_FINANCIAL_BY_NAME ROWS:p1r26 UNRECONCILED_SOURCE</t>
        </is>
      </c>
    </row>
    <row r="300">
      <c r="A300" s="15" t="inlineStr">
        <is>
          <t>ITAU UNIBANCO S.A.</t>
        </is>
      </c>
      <c r="B300" s="16" t="n">
        <v>566658.33</v>
      </c>
      <c r="C300" s="17" t="inlineStr">
        <is>
          <t>VEV COMERCIO DE MEDICAMENTOS LTDA EM RECUPERACAO JUDICIAL</t>
        </is>
      </c>
      <c r="D300" s="18" t="inlineStr">
        <is>
          <t>NEW</t>
        </is>
      </c>
      <c r="E300" s="19" t="inlineStr"/>
      <c r="F300" s="18" t="inlineStr"/>
      <c r="G300" s="19" t="inlineStr"/>
      <c r="H300" s="18" t="inlineStr"/>
      <c r="I300" s="20" t="inlineStr">
        <is>
          <t>FELIPE SAMPAIO NABUCO</t>
        </is>
      </c>
      <c r="J300" s="20" t="inlineStr">
        <is>
          <t>Administrador</t>
        </is>
      </c>
      <c r="K300" s="20" t="inlineStr">
        <is>
          <t>(11) 3003-4828</t>
        </is>
      </c>
      <c r="L300" s="20" t="inlineStr"/>
      <c r="M300" s="20" t="inlineStr"/>
      <c r="N300" s="20" t="inlineStr"/>
      <c r="O300" s="20" t="inlineStr"/>
      <c r="P300" s="20" t="inlineStr">
        <is>
          <t>MILTON MALUHY FILHO</t>
        </is>
      </c>
      <c r="Q300" s="20" t="inlineStr">
        <is>
          <t>Presidente</t>
        </is>
      </c>
      <c r="R300" s="20" t="inlineStr">
        <is>
          <t>(11) 3003-4828</t>
        </is>
      </c>
      <c r="S300" s="20" t="inlineStr"/>
      <c r="T300" s="21" t="n">
        <v>566658.33</v>
      </c>
      <c r="U300" s="22" t="inlineStr">
        <is>
          <t>B</t>
        </is>
      </c>
      <c r="V300" s="23">
        <f>IFERROR(VLOOKUP(U300,Assumptions!$A$7:$D$11,2,FALSE),0)</f>
        <v/>
      </c>
      <c r="W300" s="24">
        <f>MAX(0.5,IFERROR(VLOOKUP(U300,Assumptions!$A$7:$D$11,3,FALSE),3)+IFERROR(VLOOKUP(U300,Assumptions!$A$7:$D$11,4,FALSE),8)/2-IF(AN300="",0,YEAR(TODAY())-AN300))</f>
        <v/>
      </c>
      <c r="X300" s="21">
        <f>T300*V300/(1+Assumptions!$B$3)^W300</f>
        <v/>
      </c>
      <c r="Y300" s="25">
        <f>IF(T300=0,"",ROUND(X300/T300*100,1))</f>
        <v/>
      </c>
      <c r="Z300" s="26">
        <f>X300*Assumptions!$B$4</f>
        <v/>
      </c>
      <c r="AA300" s="25">
        <f>IF(T300=0,"",ROUND(Z300/T300*100,1))</f>
        <v/>
      </c>
      <c r="AB300" s="26">
        <f>X300-Z300</f>
        <v/>
      </c>
      <c r="AC300" s="25">
        <f>IF(T300=0,"",ROUND((X300-Z300)/T300*100,1))</f>
        <v/>
      </c>
      <c r="AD300" s="27" t="inlineStr">
        <is>
          <t>ESTIMATED</t>
        </is>
      </c>
      <c r="AE300" s="28" t="inlineStr">
        <is>
          <t>https://marquesadmjudicial.com.br/sgc/download.php?file=files/processo_documento/processo_documento15293208032024_1_.pdf&amp;nome=Relação Nominal de Credores da AJ-Sintética</t>
        </is>
      </c>
      <c r="AF300" s="27" t="inlineStr">
        <is>
          <t>p27 r3</t>
        </is>
      </c>
      <c r="AG300" s="27" t="inlineStr">
        <is>
          <t>p27: R$ 566.658,33</t>
        </is>
      </c>
      <c r="AH300" s="27" t="inlineStr">
        <is>
          <t>AJ_LIST</t>
        </is>
      </c>
      <c r="AI300" s="27" t="inlineStr">
        <is>
          <t>2023-03-02</t>
        </is>
      </c>
      <c r="AJ300" s="27" t="inlineStr">
        <is>
          <t>QUARANTINED</t>
        </is>
      </c>
      <c r="AK300" s="29" t="inlineStr">
        <is>
          <t>0005010-98.2023.8.16.0001</t>
        </is>
      </c>
      <c r="AL300" s="29" t="inlineStr">
        <is>
          <t>TJPR</t>
        </is>
      </c>
      <c r="AM300" s="29" t="inlineStr">
        <is>
          <t>ACTIVE</t>
        </is>
      </c>
      <c r="AN300" s="29" t="n">
        <v>2023</v>
      </c>
      <c r="AO300" s="29" t="inlineStr">
        <is>
          <t>live case, no plan document yet</t>
        </is>
      </c>
      <c r="AP300" s="29" t="inlineStr">
        <is>
          <t>SAO PAULO</t>
        </is>
      </c>
      <c r="AQ300" s="29" t="inlineStr">
        <is>
          <t>SP</t>
        </is>
      </c>
      <c r="AR300" s="29" t="inlineStr">
        <is>
          <t>Bancos comerciais</t>
        </is>
      </c>
      <c r="AS300" s="29" t="inlineStr">
        <is>
          <t>DEMAIS</t>
        </is>
      </c>
      <c r="AT300" s="29" t="inlineStr">
        <is>
          <t>LARGE CORP</t>
        </is>
      </c>
      <c r="AU300" s="29" t="inlineStr">
        <is>
          <t>60701190</t>
        </is>
      </c>
      <c r="AV300" s="29" t="n">
        <v>1</v>
      </c>
      <c r="AW300" s="29" t="inlineStr">
        <is>
          <t>LIKELY_FINANCIAL_BY_NAME PARTIAL_DOC_CLASS_III_RECONCILED ROWS:p27r3</t>
        </is>
      </c>
    </row>
    <row r="301">
      <c r="A301" s="15" t="inlineStr">
        <is>
          <t>ITAU UNIBANCO S.A.</t>
        </is>
      </c>
      <c r="B301" s="16" t="n">
        <v>523997.83</v>
      </c>
      <c r="C301" s="17" t="inlineStr">
        <is>
          <t>JA SANTOS IMPORTACAO EXPORTACAO DE FERRAMENTAS E SERVICOS ESPECIALIZADOS LTDA</t>
        </is>
      </c>
      <c r="D301" s="18" t="inlineStr">
        <is>
          <t>NEW</t>
        </is>
      </c>
      <c r="E301" s="19" t="inlineStr"/>
      <c r="F301" s="18" t="inlineStr"/>
      <c r="G301" s="19" t="inlineStr"/>
      <c r="H301" s="18" t="inlineStr"/>
      <c r="I301" s="20" t="inlineStr">
        <is>
          <t>FELIPE SAMPAIO NABUCO</t>
        </is>
      </c>
      <c r="J301" s="20" t="inlineStr">
        <is>
          <t>Administrador</t>
        </is>
      </c>
      <c r="K301" s="20" t="inlineStr">
        <is>
          <t>(11) 3003-4828</t>
        </is>
      </c>
      <c r="L301" s="20" t="inlineStr"/>
      <c r="M301" s="20" t="inlineStr"/>
      <c r="N301" s="20" t="inlineStr"/>
      <c r="O301" s="20" t="inlineStr"/>
      <c r="P301" s="20" t="inlineStr">
        <is>
          <t>MILTON MALUHY FILHO</t>
        </is>
      </c>
      <c r="Q301" s="20" t="inlineStr">
        <is>
          <t>Presidente</t>
        </is>
      </c>
      <c r="R301" s="20" t="inlineStr">
        <is>
          <t>(11) 3003-4828</t>
        </is>
      </c>
      <c r="S301" s="20" t="inlineStr"/>
      <c r="T301" s="21" t="n">
        <v>523997.83</v>
      </c>
      <c r="U301" s="32" t="inlineStr">
        <is>
          <t>A</t>
        </is>
      </c>
      <c r="V301" s="23">
        <f>IFERROR(VLOOKUP(U301,Assumptions!$A$7:$D$11,2,FALSE),0)</f>
        <v/>
      </c>
      <c r="W301" s="24">
        <f>MAX(0.5,IFERROR(VLOOKUP(U301,Assumptions!$A$7:$D$11,3,FALSE),3)+IFERROR(VLOOKUP(U301,Assumptions!$A$7:$D$11,4,FALSE),8)/2-IF(AN301="",0,YEAR(TODAY())-AN301))</f>
        <v/>
      </c>
      <c r="X301" s="21">
        <f>T301*V301/(1+Assumptions!$B$3)^W301</f>
        <v/>
      </c>
      <c r="Y301" s="25">
        <f>IF(T301=0,"",ROUND(X301/T301*100,1))</f>
        <v/>
      </c>
      <c r="Z301" s="26">
        <f>X301*Assumptions!$B$4</f>
        <v/>
      </c>
      <c r="AA301" s="25">
        <f>IF(T301=0,"",ROUND(Z301/T301*100,1))</f>
        <v/>
      </c>
      <c r="AB301" s="26">
        <f>X301-Z301</f>
        <v/>
      </c>
      <c r="AC301" s="25">
        <f>IF(T301=0,"",ROUND((X301-Z301)/T301*100,1))</f>
        <v/>
      </c>
      <c r="AD301" s="27" t="inlineStr">
        <is>
          <t>CONFIRMED</t>
        </is>
      </c>
      <c r="AE301" s="28" t="inlineStr">
        <is>
          <t>https://vivanteaj.com.br/wp-content/uploads/2024/11/1a-lista-de-credores-JA-Santos.pdf</t>
        </is>
      </c>
      <c r="AF301" s="27" t="inlineStr">
        <is>
          <t>p1 r7; p1 r8; p1 r9</t>
        </is>
      </c>
      <c r="AG301" s="27" t="inlineStr">
        <is>
          <t>p1: R$ 218.521,80; p1: R$ 14.934,30; p1: R$ 290.541,73</t>
        </is>
      </c>
      <c r="AH301" s="27" t="inlineStr">
        <is>
          <t>UNKNOWN</t>
        </is>
      </c>
      <c r="AI301" s="27" t="inlineStr">
        <is>
          <t>2022-11-02</t>
        </is>
      </c>
      <c r="AJ301" s="27" t="inlineStr">
        <is>
          <t>OK</t>
        </is>
      </c>
      <c r="AK301" s="29" t="inlineStr">
        <is>
          <t>1018313-46.2024.8.26.0100</t>
        </is>
      </c>
      <c r="AL301" s="29" t="inlineStr">
        <is>
          <t>TJSP</t>
        </is>
      </c>
      <c r="AM301" s="29" t="inlineStr">
        <is>
          <t>ACTIVE</t>
        </is>
      </c>
      <c r="AN301" s="29" t="n">
        <v>2024</v>
      </c>
      <c r="AO301" s="29" t="inlineStr">
        <is>
          <t>plan/homologation document found</t>
        </is>
      </c>
      <c r="AP301" s="29" t="inlineStr">
        <is>
          <t>SAO PAULO</t>
        </is>
      </c>
      <c r="AQ301" s="29" t="inlineStr">
        <is>
          <t>SP</t>
        </is>
      </c>
      <c r="AR301" s="29" t="inlineStr">
        <is>
          <t>Bancos comerciais</t>
        </is>
      </c>
      <c r="AS301" s="29" t="inlineStr">
        <is>
          <t>DEMAIS</t>
        </is>
      </c>
      <c r="AT301" s="29" t="inlineStr">
        <is>
          <t>LARGE CORP</t>
        </is>
      </c>
      <c r="AU301" s="29" t="inlineStr">
        <is>
          <t>60701190</t>
        </is>
      </c>
      <c r="AV301" s="29" t="n">
        <v>3</v>
      </c>
      <c r="AW301" s="29" t="inlineStr">
        <is>
          <t>ROWS:p1r7,p1r8,p1r9 VALUE_COL:Valor</t>
        </is>
      </c>
    </row>
    <row r="302">
      <c r="A302" s="15" t="inlineStr">
        <is>
          <t>BANCO DAYCOVAL S.A.</t>
        </is>
      </c>
      <c r="B302" s="16" t="n">
        <v>1081440.72</v>
      </c>
      <c r="C302" s="17" t="inlineStr">
        <is>
          <t>E FALENCIA</t>
        </is>
      </c>
      <c r="D302" s="18" t="inlineStr">
        <is>
          <t>NEW</t>
        </is>
      </c>
      <c r="E302" s="19" t="inlineStr"/>
      <c r="F302" s="18" t="inlineStr"/>
      <c r="G302" s="19" t="inlineStr"/>
      <c r="H302" s="18" t="inlineStr"/>
      <c r="I302" s="20" t="inlineStr">
        <is>
          <t>ADELY DAYAN HAMOUI</t>
        </is>
      </c>
      <c r="J302" s="20" t="inlineStr">
        <is>
          <t>Diretor</t>
        </is>
      </c>
      <c r="K302" s="20" t="inlineStr">
        <is>
          <t>(11) 3138-0500</t>
        </is>
      </c>
      <c r="L302" s="20" t="inlineStr"/>
      <c r="M302" s="20" t="inlineStr"/>
      <c r="N302" s="20" t="inlineStr"/>
      <c r="O302" s="20" t="inlineStr"/>
      <c r="P302" s="20" t="inlineStr">
        <is>
          <t>ALBERT ROUBEN</t>
        </is>
      </c>
      <c r="Q302" s="20" t="inlineStr">
        <is>
          <t>Diretor</t>
        </is>
      </c>
      <c r="R302" s="20" t="inlineStr">
        <is>
          <t>(11) 3138-0500</t>
        </is>
      </c>
      <c r="S302" s="20" t="inlineStr"/>
      <c r="T302" s="21" t="n">
        <v>1081440.72</v>
      </c>
      <c r="U302" s="22" t="inlineStr">
        <is>
          <t>B</t>
        </is>
      </c>
      <c r="V302" s="23">
        <f>IFERROR(VLOOKUP(U302,Assumptions!$A$7:$D$11,2,FALSE),0)</f>
        <v/>
      </c>
      <c r="W302" s="24">
        <f>MAX(0.5,IFERROR(VLOOKUP(U302,Assumptions!$A$7:$D$11,3,FALSE),3)+IFERROR(VLOOKUP(U302,Assumptions!$A$7:$D$11,4,FALSE),8)/2-IF(AN302="",0,YEAR(TODAY())-AN302))</f>
        <v/>
      </c>
      <c r="X302" s="21">
        <f>T302*V302/(1+Assumptions!$B$3)^W302</f>
        <v/>
      </c>
      <c r="Y302" s="25">
        <f>IF(T302=0,"",ROUND(X302/T302*100,1))</f>
        <v/>
      </c>
      <c r="Z302" s="26">
        <f>X302*Assumptions!$B$4</f>
        <v/>
      </c>
      <c r="AA302" s="25">
        <f>IF(T302=0,"",ROUND(Z302/T302*100,1))</f>
        <v/>
      </c>
      <c r="AB302" s="26">
        <f>X302-Z302</f>
        <v/>
      </c>
      <c r="AC302" s="25">
        <f>IF(T302=0,"",ROUND((X302-Z302)/T302*100,1))</f>
        <v/>
      </c>
      <c r="AD302" s="27" t="inlineStr">
        <is>
          <t>ESTIMATED</t>
        </is>
      </c>
      <c r="AE302" s="28" t="inlineStr">
        <is>
          <t>https://recuperasolucoes.com/wp-content/plugins/download-attachments/includes/download.php?id=1597</t>
        </is>
      </c>
      <c r="AF302" s="27" t="inlineStr">
        <is>
          <t>p13 r13</t>
        </is>
      </c>
      <c r="AG302" s="27" t="inlineStr">
        <is>
          <t>p13: R$ 1.081.440,72</t>
        </is>
      </c>
      <c r="AH302" s="27" t="inlineStr">
        <is>
          <t>DEBTOR_LIST</t>
        </is>
      </c>
      <c r="AI302" s="27" t="inlineStr">
        <is>
          <t>2026-05-21</t>
        </is>
      </c>
      <c r="AJ302" s="27" t="inlineStr">
        <is>
          <t>OK</t>
        </is>
      </c>
      <c r="AK302" s="29" t="inlineStr">
        <is>
          <t>0001639-09.2026.8.17.2810</t>
        </is>
      </c>
      <c r="AL302" s="29" t="inlineStr">
        <is>
          <t>TJPE</t>
        </is>
      </c>
      <c r="AM302" s="29" t="inlineStr">
        <is>
          <t>ACTIVE</t>
        </is>
      </c>
      <c r="AN302" s="29" t="n">
        <v>2026</v>
      </c>
      <c r="AO302" s="29" t="inlineStr">
        <is>
          <t>live case, no plan document yet</t>
        </is>
      </c>
      <c r="AP302" s="29" t="inlineStr">
        <is>
          <t>SAO PAULO</t>
        </is>
      </c>
      <c r="AQ302" s="29" t="inlineStr">
        <is>
          <t>SP</t>
        </is>
      </c>
      <c r="AR302" s="29" t="inlineStr">
        <is>
          <t>Bancos múltiplos, com carteira comercial</t>
        </is>
      </c>
      <c r="AS302" s="29" t="inlineStr">
        <is>
          <t>DEMAIS</t>
        </is>
      </c>
      <c r="AT302" s="29" t="inlineStr">
        <is>
          <t>LARGE CORP</t>
        </is>
      </c>
      <c r="AU302" s="29" t="inlineStr">
        <is>
          <t>62232889</t>
        </is>
      </c>
      <c r="AV302" s="29" t="n">
        <v>1</v>
      </c>
      <c r="AW302" s="29" t="inlineStr">
        <is>
          <t>ROWS:p13r13</t>
        </is>
      </c>
    </row>
    <row r="303">
      <c r="A303" s="15" t="inlineStr">
        <is>
          <t>Fundo de Investimento em Direitos Creditórios Sabia Capital Credit</t>
        </is>
      </c>
      <c r="B303" s="16" t="n">
        <v>689134.29</v>
      </c>
      <c r="C303" s="17" t="inlineStr">
        <is>
          <t>D'AGOSTINI &amp; DIDOMENICO LTDA EM RECUPERACAO JUDICIAL</t>
        </is>
      </c>
      <c r="D303" s="18" t="inlineStr">
        <is>
          <t>NEW</t>
        </is>
      </c>
      <c r="E303" s="19" t="inlineStr"/>
      <c r="F303" s="18" t="inlineStr"/>
      <c r="G303" s="19" t="inlineStr"/>
      <c r="H303" s="18" t="inlineStr"/>
      <c r="I303" s="20" t="inlineStr"/>
      <c r="J303" s="20" t="inlineStr"/>
      <c r="K303" s="20" t="inlineStr"/>
      <c r="L303" s="20" t="inlineStr"/>
      <c r="M303" s="20" t="inlineStr"/>
      <c r="N303" s="20" t="inlineStr"/>
      <c r="O303" s="20" t="inlineStr"/>
      <c r="P303" s="20" t="inlineStr"/>
      <c r="Q303" s="20" t="inlineStr"/>
      <c r="R303" s="20" t="inlineStr"/>
      <c r="S303" s="20" t="inlineStr"/>
      <c r="T303" s="21" t="n">
        <v>689134.29</v>
      </c>
      <c r="U303" s="22" t="inlineStr">
        <is>
          <t>B</t>
        </is>
      </c>
      <c r="V303" s="23">
        <f>IFERROR(VLOOKUP(U303,Assumptions!$A$7:$D$11,2,FALSE),0)</f>
        <v/>
      </c>
      <c r="W303" s="24">
        <f>MAX(0.5,IFERROR(VLOOKUP(U303,Assumptions!$A$7:$D$11,3,FALSE),3)+IFERROR(VLOOKUP(U303,Assumptions!$A$7:$D$11,4,FALSE),8)/2-IF(AN303="",0,YEAR(TODAY())-AN303))</f>
        <v/>
      </c>
      <c r="X303" s="21">
        <f>T303*V303/(1+Assumptions!$B$3)^W303</f>
        <v/>
      </c>
      <c r="Y303" s="25">
        <f>IF(T303=0,"",ROUND(X303/T303*100,1))</f>
        <v/>
      </c>
      <c r="Z303" s="26">
        <f>X303*Assumptions!$B$4</f>
        <v/>
      </c>
      <c r="AA303" s="25">
        <f>IF(T303=0,"",ROUND(Z303/T303*100,1))</f>
        <v/>
      </c>
      <c r="AB303" s="26">
        <f>X303-Z303</f>
        <v/>
      </c>
      <c r="AC303" s="25">
        <f>IF(T303=0,"",ROUND((X303-Z303)/T303*100,1))</f>
        <v/>
      </c>
      <c r="AD303" s="27" t="inlineStr">
        <is>
          <t>ESTIMATED</t>
        </is>
      </c>
      <c r="AE303" s="28" t="inlineStr">
        <is>
          <t>https://marquesadmjudicial.com.br/sgc/download.php?file=files/processo_documento/processo_documento20014127022025_1_.pdf&amp;nome=Relação Nominal de Credores</t>
        </is>
      </c>
      <c r="AF303" s="27" t="inlineStr">
        <is>
          <t>p4 r17</t>
        </is>
      </c>
      <c r="AG303" s="27" t="inlineStr">
        <is>
          <t>p4: R$ 689.134,29</t>
        </is>
      </c>
      <c r="AH303" s="27" t="inlineStr">
        <is>
          <t>AJ_LIST</t>
        </is>
      </c>
      <c r="AI303" s="27" t="inlineStr">
        <is>
          <t>2024-11-08</t>
        </is>
      </c>
      <c r="AJ303" s="27" t="inlineStr">
        <is>
          <t>QUARANTINED</t>
        </is>
      </c>
      <c r="AK303" s="29" t="inlineStr">
        <is>
          <t>0001943-40.2024.8.16.0115</t>
        </is>
      </c>
      <c r="AL303" s="29" t="inlineStr">
        <is>
          <t>TJPR</t>
        </is>
      </c>
      <c r="AM303" s="29" t="inlineStr">
        <is>
          <t>ACTIVE</t>
        </is>
      </c>
      <c r="AN303" s="29" t="n">
        <v>2024</v>
      </c>
      <c r="AO303" s="29" t="inlineStr">
        <is>
          <t>live case, no plan document yet</t>
        </is>
      </c>
      <c r="AP303" s="29" t="inlineStr"/>
      <c r="AQ303" s="29" t="inlineStr"/>
      <c r="AR303" s="29" t="inlineStr"/>
      <c r="AS303" s="29" t="inlineStr"/>
      <c r="AT303" s="29" t="inlineStr">
        <is>
          <t>MID-MARKET</t>
        </is>
      </c>
      <c r="AU303" s="29" t="inlineStr">
        <is>
          <t>29957532</t>
        </is>
      </c>
      <c r="AV303" s="29" t="n">
        <v>1</v>
      </c>
      <c r="AW303" s="29" t="inlineStr">
        <is>
          <t>LIKELY_FINANCIAL_BY_NAME PARTIAL_DOC_CLASS_III_RECONCILED ROWS:p4r17</t>
        </is>
      </c>
    </row>
    <row r="304">
      <c r="A304" s="15" t="inlineStr">
        <is>
          <t>BANCO TOPÁZIO S/A</t>
        </is>
      </c>
      <c r="B304" s="16" t="n">
        <v>629629.22</v>
      </c>
      <c r="C304" s="17" t="inlineStr"/>
      <c r="D304" s="18" t="inlineStr">
        <is>
          <t>NEW</t>
        </is>
      </c>
      <c r="E304" s="19" t="inlineStr"/>
      <c r="F304" s="18" t="inlineStr"/>
      <c r="G304" s="19" t="inlineStr"/>
      <c r="H304" s="18" t="inlineStr"/>
      <c r="I304" s="20" t="inlineStr"/>
      <c r="J304" s="20" t="inlineStr"/>
      <c r="K304" s="20" t="inlineStr"/>
      <c r="L304" s="20" t="inlineStr"/>
      <c r="M304" s="20" t="inlineStr"/>
      <c r="N304" s="20" t="inlineStr"/>
      <c r="O304" s="20" t="inlineStr"/>
      <c r="P304" s="20" t="inlineStr"/>
      <c r="Q304" s="20" t="inlineStr"/>
      <c r="R304" s="20" t="inlineStr"/>
      <c r="S304" s="20" t="inlineStr"/>
      <c r="T304" s="21" t="n">
        <v>629629.22</v>
      </c>
      <c r="U304" s="31" t="inlineStr">
        <is>
          <t>C</t>
        </is>
      </c>
      <c r="V304" s="23">
        <f>IFERROR(VLOOKUP(U304,Assumptions!$A$7:$D$11,2,FALSE),0)</f>
        <v/>
      </c>
      <c r="W304" s="24">
        <f>MAX(0.5,IFERROR(VLOOKUP(U304,Assumptions!$A$7:$D$11,3,FALSE),3)+IFERROR(VLOOKUP(U304,Assumptions!$A$7:$D$11,4,FALSE),8)/2-IF(AN304="",0,YEAR(TODAY())-AN304))</f>
        <v/>
      </c>
      <c r="X304" s="21">
        <f>T304*V304/(1+Assumptions!$B$3)^W304</f>
        <v/>
      </c>
      <c r="Y304" s="25">
        <f>IF(T304=0,"",ROUND(X304/T304*100,1))</f>
        <v/>
      </c>
      <c r="Z304" s="26">
        <f>X304*Assumptions!$B$4</f>
        <v/>
      </c>
      <c r="AA304" s="25">
        <f>IF(T304=0,"",ROUND(Z304/T304*100,1))</f>
        <v/>
      </c>
      <c r="AB304" s="26">
        <f>X304-Z304</f>
        <v/>
      </c>
      <c r="AC304" s="25">
        <f>IF(T304=0,"",ROUND((X304-Z304)/T304*100,1))</f>
        <v/>
      </c>
      <c r="AD304" s="27" t="inlineStr">
        <is>
          <t>UNKNOWN</t>
        </is>
      </c>
      <c r="AE304" s="28" t="inlineStr">
        <is>
          <t>https://administradorajudicialgs.com.br/wp-content/uploads/2024/12/relacao-de-credores-da-falida.pdf</t>
        </is>
      </c>
      <c r="AF304" s="27" t="inlineStr">
        <is>
          <t>p13 r11</t>
        </is>
      </c>
      <c r="AG304" s="27" t="inlineStr">
        <is>
          <t>p13: R$ 629.629,22</t>
        </is>
      </c>
      <c r="AH304" s="27" t="inlineStr">
        <is>
          <t>UNKNOWN</t>
        </is>
      </c>
      <c r="AI304" s="27" t="inlineStr">
        <is>
          <t>2025-03-25</t>
        </is>
      </c>
      <c r="AJ304" s="27" t="inlineStr">
        <is>
          <t>OK_NO_TOTALS</t>
        </is>
      </c>
      <c r="AK304" s="29" t="inlineStr">
        <is>
          <t>0005010-50.2013.8.24.0026</t>
        </is>
      </c>
      <c r="AL304" s="29" t="inlineStr">
        <is>
          <t>TJ</t>
        </is>
      </c>
      <c r="AM304" s="29" t="inlineStr"/>
      <c r="AN304" s="29" t="n">
        <v>2013</v>
      </c>
      <c r="AO304" s="29" t="inlineStr">
        <is>
          <t>13y since filing, no plan document</t>
        </is>
      </c>
      <c r="AP304" s="29" t="inlineStr"/>
      <c r="AQ304" s="29" t="inlineStr"/>
      <c r="AR304" s="29" t="inlineStr"/>
      <c r="AS304" s="29" t="inlineStr"/>
      <c r="AT304" s="29" t="inlineStr">
        <is>
          <t>MID-MARKET</t>
        </is>
      </c>
      <c r="AU304" s="29" t="inlineStr">
        <is>
          <t>07679404</t>
        </is>
      </c>
      <c r="AV304" s="29" t="n">
        <v>1</v>
      </c>
      <c r="AW304" s="29" t="inlineStr">
        <is>
          <t>LIKELY_FINANCIAL_BY_NAME ROWS:p13r11 UNRECONCILED_SOURCE</t>
        </is>
      </c>
    </row>
    <row r="305">
      <c r="A305" s="15" t="inlineStr">
        <is>
          <t>CREDIT PARTNERS FUNDO DE INVESTIMENTO EM DIREITOS CREDITÓRIOS NÃO PADRONIZADOS</t>
        </is>
      </c>
      <c r="B305" s="16" t="n">
        <v>547127.35</v>
      </c>
      <c r="C305" s="17" t="inlineStr">
        <is>
          <t>Conduscabos Brasil Indústria Comércio de</t>
        </is>
      </c>
      <c r="D305" s="18" t="inlineStr">
        <is>
          <t>NEW</t>
        </is>
      </c>
      <c r="E305" s="19" t="inlineStr"/>
      <c r="F305" s="18" t="inlineStr"/>
      <c r="G305" s="19" t="inlineStr"/>
      <c r="H305" s="18" t="inlineStr"/>
      <c r="I305" s="20" t="inlineStr"/>
      <c r="J305" s="20" t="inlineStr"/>
      <c r="K305" s="20" t="inlineStr"/>
      <c r="L305" s="20" t="inlineStr"/>
      <c r="M305" s="20" t="inlineStr"/>
      <c r="N305" s="20" t="inlineStr"/>
      <c r="O305" s="20" t="inlineStr"/>
      <c r="P305" s="20" t="inlineStr"/>
      <c r="Q305" s="20" t="inlineStr"/>
      <c r="R305" s="20" t="inlineStr"/>
      <c r="S305" s="20" t="inlineStr"/>
      <c r="T305" s="21" t="n">
        <v>547127.35</v>
      </c>
      <c r="U305" s="22" t="inlineStr">
        <is>
          <t>B</t>
        </is>
      </c>
      <c r="V305" s="23">
        <f>IFERROR(VLOOKUP(U305,Assumptions!$A$7:$D$11,2,FALSE),0)</f>
        <v/>
      </c>
      <c r="W305" s="24">
        <f>MAX(0.5,IFERROR(VLOOKUP(U305,Assumptions!$A$7:$D$11,3,FALSE),3)+IFERROR(VLOOKUP(U305,Assumptions!$A$7:$D$11,4,FALSE),8)/2-IF(AN305="",0,YEAR(TODAY())-AN305))</f>
        <v/>
      </c>
      <c r="X305" s="21">
        <f>T305*V305/(1+Assumptions!$B$3)^W305</f>
        <v/>
      </c>
      <c r="Y305" s="25">
        <f>IF(T305=0,"",ROUND(X305/T305*100,1))</f>
        <v/>
      </c>
      <c r="Z305" s="26">
        <f>X305*Assumptions!$B$4</f>
        <v/>
      </c>
      <c r="AA305" s="25">
        <f>IF(T305=0,"",ROUND(Z305/T305*100,1))</f>
        <v/>
      </c>
      <c r="AB305" s="26">
        <f>X305-Z305</f>
        <v/>
      </c>
      <c r="AC305" s="25">
        <f>IF(T305=0,"",ROUND((X305-Z305)/T305*100,1))</f>
        <v/>
      </c>
      <c r="AD305" s="27" t="inlineStr">
        <is>
          <t>ESTIMATED</t>
        </is>
      </c>
      <c r="AE305" s="28" t="inlineStr">
        <is>
          <t>https://assistjud.com.br/wp-content/uploads/elementor/forms/65098c80a5824.pdf</t>
        </is>
      </c>
      <c r="AF305" s="27" t="inlineStr">
        <is>
          <t>p6 r11; p17 r11</t>
        </is>
      </c>
      <c r="AG305" s="27" t="inlineStr">
        <is>
          <t>p6: R$ 333.437,35; p17: R$ 213.690,00</t>
        </is>
      </c>
      <c r="AH305" s="27" t="inlineStr">
        <is>
          <t>AJ_LIST</t>
        </is>
      </c>
      <c r="AI305" s="27" t="inlineStr">
        <is>
          <t>2023-09-18</t>
        </is>
      </c>
      <c r="AJ305" s="27" t="inlineStr">
        <is>
          <t>OK_NO_TOTALS</t>
        </is>
      </c>
      <c r="AK305" s="29" t="inlineStr">
        <is>
          <t>8005129-09.2023.8.05.0039</t>
        </is>
      </c>
      <c r="AL305" s="29" t="inlineStr">
        <is>
          <t>TJBA</t>
        </is>
      </c>
      <c r="AM305" s="29" t="inlineStr">
        <is>
          <t>ACTIVE</t>
        </is>
      </c>
      <c r="AN305" s="29" t="n">
        <v>2023</v>
      </c>
      <c r="AO305" s="29" t="inlineStr">
        <is>
          <t>live case, no plan document yet</t>
        </is>
      </c>
      <c r="AP305" s="29" t="inlineStr"/>
      <c r="AQ305" s="29" t="inlineStr"/>
      <c r="AR305" s="29" t="inlineStr"/>
      <c r="AS305" s="29" t="inlineStr"/>
      <c r="AT305" s="29" t="inlineStr">
        <is>
          <t>MID-MARKET</t>
        </is>
      </c>
      <c r="AU305" s="29" t="inlineStr">
        <is>
          <t>32274874</t>
        </is>
      </c>
      <c r="AV305" s="29" t="n">
        <v>2</v>
      </c>
      <c r="AW305" s="29" t="inlineStr">
        <is>
          <t>LIKELY_FINANCIAL_BY_NAME ROWS:p6r11,p17r11 UNRECONCILED_SOURCE VALUE_COL:Valor_Do_Crédito_2º_Edital_De_Credores</t>
        </is>
      </c>
    </row>
    <row r="306">
      <c r="A306" s="15" t="inlineStr">
        <is>
          <t>BANCO BRADESCO S.A.</t>
        </is>
      </c>
      <c r="B306" s="16" t="n">
        <v>840000</v>
      </c>
      <c r="C306" s="17" t="inlineStr">
        <is>
          <t>- VENEZA SERVIÇOS ADMINISTRATIVOS LTDA</t>
        </is>
      </c>
      <c r="D306" s="18" t="inlineStr">
        <is>
          <t>NEW</t>
        </is>
      </c>
      <c r="E306" s="19" t="inlineStr"/>
      <c r="F306" s="18" t="inlineStr"/>
      <c r="G306" s="19" t="inlineStr"/>
      <c r="H306" s="18" t="inlineStr"/>
      <c r="I306" s="20" t="inlineStr">
        <is>
          <t>MARCELO DE ARAUJO NORONHA</t>
        </is>
      </c>
      <c r="J306" s="20" t="inlineStr">
        <is>
          <t>Presidente</t>
        </is>
      </c>
      <c r="K306" s="20" t="inlineStr">
        <is>
          <t>(11) 3684-5122</t>
        </is>
      </c>
      <c r="L306" s="20" t="inlineStr"/>
      <c r="M306" s="20" t="inlineStr"/>
      <c r="N306" s="20" t="inlineStr"/>
      <c r="O306" s="20" t="inlineStr"/>
      <c r="P306" s="20" t="inlineStr">
        <is>
          <t>AFRANIO CARLOS CAMARGO DANTZGER</t>
        </is>
      </c>
      <c r="Q306" s="20" t="inlineStr">
        <is>
          <t>Diretor</t>
        </is>
      </c>
      <c r="R306" s="20" t="inlineStr">
        <is>
          <t>(11) 3684-5122</t>
        </is>
      </c>
      <c r="S306" s="20" t="inlineStr"/>
      <c r="T306" s="21" t="n">
        <v>840000</v>
      </c>
      <c r="U306" s="22" t="inlineStr">
        <is>
          <t>B</t>
        </is>
      </c>
      <c r="V306" s="23">
        <f>IFERROR(VLOOKUP(U306,Assumptions!$A$7:$D$11,2,FALSE),0)</f>
        <v/>
      </c>
      <c r="W306" s="24">
        <f>MAX(0.5,IFERROR(VLOOKUP(U306,Assumptions!$A$7:$D$11,3,FALSE),3)+IFERROR(VLOOKUP(U306,Assumptions!$A$7:$D$11,4,FALSE),8)/2-IF(AN306="",0,YEAR(TODAY())-AN306))</f>
        <v/>
      </c>
      <c r="X306" s="21">
        <f>T306*V306/(1+Assumptions!$B$3)^W306</f>
        <v/>
      </c>
      <c r="Y306" s="25">
        <f>IF(T306=0,"",ROUND(X306/T306*100,1))</f>
        <v/>
      </c>
      <c r="Z306" s="26">
        <f>X306*Assumptions!$B$4</f>
        <v/>
      </c>
      <c r="AA306" s="25">
        <f>IF(T306=0,"",ROUND(Z306/T306*100,1))</f>
        <v/>
      </c>
      <c r="AB306" s="26">
        <f>X306-Z306</f>
        <v/>
      </c>
      <c r="AC306" s="25">
        <f>IF(T306=0,"",ROUND((X306-Z306)/T306*100,1))</f>
        <v/>
      </c>
      <c r="AD306" s="27" t="inlineStr">
        <is>
          <t>ESTIMATED</t>
        </is>
      </c>
      <c r="AE306" s="28" t="inlineStr">
        <is>
          <t>https://bugarimecoelho.com.br/ws/media-library/b6b7ea42b9fa2afe30bc728fe00cd5c6/07---edital-do-processamento-da-recuperacao-judicial.pdf</t>
        </is>
      </c>
      <c r="AF306" s="27" t="inlineStr">
        <is>
          <t>p16 r4</t>
        </is>
      </c>
      <c r="AG306" s="27" t="inlineStr">
        <is>
          <t>p16: R$ 840.000,00</t>
        </is>
      </c>
      <c r="AH306" s="27" t="inlineStr">
        <is>
          <t>UNKNOWN</t>
        </is>
      </c>
      <c r="AI306" s="27" t="inlineStr">
        <is>
          <t>2026-07-09</t>
        </is>
      </c>
      <c r="AJ306" s="27" t="inlineStr">
        <is>
          <t>OK</t>
        </is>
      </c>
      <c r="AK306" s="29" t="inlineStr">
        <is>
          <t>3000117-40.2025.8.06.0512</t>
        </is>
      </c>
      <c r="AL306" s="29" t="inlineStr">
        <is>
          <t>TJCE</t>
        </is>
      </c>
      <c r="AM306" s="29" t="inlineStr">
        <is>
          <t>ACTIVE</t>
        </is>
      </c>
      <c r="AN306" s="29" t="n">
        <v>2025</v>
      </c>
      <c r="AO306" s="29" t="inlineStr">
        <is>
          <t>live case, no plan document yet</t>
        </is>
      </c>
      <c r="AP306" s="29" t="inlineStr">
        <is>
          <t>OSASCO</t>
        </is>
      </c>
      <c r="AQ306" s="29" t="inlineStr">
        <is>
          <t>SP</t>
        </is>
      </c>
      <c r="AR306" s="29" t="inlineStr">
        <is>
          <t>Bancos múltiplos, com carteira comercial</t>
        </is>
      </c>
      <c r="AS306" s="29" t="inlineStr">
        <is>
          <t>DEMAIS</t>
        </is>
      </c>
      <c r="AT306" s="29" t="inlineStr">
        <is>
          <t>LARGE CORP</t>
        </is>
      </c>
      <c r="AU306" s="29" t="inlineStr">
        <is>
          <t>60746948</t>
        </is>
      </c>
      <c r="AV306" s="29" t="n">
        <v>1</v>
      </c>
      <c r="AW306" s="29" t="inlineStr">
        <is>
          <t>LIKELY_FINANCIAL_BY_NAME ROWS:p16r4</t>
        </is>
      </c>
    </row>
    <row r="307">
      <c r="A307" s="15" t="inlineStr">
        <is>
          <t>CAIXA ECONOMICA FEDERAL</t>
        </is>
      </c>
      <c r="B307" s="16" t="n">
        <v>612992.66</v>
      </c>
      <c r="C307" s="17" t="inlineStr">
        <is>
          <t>DECOR MOVEIS PARA LOJA LTDA</t>
        </is>
      </c>
      <c r="D307" s="18" t="inlineStr">
        <is>
          <t>NEW</t>
        </is>
      </c>
      <c r="E307" s="19" t="inlineStr"/>
      <c r="F307" s="18" t="inlineStr"/>
      <c r="G307" s="19" t="inlineStr"/>
      <c r="H307" s="18" t="inlineStr"/>
      <c r="I307" s="20" t="inlineStr">
        <is>
          <t>ADRIANO ASSIS MATIAS</t>
        </is>
      </c>
      <c r="J307" s="20" t="inlineStr">
        <is>
          <t>Administrador</t>
        </is>
      </c>
      <c r="K307" s="20" t="inlineStr">
        <is>
          <t>(00) 4004-0104</t>
        </is>
      </c>
      <c r="L307" s="20" t="inlineStr"/>
      <c r="M307" s="20" t="inlineStr"/>
      <c r="N307" s="20" t="inlineStr"/>
      <c r="O307" s="20" t="inlineStr"/>
      <c r="P307" s="20" t="inlineStr">
        <is>
          <t>HENRIETE ALEXANDRA SARTORI BERNABE</t>
        </is>
      </c>
      <c r="Q307" s="20" t="inlineStr">
        <is>
          <t>Administrador</t>
        </is>
      </c>
      <c r="R307" s="20" t="inlineStr">
        <is>
          <t>(00) 4004-0104</t>
        </is>
      </c>
      <c r="S307" s="20" t="inlineStr"/>
      <c r="T307" s="21" t="n">
        <v>612992.66</v>
      </c>
      <c r="U307" s="31" t="inlineStr">
        <is>
          <t>C</t>
        </is>
      </c>
      <c r="V307" s="23">
        <f>IFERROR(VLOOKUP(U307,Assumptions!$A$7:$D$11,2,FALSE),0)</f>
        <v/>
      </c>
      <c r="W307" s="24">
        <f>MAX(0.5,IFERROR(VLOOKUP(U307,Assumptions!$A$7:$D$11,3,FALSE),3)+IFERROR(VLOOKUP(U307,Assumptions!$A$7:$D$11,4,FALSE),8)/2-IF(AN307="",0,YEAR(TODAY())-AN307))</f>
        <v/>
      </c>
      <c r="X307" s="21">
        <f>T307*V307/(1+Assumptions!$B$3)^W307</f>
        <v/>
      </c>
      <c r="Y307" s="25">
        <f>IF(T307=0,"",ROUND(X307/T307*100,1))</f>
        <v/>
      </c>
      <c r="Z307" s="26">
        <f>X307*Assumptions!$B$4</f>
        <v/>
      </c>
      <c r="AA307" s="25">
        <f>IF(T307=0,"",ROUND(Z307/T307*100,1))</f>
        <v/>
      </c>
      <c r="AB307" s="26">
        <f>X307-Z307</f>
        <v/>
      </c>
      <c r="AC307" s="25">
        <f>IF(T307=0,"",ROUND((X307-Z307)/T307*100,1))</f>
        <v/>
      </c>
      <c r="AD307" s="27" t="inlineStr">
        <is>
          <t>UNKNOWN</t>
        </is>
      </c>
      <c r="AE307" s="28" t="inlineStr">
        <is>
          <t>https://administradorajudicialgs.com.br/wp-content/uploads/2023/08/edital-quadro-geral-de-credores.pdf</t>
        </is>
      </c>
      <c r="AF307" s="27" t="inlineStr">
        <is>
          <t>p2 r19</t>
        </is>
      </c>
      <c r="AG307" s="27" t="inlineStr">
        <is>
          <t>p2: R$ 612.992,66</t>
        </is>
      </c>
      <c r="AH307" s="27" t="inlineStr">
        <is>
          <t>QGC</t>
        </is>
      </c>
      <c r="AI307" s="27" t="inlineStr">
        <is>
          <t>2024-07-05</t>
        </is>
      </c>
      <c r="AJ307" s="27" t="inlineStr">
        <is>
          <t>OK_NO_TOTALS</t>
        </is>
      </c>
      <c r="AK307" s="29" t="inlineStr">
        <is>
          <t>0301015-33.2016.8.24.0031</t>
        </is>
      </c>
      <c r="AL307" s="29" t="inlineStr">
        <is>
          <t>TJ</t>
        </is>
      </c>
      <c r="AM307" s="29" t="inlineStr"/>
      <c r="AN307" s="29" t="n">
        <v>2016</v>
      </c>
      <c r="AO307" s="29" t="inlineStr">
        <is>
          <t>10y since filing, no plan document</t>
        </is>
      </c>
      <c r="AP307" s="29" t="inlineStr">
        <is>
          <t>BRASILIA</t>
        </is>
      </c>
      <c r="AQ307" s="29" t="inlineStr">
        <is>
          <t>DF</t>
        </is>
      </c>
      <c r="AR307" s="29" t="inlineStr">
        <is>
          <t>Caixas econômicas</t>
        </is>
      </c>
      <c r="AS307" s="29" t="inlineStr">
        <is>
          <t>DEMAIS</t>
        </is>
      </c>
      <c r="AT307" s="29" t="inlineStr">
        <is>
          <t>LARGE CORP</t>
        </is>
      </c>
      <c r="AU307" s="29" t="inlineStr">
        <is>
          <t>00360305</t>
        </is>
      </c>
      <c r="AV307" s="29" t="n">
        <v>1</v>
      </c>
      <c r="AW307" s="29" t="inlineStr">
        <is>
          <t>LIKELY_FINANCIAL_BY_NAME ROWS:p2r19 UNRECONCILED_SOURCE</t>
        </is>
      </c>
    </row>
    <row r="308">
      <c r="A308" s="15" t="inlineStr">
        <is>
          <t>BANCO SANTANDER (BRASIL) S.A.</t>
        </is>
      </c>
      <c r="B308" s="16" t="n">
        <v>832680.36</v>
      </c>
      <c r="C308" s="17" t="inlineStr">
        <is>
          <t>- VENEZA SERVIÇOS ADMINISTRATIVOS LTDA</t>
        </is>
      </c>
      <c r="D308" s="18" t="inlineStr">
        <is>
          <t>NEW</t>
        </is>
      </c>
      <c r="E308" s="19" t="inlineStr"/>
      <c r="F308" s="18" t="inlineStr"/>
      <c r="G308" s="19" t="inlineStr"/>
      <c r="H308" s="18" t="inlineStr"/>
      <c r="I308" s="20" t="inlineStr">
        <is>
          <t>GILSON FINKELSZTAIN</t>
        </is>
      </c>
      <c r="J308" s="20" t="inlineStr">
        <is>
          <t>Presidente</t>
        </is>
      </c>
      <c r="K308" s="20" t="inlineStr">
        <is>
          <t>(11) 4004-3535</t>
        </is>
      </c>
      <c r="L308" s="20" t="inlineStr"/>
      <c r="M308" s="20" t="inlineStr"/>
      <c r="N308" s="20" t="inlineStr"/>
      <c r="O308" s="20" t="inlineStr"/>
      <c r="P308" s="20" t="inlineStr">
        <is>
          <t>ALESSANDRO CHAGAS FARIAS</t>
        </is>
      </c>
      <c r="Q308" s="20" t="inlineStr">
        <is>
          <t>Diretor</t>
        </is>
      </c>
      <c r="R308" s="20" t="inlineStr">
        <is>
          <t>(11) 4004-3535</t>
        </is>
      </c>
      <c r="S308" s="20" t="inlineStr"/>
      <c r="T308" s="21" t="n">
        <v>832680.36</v>
      </c>
      <c r="U308" s="22" t="inlineStr">
        <is>
          <t>B</t>
        </is>
      </c>
      <c r="V308" s="23">
        <f>IFERROR(VLOOKUP(U308,Assumptions!$A$7:$D$11,2,FALSE),0)</f>
        <v/>
      </c>
      <c r="W308" s="24">
        <f>MAX(0.5,IFERROR(VLOOKUP(U308,Assumptions!$A$7:$D$11,3,FALSE),3)+IFERROR(VLOOKUP(U308,Assumptions!$A$7:$D$11,4,FALSE),8)/2-IF(AN308="",0,YEAR(TODAY())-AN308))</f>
        <v/>
      </c>
      <c r="X308" s="21">
        <f>T308*V308/(1+Assumptions!$B$3)^W308</f>
        <v/>
      </c>
      <c r="Y308" s="25">
        <f>IF(T308=0,"",ROUND(X308/T308*100,1))</f>
        <v/>
      </c>
      <c r="Z308" s="26">
        <f>X308*Assumptions!$B$4</f>
        <v/>
      </c>
      <c r="AA308" s="25">
        <f>IF(T308=0,"",ROUND(Z308/T308*100,1))</f>
        <v/>
      </c>
      <c r="AB308" s="26">
        <f>X308-Z308</f>
        <v/>
      </c>
      <c r="AC308" s="25">
        <f>IF(T308=0,"",ROUND((X308-Z308)/T308*100,1))</f>
        <v/>
      </c>
      <c r="AD308" s="27" t="inlineStr">
        <is>
          <t>ESTIMATED</t>
        </is>
      </c>
      <c r="AE308" s="28" t="inlineStr">
        <is>
          <t>https://bugarimecoelho.com.br/ws/media-library/b6b7ea42b9fa2afe30bc728fe00cd5c6/07---edital-do-processamento-da-recuperacao-judicial.pdf</t>
        </is>
      </c>
      <c r="AF308" s="27" t="inlineStr">
        <is>
          <t>p16 r20</t>
        </is>
      </c>
      <c r="AG308" s="27" t="inlineStr">
        <is>
          <t>p16: R$ 832.680,36</t>
        </is>
      </c>
      <c r="AH308" s="27" t="inlineStr">
        <is>
          <t>UNKNOWN</t>
        </is>
      </c>
      <c r="AI308" s="27" t="inlineStr">
        <is>
          <t>2026-07-09</t>
        </is>
      </c>
      <c r="AJ308" s="27" t="inlineStr">
        <is>
          <t>OK</t>
        </is>
      </c>
      <c r="AK308" s="29" t="inlineStr">
        <is>
          <t>3000117-40.2025.8.06.0512</t>
        </is>
      </c>
      <c r="AL308" s="29" t="inlineStr">
        <is>
          <t>TJCE</t>
        </is>
      </c>
      <c r="AM308" s="29" t="inlineStr">
        <is>
          <t>ACTIVE</t>
        </is>
      </c>
      <c r="AN308" s="29" t="n">
        <v>2025</v>
      </c>
      <c r="AO308" s="29" t="inlineStr">
        <is>
          <t>live case, no plan document yet</t>
        </is>
      </c>
      <c r="AP308" s="29" t="inlineStr">
        <is>
          <t>SAO PAULO</t>
        </is>
      </c>
      <c r="AQ308" s="29" t="inlineStr">
        <is>
          <t>SP</t>
        </is>
      </c>
      <c r="AR308" s="29" t="inlineStr">
        <is>
          <t>Bancos múltiplos, com carteira comercial</t>
        </is>
      </c>
      <c r="AS308" s="29" t="inlineStr">
        <is>
          <t>DEMAIS</t>
        </is>
      </c>
      <c r="AT308" s="29" t="inlineStr">
        <is>
          <t>LARGE CORP</t>
        </is>
      </c>
      <c r="AU308" s="29" t="inlineStr">
        <is>
          <t>90400888</t>
        </is>
      </c>
      <c r="AV308" s="29" t="n">
        <v>1</v>
      </c>
      <c r="AW308" s="29" t="inlineStr">
        <is>
          <t>LIKELY_FINANCIAL_BY_NAME ROWS:p16r20</t>
        </is>
      </c>
    </row>
    <row r="309">
      <c r="A309" s="15" t="inlineStr">
        <is>
          <t>BANCO BOCOM BBM S.A.</t>
        </is>
      </c>
      <c r="B309" s="16" t="n">
        <v>1018255.6</v>
      </c>
      <c r="C309" s="17" t="inlineStr">
        <is>
          <t>E FALENCIA</t>
        </is>
      </c>
      <c r="D309" s="18" t="inlineStr">
        <is>
          <t>NEW</t>
        </is>
      </c>
      <c r="E309" s="19" t="inlineStr"/>
      <c r="F309" s="18" t="inlineStr"/>
      <c r="G309" s="19" t="inlineStr"/>
      <c r="H309" s="18" t="inlineStr"/>
      <c r="I309" s="20" t="inlineStr">
        <is>
          <t>ALEXANDRE LOWENKRON</t>
        </is>
      </c>
      <c r="J309" s="20" t="inlineStr">
        <is>
          <t>Diretor</t>
        </is>
      </c>
      <c r="K309" s="20" t="inlineStr">
        <is>
          <t>(71) 3243-2666</t>
        </is>
      </c>
      <c r="L309" s="20" t="inlineStr"/>
      <c r="M309" s="20" t="inlineStr"/>
      <c r="N309" s="20" t="inlineStr"/>
      <c r="O309" s="20" t="inlineStr"/>
      <c r="P309" s="20" t="inlineStr">
        <is>
          <t>ALEXANDRE MOSCOSO CABRAL</t>
        </is>
      </c>
      <c r="Q309" s="20" t="inlineStr">
        <is>
          <t>Diretor</t>
        </is>
      </c>
      <c r="R309" s="20" t="inlineStr">
        <is>
          <t>(71) 3243-2666</t>
        </is>
      </c>
      <c r="S309" s="20" t="inlineStr"/>
      <c r="T309" s="21" t="n">
        <v>1018255.6</v>
      </c>
      <c r="U309" s="22" t="inlineStr">
        <is>
          <t>B</t>
        </is>
      </c>
      <c r="V309" s="23">
        <f>IFERROR(VLOOKUP(U309,Assumptions!$A$7:$D$11,2,FALSE),0)</f>
        <v/>
      </c>
      <c r="W309" s="24">
        <f>MAX(0.5,IFERROR(VLOOKUP(U309,Assumptions!$A$7:$D$11,3,FALSE),3)+IFERROR(VLOOKUP(U309,Assumptions!$A$7:$D$11,4,FALSE),8)/2-IF(AN309="",0,YEAR(TODAY())-AN309))</f>
        <v/>
      </c>
      <c r="X309" s="21">
        <f>T309*V309/(1+Assumptions!$B$3)^W309</f>
        <v/>
      </c>
      <c r="Y309" s="25">
        <f>IF(T309=0,"",ROUND(X309/T309*100,1))</f>
        <v/>
      </c>
      <c r="Z309" s="26">
        <f>X309*Assumptions!$B$4</f>
        <v/>
      </c>
      <c r="AA309" s="25">
        <f>IF(T309=0,"",ROUND(Z309/T309*100,1))</f>
        <v/>
      </c>
      <c r="AB309" s="26">
        <f>X309-Z309</f>
        <v/>
      </c>
      <c r="AC309" s="25">
        <f>IF(T309=0,"",ROUND((X309-Z309)/T309*100,1))</f>
        <v/>
      </c>
      <c r="AD309" s="27" t="inlineStr">
        <is>
          <t>ESTIMATED</t>
        </is>
      </c>
      <c r="AE309" s="28" t="inlineStr">
        <is>
          <t>https://recuperasolucoes.com/wp-content/plugins/download-attachments/includes/download.php?id=1597</t>
        </is>
      </c>
      <c r="AF309" s="27" t="inlineStr">
        <is>
          <t>p13 r6</t>
        </is>
      </c>
      <c r="AG309" s="27" t="inlineStr">
        <is>
          <t>p13: R$ 1.018.255,60</t>
        </is>
      </c>
      <c r="AH309" s="27" t="inlineStr">
        <is>
          <t>DEBTOR_LIST</t>
        </is>
      </c>
      <c r="AI309" s="27" t="inlineStr">
        <is>
          <t>2026-05-21</t>
        </is>
      </c>
      <c r="AJ309" s="27" t="inlineStr">
        <is>
          <t>OK</t>
        </is>
      </c>
      <c r="AK309" s="29" t="inlineStr">
        <is>
          <t>0001639-09.2026.8.17.2810</t>
        </is>
      </c>
      <c r="AL309" s="29" t="inlineStr">
        <is>
          <t>TJPE</t>
        </is>
      </c>
      <c r="AM309" s="29" t="inlineStr">
        <is>
          <t>ACTIVE</t>
        </is>
      </c>
      <c r="AN309" s="29" t="n">
        <v>2026</v>
      </c>
      <c r="AO309" s="29" t="inlineStr">
        <is>
          <t>live case, no plan document yet</t>
        </is>
      </c>
      <c r="AP309" s="29" t="inlineStr">
        <is>
          <t>SALVADOR</t>
        </is>
      </c>
      <c r="AQ309" s="29" t="inlineStr">
        <is>
          <t>BA</t>
        </is>
      </c>
      <c r="AR309" s="29" t="inlineStr">
        <is>
          <t>Bancos múltiplos, com carteira comercial</t>
        </is>
      </c>
      <c r="AS309" s="29" t="inlineStr">
        <is>
          <t>DEMAIS</t>
        </is>
      </c>
      <c r="AT309" s="29" t="inlineStr">
        <is>
          <t>LARGE CORP</t>
        </is>
      </c>
      <c r="AU309" s="29" t="inlineStr">
        <is>
          <t>15114366</t>
        </is>
      </c>
      <c r="AV309" s="29" t="n">
        <v>1</v>
      </c>
      <c r="AW309" s="29" t="inlineStr">
        <is>
          <t>ROWS:p13r6</t>
        </is>
      </c>
    </row>
    <row r="310">
      <c r="A310" s="15" t="inlineStr">
        <is>
          <t>BANCO BRADESCO S.A.</t>
        </is>
      </c>
      <c r="B310" s="16" t="n">
        <v>641500</v>
      </c>
      <c r="C310" s="17" t="inlineStr">
        <is>
          <t>ATIVOS ADMINISTRAÇÃO JUDICIA</t>
        </is>
      </c>
      <c r="D310" s="18" t="inlineStr">
        <is>
          <t>NEW</t>
        </is>
      </c>
      <c r="E310" s="19" t="inlineStr"/>
      <c r="F310" s="18" t="inlineStr"/>
      <c r="G310" s="19" t="inlineStr"/>
      <c r="H310" s="18" t="inlineStr"/>
      <c r="I310" s="20" t="inlineStr">
        <is>
          <t>MARCELO DE ARAUJO NORONHA</t>
        </is>
      </c>
      <c r="J310" s="20" t="inlineStr">
        <is>
          <t>Presidente</t>
        </is>
      </c>
      <c r="K310" s="20" t="inlineStr">
        <is>
          <t>(11) 3684-5122</t>
        </is>
      </c>
      <c r="L310" s="20" t="inlineStr"/>
      <c r="M310" s="20" t="inlineStr"/>
      <c r="N310" s="20" t="inlineStr"/>
      <c r="O310" s="20" t="inlineStr"/>
      <c r="P310" s="20" t="inlineStr">
        <is>
          <t>AFRANIO CARLOS CAMARGO DANTZGER</t>
        </is>
      </c>
      <c r="Q310" s="20" t="inlineStr">
        <is>
          <t>Diretor</t>
        </is>
      </c>
      <c r="R310" s="20" t="inlineStr">
        <is>
          <t>(11) 3684-5122</t>
        </is>
      </c>
      <c r="S310" s="20" t="inlineStr"/>
      <c r="T310" s="21" t="n">
        <v>641500</v>
      </c>
      <c r="U310" s="22" t="inlineStr">
        <is>
          <t>B</t>
        </is>
      </c>
      <c r="V310" s="23">
        <f>IFERROR(VLOOKUP(U310,Assumptions!$A$7:$D$11,2,FALSE),0)</f>
        <v/>
      </c>
      <c r="W310" s="24">
        <f>MAX(0.5,IFERROR(VLOOKUP(U310,Assumptions!$A$7:$D$11,3,FALSE),3)+IFERROR(VLOOKUP(U310,Assumptions!$A$7:$D$11,4,FALSE),8)/2-IF(AN310="",0,YEAR(TODAY())-AN310))</f>
        <v/>
      </c>
      <c r="X310" s="21">
        <f>T310*V310/(1+Assumptions!$B$3)^W310</f>
        <v/>
      </c>
      <c r="Y310" s="25">
        <f>IF(T310=0,"",ROUND(X310/T310*100,1))</f>
        <v/>
      </c>
      <c r="Z310" s="26">
        <f>X310*Assumptions!$B$4</f>
        <v/>
      </c>
      <c r="AA310" s="25">
        <f>IF(T310=0,"",ROUND(Z310/T310*100,1))</f>
        <v/>
      </c>
      <c r="AB310" s="26">
        <f>X310-Z310</f>
        <v/>
      </c>
      <c r="AC310" s="25">
        <f>IF(T310=0,"",ROUND((X310-Z310)/T310*100,1))</f>
        <v/>
      </c>
      <c r="AD310" s="27" t="inlineStr">
        <is>
          <t>ESTIMATED</t>
        </is>
      </c>
      <c r="AE310" s="28" t="inlineStr">
        <is>
          <t>https://ativosajce.com.br/admin/download.php?file=files/processo_documento/processo_documento18543908052025_1_.pdf&amp;nome=Relação de Credores - art. 52, §1º da Lei 11.101/05 - 27/01/2025</t>
        </is>
      </c>
      <c r="AF310" s="27" t="inlineStr">
        <is>
          <t>p3 r2; p3 r13</t>
        </is>
      </c>
      <c r="AG310" s="27" t="inlineStr">
        <is>
          <t>p3: R$ 296.500,00; p3: R$ 345.000,00</t>
        </is>
      </c>
      <c r="AH310" s="27" t="inlineStr">
        <is>
          <t>UNKNOWN</t>
        </is>
      </c>
      <c r="AI310" s="27" t="inlineStr"/>
      <c r="AJ310" s="27" t="inlineStr">
        <is>
          <t>OK_NO_TOTALS</t>
        </is>
      </c>
      <c r="AK310" s="29" t="inlineStr">
        <is>
          <t>1001174-80.2024.8.26.0359</t>
        </is>
      </c>
      <c r="AL310" s="29" t="inlineStr">
        <is>
          <t>TJSP</t>
        </is>
      </c>
      <c r="AM310" s="29" t="inlineStr">
        <is>
          <t>ACTIVE</t>
        </is>
      </c>
      <c r="AN310" s="29" t="n">
        <v>2024</v>
      </c>
      <c r="AO310" s="29" t="inlineStr">
        <is>
          <t>live case, no plan document yet</t>
        </is>
      </c>
      <c r="AP310" s="29" t="inlineStr">
        <is>
          <t>OSASCO</t>
        </is>
      </c>
      <c r="AQ310" s="29" t="inlineStr">
        <is>
          <t>SP</t>
        </is>
      </c>
      <c r="AR310" s="29" t="inlineStr">
        <is>
          <t>Bancos múltiplos, com carteira comercial</t>
        </is>
      </c>
      <c r="AS310" s="29" t="inlineStr">
        <is>
          <t>DEMAIS</t>
        </is>
      </c>
      <c r="AT310" s="29" t="inlineStr">
        <is>
          <t>LARGE CORP</t>
        </is>
      </c>
      <c r="AU310" s="29" t="inlineStr">
        <is>
          <t>60746948</t>
        </is>
      </c>
      <c r="AV310" s="29" t="n">
        <v>2</v>
      </c>
      <c r="AW310" s="29" t="inlineStr">
        <is>
          <t>ROWS:p3r2,p3r13 UNRECONCILED_SOURCE VALUE_COL:Valor_Do_Créidto</t>
        </is>
      </c>
    </row>
    <row r="311">
      <c r="A311" s="15" t="inlineStr">
        <is>
          <t>BANCO BRADESCO S.A.</t>
        </is>
      </c>
      <c r="B311" s="16" t="n">
        <v>640790</v>
      </c>
      <c r="C311" s="17" t="inlineStr">
        <is>
          <t>BANCO DO BRASIL SA</t>
        </is>
      </c>
      <c r="D311" s="18" t="inlineStr">
        <is>
          <t>NEW</t>
        </is>
      </c>
      <c r="E311" s="19" t="inlineStr"/>
      <c r="F311" s="18" t="inlineStr"/>
      <c r="G311" s="19" t="inlineStr"/>
      <c r="H311" s="18" t="inlineStr"/>
      <c r="I311" s="20" t="inlineStr">
        <is>
          <t>MARCELO DE ARAUJO NORONHA</t>
        </is>
      </c>
      <c r="J311" s="20" t="inlineStr">
        <is>
          <t>Presidente</t>
        </is>
      </c>
      <c r="K311" s="20" t="inlineStr">
        <is>
          <t>(11) 3684-5122</t>
        </is>
      </c>
      <c r="L311" s="20" t="inlineStr"/>
      <c r="M311" s="20" t="inlineStr"/>
      <c r="N311" s="20" t="inlineStr"/>
      <c r="O311" s="20" t="inlineStr"/>
      <c r="P311" s="20" t="inlineStr">
        <is>
          <t>AFRANIO CARLOS CAMARGO DANTZGER</t>
        </is>
      </c>
      <c r="Q311" s="20" t="inlineStr">
        <is>
          <t>Diretor</t>
        </is>
      </c>
      <c r="R311" s="20" t="inlineStr">
        <is>
          <t>(11) 3684-5122</t>
        </is>
      </c>
      <c r="S311" s="20" t="inlineStr"/>
      <c r="T311" s="21" t="n">
        <v>640790</v>
      </c>
      <c r="U311" s="22" t="inlineStr">
        <is>
          <t>B</t>
        </is>
      </c>
      <c r="V311" s="23">
        <f>IFERROR(VLOOKUP(U311,Assumptions!$A$7:$D$11,2,FALSE),0)</f>
        <v/>
      </c>
      <c r="W311" s="24">
        <f>MAX(0.5,IFERROR(VLOOKUP(U311,Assumptions!$A$7:$D$11,3,FALSE),3)+IFERROR(VLOOKUP(U311,Assumptions!$A$7:$D$11,4,FALSE),8)/2-IF(AN311="",0,YEAR(TODAY())-AN311))</f>
        <v/>
      </c>
      <c r="X311" s="21">
        <f>T311*V311/(1+Assumptions!$B$3)^W311</f>
        <v/>
      </c>
      <c r="Y311" s="25">
        <f>IF(T311=0,"",ROUND(X311/T311*100,1))</f>
        <v/>
      </c>
      <c r="Z311" s="26">
        <f>X311*Assumptions!$B$4</f>
        <v/>
      </c>
      <c r="AA311" s="25">
        <f>IF(T311=0,"",ROUND(Z311/T311*100,1))</f>
        <v/>
      </c>
      <c r="AB311" s="26">
        <f>X311-Z311</f>
        <v/>
      </c>
      <c r="AC311" s="25">
        <f>IF(T311=0,"",ROUND((X311-Z311)/T311*100,1))</f>
        <v/>
      </c>
      <c r="AD311" s="27" t="inlineStr">
        <is>
          <t>ESTIMATED</t>
        </is>
      </c>
      <c r="AE311" s="28" t="inlineStr">
        <is>
          <t>https://marquesadmjudicial.com.br/sgc/download.php?file=files/processo_documento/processo_documento09391327032025_1_.pdf&amp;nome=Relação Nominal de Credores AJ</t>
        </is>
      </c>
      <c r="AF311" s="27" t="inlineStr">
        <is>
          <t>p4 r5</t>
        </is>
      </c>
      <c r="AG311" s="27" t="inlineStr">
        <is>
          <t>p4: R$ 640.790,00</t>
        </is>
      </c>
      <c r="AH311" s="27" t="inlineStr">
        <is>
          <t>AJ_LIST</t>
        </is>
      </c>
      <c r="AI311" s="27" t="inlineStr">
        <is>
          <t>2025-03-21</t>
        </is>
      </c>
      <c r="AJ311" s="27" t="inlineStr">
        <is>
          <t>QUARANTINED</t>
        </is>
      </c>
      <c r="AK311" s="29" t="inlineStr">
        <is>
          <t>0044747-14.2024.8.16.0021</t>
        </is>
      </c>
      <c r="AL311" s="29" t="inlineStr">
        <is>
          <t>TJPR</t>
        </is>
      </c>
      <c r="AM311" s="29" t="inlineStr">
        <is>
          <t>ACTIVE</t>
        </is>
      </c>
      <c r="AN311" s="29" t="n">
        <v>2024</v>
      </c>
      <c r="AO311" s="29" t="inlineStr">
        <is>
          <t>live case, no plan document yet</t>
        </is>
      </c>
      <c r="AP311" s="29" t="inlineStr">
        <is>
          <t>OSASCO</t>
        </is>
      </c>
      <c r="AQ311" s="29" t="inlineStr">
        <is>
          <t>SP</t>
        </is>
      </c>
      <c r="AR311" s="29" t="inlineStr">
        <is>
          <t>Bancos múltiplos, com carteira comercial</t>
        </is>
      </c>
      <c r="AS311" s="29" t="inlineStr">
        <is>
          <t>DEMAIS</t>
        </is>
      </c>
      <c r="AT311" s="29" t="inlineStr">
        <is>
          <t>LARGE CORP</t>
        </is>
      </c>
      <c r="AU311" s="29" t="inlineStr">
        <is>
          <t>60746948</t>
        </is>
      </c>
      <c r="AV311" s="29" t="n">
        <v>1</v>
      </c>
      <c r="AW311" s="29" t="inlineStr">
        <is>
          <t>NAME_MISSING PARTIAL_DOC_CLASS_III_RECONCILED ROWS:p4r5</t>
        </is>
      </c>
    </row>
    <row r="312">
      <c r="A312" s="15" t="inlineStr">
        <is>
          <t>ITAU UNIBANCO S.A.</t>
        </is>
      </c>
      <c r="B312" s="16" t="n">
        <v>585201.4</v>
      </c>
      <c r="C312" s="17" t="inlineStr">
        <is>
          <t>BANCO BRADESCO S.A.</t>
        </is>
      </c>
      <c r="D312" s="18" t="inlineStr">
        <is>
          <t>NEW</t>
        </is>
      </c>
      <c r="E312" s="19" t="inlineStr"/>
      <c r="F312" s="18" t="inlineStr"/>
      <c r="G312" s="19" t="inlineStr"/>
      <c r="H312" s="18" t="inlineStr"/>
      <c r="I312" s="20" t="inlineStr">
        <is>
          <t>FELIPE SAMPAIO NABUCO</t>
        </is>
      </c>
      <c r="J312" s="20" t="inlineStr">
        <is>
          <t>Administrador</t>
        </is>
      </c>
      <c r="K312" s="20" t="inlineStr">
        <is>
          <t>(11) 3003-4828</t>
        </is>
      </c>
      <c r="L312" s="20" t="inlineStr"/>
      <c r="M312" s="20" t="inlineStr"/>
      <c r="N312" s="20" t="inlineStr"/>
      <c r="O312" s="20" t="inlineStr"/>
      <c r="P312" s="20" t="inlineStr">
        <is>
          <t>MILTON MALUHY FILHO</t>
        </is>
      </c>
      <c r="Q312" s="20" t="inlineStr">
        <is>
          <t>Presidente</t>
        </is>
      </c>
      <c r="R312" s="20" t="inlineStr">
        <is>
          <t>(11) 3003-4828</t>
        </is>
      </c>
      <c r="S312" s="20" t="inlineStr"/>
      <c r="T312" s="21" t="n">
        <v>585201.4</v>
      </c>
      <c r="U312" s="31" t="inlineStr">
        <is>
          <t>C</t>
        </is>
      </c>
      <c r="V312" s="23">
        <f>IFERROR(VLOOKUP(U312,Assumptions!$A$7:$D$11,2,FALSE),0)</f>
        <v/>
      </c>
      <c r="W312" s="24">
        <f>MAX(0.5,IFERROR(VLOOKUP(U312,Assumptions!$A$7:$D$11,3,FALSE),3)+IFERROR(VLOOKUP(U312,Assumptions!$A$7:$D$11,4,FALSE),8)/2-IF(AN312="",0,YEAR(TODAY())-AN312))</f>
        <v/>
      </c>
      <c r="X312" s="21">
        <f>T312*V312/(1+Assumptions!$B$3)^W312</f>
        <v/>
      </c>
      <c r="Y312" s="25">
        <f>IF(T312=0,"",ROUND(X312/T312*100,1))</f>
        <v/>
      </c>
      <c r="Z312" s="26">
        <f>X312*Assumptions!$B$4</f>
        <v/>
      </c>
      <c r="AA312" s="25">
        <f>IF(T312=0,"",ROUND(Z312/T312*100,1))</f>
        <v/>
      </c>
      <c r="AB312" s="26">
        <f>X312-Z312</f>
        <v/>
      </c>
      <c r="AC312" s="25">
        <f>IF(T312=0,"",ROUND((X312-Z312)/T312*100,1))</f>
        <v/>
      </c>
      <c r="AD312" s="27" t="inlineStr">
        <is>
          <t>UNKNOWN</t>
        </is>
      </c>
      <c r="AE312" s="28" t="inlineStr">
        <is>
          <t>https://administradorajudicialgs.com.br/wp-content/uploads/2023/08/doc-06-relacao-credores-do-administrador-judicial-10-02-2015.pdf</t>
        </is>
      </c>
      <c r="AF312" s="27" t="inlineStr">
        <is>
          <t>p1 r36</t>
        </is>
      </c>
      <c r="AG312" s="27" t="inlineStr">
        <is>
          <t>p1: R$ 585.201,40</t>
        </is>
      </c>
      <c r="AH312" s="27" t="inlineStr">
        <is>
          <t>AJ_LIST</t>
        </is>
      </c>
      <c r="AI312" s="27" t="inlineStr"/>
      <c r="AJ312" s="27" t="inlineStr">
        <is>
          <t>QUARANTINED</t>
        </is>
      </c>
      <c r="AK312" s="29" t="inlineStr">
        <is>
          <t>0302174-63.2015.8.24.0025</t>
        </is>
      </c>
      <c r="AL312" s="29" t="inlineStr">
        <is>
          <t>TJ</t>
        </is>
      </c>
      <c r="AM312" s="29" t="inlineStr"/>
      <c r="AN312" s="29" t="n">
        <v>2015</v>
      </c>
      <c r="AO312" s="29" t="inlineStr">
        <is>
          <t>11y since filing, no plan document</t>
        </is>
      </c>
      <c r="AP312" s="29" t="inlineStr">
        <is>
          <t>SAO PAULO</t>
        </is>
      </c>
      <c r="AQ312" s="29" t="inlineStr">
        <is>
          <t>SP</t>
        </is>
      </c>
      <c r="AR312" s="29" t="inlineStr">
        <is>
          <t>Bancos comerciais</t>
        </is>
      </c>
      <c r="AS312" s="29" t="inlineStr">
        <is>
          <t>DEMAIS</t>
        </is>
      </c>
      <c r="AT312" s="29" t="inlineStr">
        <is>
          <t>LARGE CORP</t>
        </is>
      </c>
      <c r="AU312" s="29" t="inlineStr">
        <is>
          <t>60701190</t>
        </is>
      </c>
      <c r="AV312" s="29" t="n">
        <v>1</v>
      </c>
      <c r="AW312" s="29" t="inlineStr">
        <is>
          <t>LIKELY_FINANCIAL_BY_NAME PARTIAL_DOC_CLASS_III_RECONCILED ROWS:p1r36 VALUE_COL:Valores</t>
        </is>
      </c>
    </row>
    <row r="313">
      <c r="A313" s="15" t="inlineStr">
        <is>
          <t>BANCO VOTORANTIM S.A.</t>
        </is>
      </c>
      <c r="B313" s="16" t="n">
        <v>582719.9</v>
      </c>
      <c r="C313" s="17" t="inlineStr"/>
      <c r="D313" s="18" t="inlineStr">
        <is>
          <t>NEW</t>
        </is>
      </c>
      <c r="E313" s="19" t="inlineStr"/>
      <c r="F313" s="18" t="inlineStr"/>
      <c r="G313" s="19" t="inlineStr"/>
      <c r="H313" s="18" t="inlineStr"/>
      <c r="I313" s="20" t="inlineStr">
        <is>
          <t>GUSTAVO HENRIQUE SANTOS DE SOUSA</t>
        </is>
      </c>
      <c r="J313" s="20" t="inlineStr">
        <is>
          <t>Presidente</t>
        </is>
      </c>
      <c r="K313" s="20" t="inlineStr">
        <is>
          <t>(11) 5171-2672</t>
        </is>
      </c>
      <c r="L313" s="20" t="inlineStr">
        <is>
          <t>(11) 5171-2488</t>
        </is>
      </c>
      <c r="M313" s="20" t="inlineStr"/>
      <c r="N313" s="20" t="inlineStr"/>
      <c r="O313" s="20" t="inlineStr"/>
      <c r="P313" s="20" t="inlineStr">
        <is>
          <t>ALBERTO WAGNER TEIXEIRA CAMPOS</t>
        </is>
      </c>
      <c r="Q313" s="20" t="inlineStr">
        <is>
          <t>Diretor</t>
        </is>
      </c>
      <c r="R313" s="20" t="inlineStr">
        <is>
          <t>(11) 5171-2488</t>
        </is>
      </c>
      <c r="S313" s="20" t="inlineStr"/>
      <c r="T313" s="21" t="n">
        <v>582719.9</v>
      </c>
      <c r="U313" s="31" t="inlineStr">
        <is>
          <t>C</t>
        </is>
      </c>
      <c r="V313" s="23">
        <f>IFERROR(VLOOKUP(U313,Assumptions!$A$7:$D$11,2,FALSE),0)</f>
        <v/>
      </c>
      <c r="W313" s="24">
        <f>MAX(0.5,IFERROR(VLOOKUP(U313,Assumptions!$A$7:$D$11,3,FALSE),3)+IFERROR(VLOOKUP(U313,Assumptions!$A$7:$D$11,4,FALSE),8)/2-IF(AN313="",0,YEAR(TODAY())-AN313))</f>
        <v/>
      </c>
      <c r="X313" s="21">
        <f>T313*V313/(1+Assumptions!$B$3)^W313</f>
        <v/>
      </c>
      <c r="Y313" s="25">
        <f>IF(T313=0,"",ROUND(X313/T313*100,1))</f>
        <v/>
      </c>
      <c r="Z313" s="26">
        <f>X313*Assumptions!$B$4</f>
        <v/>
      </c>
      <c r="AA313" s="25">
        <f>IF(T313=0,"",ROUND(Z313/T313*100,1))</f>
        <v/>
      </c>
      <c r="AB313" s="26">
        <f>X313-Z313</f>
        <v/>
      </c>
      <c r="AC313" s="25">
        <f>IF(T313=0,"",ROUND((X313-Z313)/T313*100,1))</f>
        <v/>
      </c>
      <c r="AD313" s="27" t="inlineStr">
        <is>
          <t>UNKNOWN</t>
        </is>
      </c>
      <c r="AE313" s="28" t="inlineStr">
        <is>
          <t>https://administradorajudicialgs.com.br/wp-content/uploads/2023/08/advogados-sgrott-doc-22-relacao-de-credores-do-administrador-judicial-classe-iii-05-02-14.pdf</t>
        </is>
      </c>
      <c r="AF313" s="27" t="inlineStr">
        <is>
          <t>p1 r36</t>
        </is>
      </c>
      <c r="AG313" s="27" t="inlineStr">
        <is>
          <t>p1: R$ 582.719,90</t>
        </is>
      </c>
      <c r="AH313" s="27" t="inlineStr">
        <is>
          <t>UNKNOWN</t>
        </is>
      </c>
      <c r="AI313" s="27" t="inlineStr"/>
      <c r="AJ313" s="27" t="inlineStr">
        <is>
          <t>OK</t>
        </is>
      </c>
      <c r="AK313" s="29" t="inlineStr">
        <is>
          <t>0022845-08.2013.8.24.0008</t>
        </is>
      </c>
      <c r="AL313" s="29" t="inlineStr">
        <is>
          <t>TJ</t>
        </is>
      </c>
      <c r="AM313" s="29" t="inlineStr"/>
      <c r="AN313" s="29" t="n">
        <v>2013</v>
      </c>
      <c r="AO313" s="29" t="inlineStr">
        <is>
          <t>13y since filing, no plan document</t>
        </is>
      </c>
      <c r="AP313" s="29" t="inlineStr">
        <is>
          <t>SAO PAULO</t>
        </is>
      </c>
      <c r="AQ313" s="29" t="inlineStr">
        <is>
          <t>SP</t>
        </is>
      </c>
      <c r="AR313" s="29" t="inlineStr">
        <is>
          <t>Bancos múltiplos, com carteira comercial</t>
        </is>
      </c>
      <c r="AS313" s="29" t="inlineStr">
        <is>
          <t>DEMAIS</t>
        </is>
      </c>
      <c r="AT313" s="29" t="inlineStr">
        <is>
          <t>LARGE CORP</t>
        </is>
      </c>
      <c r="AU313" s="29" t="inlineStr">
        <is>
          <t>59588111</t>
        </is>
      </c>
      <c r="AV313" s="29" t="n">
        <v>1</v>
      </c>
      <c r="AW313" s="29" t="inlineStr">
        <is>
          <t>LIKELY_FINANCIAL_BY_NAME ROWS:p1r36</t>
        </is>
      </c>
    </row>
    <row r="314">
      <c r="A314" s="15" t="inlineStr">
        <is>
          <t>ITAU UNIBANCO S.A.</t>
        </is>
      </c>
      <c r="B314" s="16" t="n">
        <v>623697.48</v>
      </c>
      <c r="C314" s="17" t="inlineStr">
        <is>
          <t>D'AGOSTINI &amp; DIDOMENICO LTDA EM RECUPERACAO JUDICIAL</t>
        </is>
      </c>
      <c r="D314" s="18" t="inlineStr">
        <is>
          <t>NEW</t>
        </is>
      </c>
      <c r="E314" s="19" t="inlineStr"/>
      <c r="F314" s="18" t="inlineStr"/>
      <c r="G314" s="19" t="inlineStr"/>
      <c r="H314" s="18" t="inlineStr"/>
      <c r="I314" s="20" t="inlineStr">
        <is>
          <t>FELIPE SAMPAIO NABUCO</t>
        </is>
      </c>
      <c r="J314" s="20" t="inlineStr">
        <is>
          <t>Administrador</t>
        </is>
      </c>
      <c r="K314" s="20" t="inlineStr">
        <is>
          <t>(11) 3003-4828</t>
        </is>
      </c>
      <c r="L314" s="20" t="inlineStr"/>
      <c r="M314" s="20" t="inlineStr"/>
      <c r="N314" s="20" t="inlineStr"/>
      <c r="O314" s="20" t="inlineStr"/>
      <c r="P314" s="20" t="inlineStr">
        <is>
          <t>MILTON MALUHY FILHO</t>
        </is>
      </c>
      <c r="Q314" s="20" t="inlineStr">
        <is>
          <t>Presidente</t>
        </is>
      </c>
      <c r="R314" s="20" t="inlineStr">
        <is>
          <t>(11) 3003-4828</t>
        </is>
      </c>
      <c r="S314" s="20" t="inlineStr"/>
      <c r="T314" s="21" t="n">
        <v>623697.48</v>
      </c>
      <c r="U314" s="22" t="inlineStr">
        <is>
          <t>B</t>
        </is>
      </c>
      <c r="V314" s="23">
        <f>IFERROR(VLOOKUP(U314,Assumptions!$A$7:$D$11,2,FALSE),0)</f>
        <v/>
      </c>
      <c r="W314" s="24">
        <f>MAX(0.5,IFERROR(VLOOKUP(U314,Assumptions!$A$7:$D$11,3,FALSE),3)+IFERROR(VLOOKUP(U314,Assumptions!$A$7:$D$11,4,FALSE),8)/2-IF(AN314="",0,YEAR(TODAY())-AN314))</f>
        <v/>
      </c>
      <c r="X314" s="21">
        <f>T314*V314/(1+Assumptions!$B$3)^W314</f>
        <v/>
      </c>
      <c r="Y314" s="25">
        <f>IF(T314=0,"",ROUND(X314/T314*100,1))</f>
        <v/>
      </c>
      <c r="Z314" s="26">
        <f>X314*Assumptions!$B$4</f>
        <v/>
      </c>
      <c r="AA314" s="25">
        <f>IF(T314=0,"",ROUND(Z314/T314*100,1))</f>
        <v/>
      </c>
      <c r="AB314" s="26">
        <f>X314-Z314</f>
        <v/>
      </c>
      <c r="AC314" s="25">
        <f>IF(T314=0,"",ROUND((X314-Z314)/T314*100,1))</f>
        <v/>
      </c>
      <c r="AD314" s="27" t="inlineStr">
        <is>
          <t>ESTIMATED</t>
        </is>
      </c>
      <c r="AE314" s="28" t="inlineStr">
        <is>
          <t>https://marquesadmjudicial.com.br/sgc/download.php?file=files/processo_documento/processo_documento20014127022025_1_.pdf&amp;nome=Relação Nominal de Credores</t>
        </is>
      </c>
      <c r="AF314" s="27" t="inlineStr">
        <is>
          <t>p5 r6</t>
        </is>
      </c>
      <c r="AG314" s="27" t="inlineStr">
        <is>
          <t>p5: R$ 623.697,48</t>
        </is>
      </c>
      <c r="AH314" s="27" t="inlineStr">
        <is>
          <t>AJ_LIST</t>
        </is>
      </c>
      <c r="AI314" s="27" t="inlineStr">
        <is>
          <t>2024-11-08</t>
        </is>
      </c>
      <c r="AJ314" s="27" t="inlineStr">
        <is>
          <t>QUARANTINED</t>
        </is>
      </c>
      <c r="AK314" s="29" t="inlineStr">
        <is>
          <t>0001943-40.2024.8.16.0115</t>
        </is>
      </c>
      <c r="AL314" s="29" t="inlineStr">
        <is>
          <t>TJPR</t>
        </is>
      </c>
      <c r="AM314" s="29" t="inlineStr">
        <is>
          <t>ACTIVE</t>
        </is>
      </c>
      <c r="AN314" s="29" t="n">
        <v>2024</v>
      </c>
      <c r="AO314" s="29" t="inlineStr">
        <is>
          <t>live case, no plan document yet</t>
        </is>
      </c>
      <c r="AP314" s="29" t="inlineStr">
        <is>
          <t>SAO PAULO</t>
        </is>
      </c>
      <c r="AQ314" s="29" t="inlineStr">
        <is>
          <t>SP</t>
        </is>
      </c>
      <c r="AR314" s="29" t="inlineStr">
        <is>
          <t>Bancos comerciais</t>
        </is>
      </c>
      <c r="AS314" s="29" t="inlineStr">
        <is>
          <t>DEMAIS</t>
        </is>
      </c>
      <c r="AT314" s="29" t="inlineStr">
        <is>
          <t>LARGE CORP</t>
        </is>
      </c>
      <c r="AU314" s="29" t="inlineStr">
        <is>
          <t>60701190</t>
        </is>
      </c>
      <c r="AV314" s="29" t="n">
        <v>1</v>
      </c>
      <c r="AW314" s="29" t="inlineStr">
        <is>
          <t>LIKELY_FINANCIAL_BY_NAME PARTIAL_DOC_CLASS_III_RECONCILED ROWS:p5r6</t>
        </is>
      </c>
    </row>
    <row r="315">
      <c r="A315" s="15" t="inlineStr">
        <is>
          <t>BANCO BRADESCO S.A.</t>
        </is>
      </c>
      <c r="B315" s="16" t="n">
        <v>571229.34</v>
      </c>
      <c r="C315" s="17" t="inlineStr">
        <is>
          <t>BANCO BRADESCO S.A.</t>
        </is>
      </c>
      <c r="D315" s="18" t="inlineStr">
        <is>
          <t>NEW</t>
        </is>
      </c>
      <c r="E315" s="19" t="inlineStr"/>
      <c r="F315" s="18" t="inlineStr"/>
      <c r="G315" s="19" t="inlineStr"/>
      <c r="H315" s="18" t="inlineStr"/>
      <c r="I315" s="20" t="inlineStr">
        <is>
          <t>MARCELO DE ARAUJO NORONHA</t>
        </is>
      </c>
      <c r="J315" s="20" t="inlineStr">
        <is>
          <t>Presidente</t>
        </is>
      </c>
      <c r="K315" s="20" t="inlineStr">
        <is>
          <t>(11) 3684-5122</t>
        </is>
      </c>
      <c r="L315" s="20" t="inlineStr"/>
      <c r="M315" s="20" t="inlineStr"/>
      <c r="N315" s="20" t="inlineStr"/>
      <c r="O315" s="20" t="inlineStr"/>
      <c r="P315" s="20" t="inlineStr">
        <is>
          <t>AFRANIO CARLOS CAMARGO DANTZGER</t>
        </is>
      </c>
      <c r="Q315" s="20" t="inlineStr">
        <is>
          <t>Diretor</t>
        </is>
      </c>
      <c r="R315" s="20" t="inlineStr">
        <is>
          <t>(11) 3684-5122</t>
        </is>
      </c>
      <c r="S315" s="20" t="inlineStr"/>
      <c r="T315" s="21" t="n">
        <v>571229.34</v>
      </c>
      <c r="U315" s="31" t="inlineStr">
        <is>
          <t>C</t>
        </is>
      </c>
      <c r="V315" s="23">
        <f>IFERROR(VLOOKUP(U315,Assumptions!$A$7:$D$11,2,FALSE),0)</f>
        <v/>
      </c>
      <c r="W315" s="24">
        <f>MAX(0.5,IFERROR(VLOOKUP(U315,Assumptions!$A$7:$D$11,3,FALSE),3)+IFERROR(VLOOKUP(U315,Assumptions!$A$7:$D$11,4,FALSE),8)/2-IF(AN315="",0,YEAR(TODAY())-AN315))</f>
        <v/>
      </c>
      <c r="X315" s="21">
        <f>T315*V315/(1+Assumptions!$B$3)^W315</f>
        <v/>
      </c>
      <c r="Y315" s="25">
        <f>IF(T315=0,"",ROUND(X315/T315*100,1))</f>
        <v/>
      </c>
      <c r="Z315" s="26">
        <f>X315*Assumptions!$B$4</f>
        <v/>
      </c>
      <c r="AA315" s="25">
        <f>IF(T315=0,"",ROUND(Z315/T315*100,1))</f>
        <v/>
      </c>
      <c r="AB315" s="26">
        <f>X315-Z315</f>
        <v/>
      </c>
      <c r="AC315" s="25">
        <f>IF(T315=0,"",ROUND((X315-Z315)/T315*100,1))</f>
        <v/>
      </c>
      <c r="AD315" s="27" t="inlineStr">
        <is>
          <t>UNKNOWN</t>
        </is>
      </c>
      <c r="AE315" s="28" t="inlineStr">
        <is>
          <t>https://administradorajudicialgs.com.br/wp-content/uploads/2023/08/doc-06-relacao-credores-do-administrador-judicial-10-02-2015.pdf</t>
        </is>
      </c>
      <c r="AF315" s="27" t="inlineStr">
        <is>
          <t>p1 r35</t>
        </is>
      </c>
      <c r="AG315" s="27" t="inlineStr">
        <is>
          <t>p1: R$ 571.229,34</t>
        </is>
      </c>
      <c r="AH315" s="27" t="inlineStr">
        <is>
          <t>AJ_LIST</t>
        </is>
      </c>
      <c r="AI315" s="27" t="inlineStr"/>
      <c r="AJ315" s="27" t="inlineStr">
        <is>
          <t>QUARANTINED</t>
        </is>
      </c>
      <c r="AK315" s="29" t="inlineStr">
        <is>
          <t>0302174-63.2015.8.24.0025</t>
        </is>
      </c>
      <c r="AL315" s="29" t="inlineStr">
        <is>
          <t>TJ</t>
        </is>
      </c>
      <c r="AM315" s="29" t="inlineStr"/>
      <c r="AN315" s="29" t="n">
        <v>2015</v>
      </c>
      <c r="AO315" s="29" t="inlineStr">
        <is>
          <t>11y since filing, no plan document</t>
        </is>
      </c>
      <c r="AP315" s="29" t="inlineStr">
        <is>
          <t>OSASCO</t>
        </is>
      </c>
      <c r="AQ315" s="29" t="inlineStr">
        <is>
          <t>SP</t>
        </is>
      </c>
      <c r="AR315" s="29" t="inlineStr">
        <is>
          <t>Bancos múltiplos, com carteira comercial</t>
        </is>
      </c>
      <c r="AS315" s="29" t="inlineStr">
        <is>
          <t>DEMAIS</t>
        </is>
      </c>
      <c r="AT315" s="29" t="inlineStr">
        <is>
          <t>LARGE CORP</t>
        </is>
      </c>
      <c r="AU315" s="29" t="inlineStr">
        <is>
          <t>60746948</t>
        </is>
      </c>
      <c r="AV315" s="29" t="n">
        <v>1</v>
      </c>
      <c r="AW315" s="29" t="inlineStr">
        <is>
          <t>LIKELY_FINANCIAL_BY_NAME PARTIAL_DOC_CLASS_III_RECONCILED ROWS:p1r35 VALUE_COL:Valores</t>
        </is>
      </c>
    </row>
    <row r="316">
      <c r="A316" s="15" t="inlineStr">
        <is>
          <t>BANCO DO BRASIL SA</t>
        </is>
      </c>
      <c r="B316" s="16" t="n">
        <v>1456767.85</v>
      </c>
      <c r="C316" s="17" t="inlineStr"/>
      <c r="D316" s="18" t="inlineStr">
        <is>
          <t>NEW</t>
        </is>
      </c>
      <c r="E316" s="19" t="inlineStr"/>
      <c r="F316" s="18" t="inlineStr"/>
      <c r="G316" s="19" t="inlineStr"/>
      <c r="H316" s="18" t="inlineStr"/>
      <c r="I316" s="20" t="inlineStr">
        <is>
          <t>TARCIANA PAULA GOMES MEDEIROS</t>
        </is>
      </c>
      <c r="J316" s="20" t="inlineStr">
        <is>
          <t>Presidente</t>
        </is>
      </c>
      <c r="K316" s="20" t="inlineStr">
        <is>
          <t>(61) 3493-9002</t>
        </is>
      </c>
      <c r="L316" s="20" t="inlineStr"/>
      <c r="M316" s="20" t="inlineStr"/>
      <c r="N316" s="20" t="inlineStr"/>
      <c r="O316" s="20" t="inlineStr"/>
      <c r="P316" s="20" t="inlineStr">
        <is>
          <t>ALAN CARLOS GUEDES DE OLIVEIRA</t>
        </is>
      </c>
      <c r="Q316" s="20" t="inlineStr">
        <is>
          <t>Diretor</t>
        </is>
      </c>
      <c r="R316" s="20" t="inlineStr">
        <is>
          <t>(61) 3493-9002</t>
        </is>
      </c>
      <c r="S316" s="20" t="inlineStr"/>
      <c r="T316" s="21" t="n">
        <v>1456767.85</v>
      </c>
      <c r="U316" s="30" t="inlineStr">
        <is>
          <t>?</t>
        </is>
      </c>
      <c r="V316" s="23">
        <f>IFERROR(VLOOKUP(U316,Assumptions!$A$7:$D$11,2,FALSE),0)</f>
        <v/>
      </c>
      <c r="W316" s="24">
        <f>MAX(0.5,IFERROR(VLOOKUP(U316,Assumptions!$A$7:$D$11,3,FALSE),3)+IFERROR(VLOOKUP(U316,Assumptions!$A$7:$D$11,4,FALSE),8)/2-IF(AN316="",0,YEAR(TODAY())-AN316))</f>
        <v/>
      </c>
      <c r="X316" s="21">
        <f>T316*V316/(1+Assumptions!$B$3)^W316</f>
        <v/>
      </c>
      <c r="Y316" s="25">
        <f>IF(T316=0,"",ROUND(X316/T316*100,1))</f>
        <v/>
      </c>
      <c r="Z316" s="26">
        <f>X316*Assumptions!$B$4</f>
        <v/>
      </c>
      <c r="AA316" s="25">
        <f>IF(T316=0,"",ROUND(Z316/T316*100,1))</f>
        <v/>
      </c>
      <c r="AB316" s="26">
        <f>X316-Z316</f>
        <v/>
      </c>
      <c r="AC316" s="25">
        <f>IF(T316=0,"",ROUND((X316-Z316)/T316*100,1))</f>
        <v/>
      </c>
      <c r="AD316" s="27" t="inlineStr">
        <is>
          <t>UNKNOWN</t>
        </is>
      </c>
      <c r="AE316" s="28" t="inlineStr">
        <is>
          <t>http://bernardobicalho.com.br/login/app/documents/Rela%C3%A7%C3%A3o%20de%20Credores/6.%20RVC-%20Nutricium%20-%20simplificada.pdf</t>
        </is>
      </c>
      <c r="AF316" s="27" t="inlineStr">
        <is>
          <t>p3 r3</t>
        </is>
      </c>
      <c r="AG316" s="27" t="inlineStr">
        <is>
          <t>p3: R$ 1.456.767,85</t>
        </is>
      </c>
      <c r="AH316" s="27" t="inlineStr">
        <is>
          <t>AJ_LIST</t>
        </is>
      </c>
      <c r="AI316" s="27" t="inlineStr"/>
      <c r="AJ316" s="27" t="inlineStr">
        <is>
          <t>OK</t>
        </is>
      </c>
      <c r="AK316" s="29" t="inlineStr">
        <is>
          <t>(not printed)</t>
        </is>
      </c>
      <c r="AL316" s="29" t="inlineStr"/>
      <c r="AM316" s="29" t="inlineStr"/>
      <c r="AN316" s="29" t="inlineStr"/>
      <c r="AO316" s="29" t="inlineStr">
        <is>
          <t>RJ case number not identified on the document</t>
        </is>
      </c>
      <c r="AP316" s="29" t="inlineStr">
        <is>
          <t>BRASILIA</t>
        </is>
      </c>
      <c r="AQ316" s="29" t="inlineStr">
        <is>
          <t>DF</t>
        </is>
      </c>
      <c r="AR316" s="29" t="inlineStr">
        <is>
          <t>Bancos múltiplos, com carteira comercial</t>
        </is>
      </c>
      <c r="AS316" s="29" t="inlineStr">
        <is>
          <t>DEMAIS</t>
        </is>
      </c>
      <c r="AT316" s="29" t="inlineStr">
        <is>
          <t>LARGE CORP</t>
        </is>
      </c>
      <c r="AU316" s="29" t="inlineStr">
        <is>
          <t>00000000</t>
        </is>
      </c>
      <c r="AV316" s="29" t="n">
        <v>1</v>
      </c>
      <c r="AW316" s="29" t="inlineStr">
        <is>
          <t>CASE_NUMBER_MISSING LIKELY_FINANCIAL_BY_NAME ROWS:p3r3</t>
        </is>
      </c>
    </row>
    <row r="317">
      <c r="A317" s="15" t="inlineStr">
        <is>
          <t>KIRTON BANK S.A. - BANCO MULTIPLO</t>
        </is>
      </c>
      <c r="B317" s="16" t="n">
        <v>568877.29</v>
      </c>
      <c r="C317" s="17" t="inlineStr">
        <is>
          <t>DECOR MOVEIS PARA LOJA LTDA</t>
        </is>
      </c>
      <c r="D317" s="18" t="inlineStr">
        <is>
          <t>NEW</t>
        </is>
      </c>
      <c r="E317" s="19" t="inlineStr"/>
      <c r="F317" s="18" t="inlineStr"/>
      <c r="G317" s="19" t="inlineStr"/>
      <c r="H317" s="18" t="inlineStr"/>
      <c r="I317" s="20" t="inlineStr">
        <is>
          <t>CLAYTON NEVES XAVIER</t>
        </is>
      </c>
      <c r="J317" s="20" t="inlineStr">
        <is>
          <t>Administrador</t>
        </is>
      </c>
      <c r="K317" s="20" t="inlineStr">
        <is>
          <t>(11) 3684-3884</t>
        </is>
      </c>
      <c r="L317" s="20" t="inlineStr"/>
      <c r="M317" s="20" t="inlineStr"/>
      <c r="N317" s="20" t="inlineStr"/>
      <c r="O317" s="20" t="inlineStr"/>
      <c r="P317" s="20" t="inlineStr">
        <is>
          <t>CRISTIANO ADJUTO E CAMPOS</t>
        </is>
      </c>
      <c r="Q317" s="20" t="inlineStr">
        <is>
          <t>Administrador</t>
        </is>
      </c>
      <c r="R317" s="20" t="inlineStr">
        <is>
          <t>(11) 3684-3884</t>
        </is>
      </c>
      <c r="S317" s="20" t="inlineStr"/>
      <c r="T317" s="21" t="n">
        <v>568877.29</v>
      </c>
      <c r="U317" s="31" t="inlineStr">
        <is>
          <t>C</t>
        </is>
      </c>
      <c r="V317" s="23">
        <f>IFERROR(VLOOKUP(U317,Assumptions!$A$7:$D$11,2,FALSE),0)</f>
        <v/>
      </c>
      <c r="W317" s="24">
        <f>MAX(0.5,IFERROR(VLOOKUP(U317,Assumptions!$A$7:$D$11,3,FALSE),3)+IFERROR(VLOOKUP(U317,Assumptions!$A$7:$D$11,4,FALSE),8)/2-IF(AN317="",0,YEAR(TODAY())-AN317))</f>
        <v/>
      </c>
      <c r="X317" s="21">
        <f>T317*V317/(1+Assumptions!$B$3)^W317</f>
        <v/>
      </c>
      <c r="Y317" s="25">
        <f>IF(T317=0,"",ROUND(X317/T317*100,1))</f>
        <v/>
      </c>
      <c r="Z317" s="26">
        <f>X317*Assumptions!$B$4</f>
        <v/>
      </c>
      <c r="AA317" s="25">
        <f>IF(T317=0,"",ROUND(Z317/T317*100,1))</f>
        <v/>
      </c>
      <c r="AB317" s="26">
        <f>X317-Z317</f>
        <v/>
      </c>
      <c r="AC317" s="25">
        <f>IF(T317=0,"",ROUND((X317-Z317)/T317*100,1))</f>
        <v/>
      </c>
      <c r="AD317" s="27" t="inlineStr">
        <is>
          <t>UNKNOWN</t>
        </is>
      </c>
      <c r="AE317" s="28" t="inlineStr">
        <is>
          <t>https://administradorajudicialgs.com.br/wp-content/uploads/2023/08/edital-quadro-geral-de-credores.pdf</t>
        </is>
      </c>
      <c r="AF317" s="27" t="inlineStr">
        <is>
          <t>p2 r77</t>
        </is>
      </c>
      <c r="AG317" s="27" t="inlineStr">
        <is>
          <t>p2: R$ 568.877,29</t>
        </is>
      </c>
      <c r="AH317" s="27" t="inlineStr">
        <is>
          <t>QGC</t>
        </is>
      </c>
      <c r="AI317" s="27" t="inlineStr">
        <is>
          <t>2024-07-05</t>
        </is>
      </c>
      <c r="AJ317" s="27" t="inlineStr">
        <is>
          <t>OK_NO_TOTALS</t>
        </is>
      </c>
      <c r="AK317" s="29" t="inlineStr">
        <is>
          <t>0301015-33.2016.8.24.0031</t>
        </is>
      </c>
      <c r="AL317" s="29" t="inlineStr">
        <is>
          <t>TJ</t>
        </is>
      </c>
      <c r="AM317" s="29" t="inlineStr"/>
      <c r="AN317" s="29" t="n">
        <v>2016</v>
      </c>
      <c r="AO317" s="29" t="inlineStr">
        <is>
          <t>10y since filing, no plan document</t>
        </is>
      </c>
      <c r="AP317" s="29" t="inlineStr">
        <is>
          <t>OSASCO</t>
        </is>
      </c>
      <c r="AQ317" s="29" t="inlineStr">
        <is>
          <t>SP</t>
        </is>
      </c>
      <c r="AR317" s="29" t="inlineStr">
        <is>
          <t>Bancos múltiplos, com carteira comercial</t>
        </is>
      </c>
      <c r="AS317" s="29" t="inlineStr">
        <is>
          <t>DEMAIS</t>
        </is>
      </c>
      <c r="AT317" s="29" t="inlineStr">
        <is>
          <t>LARGE CORP</t>
        </is>
      </c>
      <c r="AU317" s="29" t="inlineStr">
        <is>
          <t>01701201</t>
        </is>
      </c>
      <c r="AV317" s="29" t="n">
        <v>1</v>
      </c>
      <c r="AW317" s="29" t="inlineStr">
        <is>
          <t>ROWS:p2r77 UNRECONCILED_SOURCE</t>
        </is>
      </c>
    </row>
    <row r="318">
      <c r="A318" s="15" t="inlineStr">
        <is>
          <t>FUNDO DE INVESTIMENTO EM DIREITOS CREDITORIOS DA INDUSTRIA EXODUS INSTITUCIONAL (</t>
        </is>
      </c>
      <c r="B318" s="16" t="n">
        <v>989663.45</v>
      </c>
      <c r="C318" s="17" t="inlineStr">
        <is>
          <t>VECTOR INDUSTRIA DE PRODUTOS METALURGICOS LTDA - EM RECUPERACAO JUDICIAL</t>
        </is>
      </c>
      <c r="D318" s="18" t="inlineStr">
        <is>
          <t>NEW</t>
        </is>
      </c>
      <c r="E318" s="19" t="inlineStr"/>
      <c r="F318" s="18" t="inlineStr"/>
      <c r="G318" s="19" t="inlineStr"/>
      <c r="H318" s="18" t="inlineStr"/>
      <c r="I318" s="20" t="inlineStr"/>
      <c r="J318" s="20" t="inlineStr"/>
      <c r="K318" s="20" t="inlineStr"/>
      <c r="L318" s="20" t="inlineStr"/>
      <c r="M318" s="20" t="inlineStr"/>
      <c r="N318" s="20" t="inlineStr"/>
      <c r="O318" s="20" t="inlineStr"/>
      <c r="P318" s="20" t="inlineStr"/>
      <c r="Q318" s="20" t="inlineStr"/>
      <c r="R318" s="20" t="inlineStr"/>
      <c r="S318" s="20" t="inlineStr"/>
      <c r="T318" s="21" t="n">
        <v>989663.45</v>
      </c>
      <c r="U318" s="31" t="inlineStr">
        <is>
          <t>C</t>
        </is>
      </c>
      <c r="V318" s="23">
        <f>IFERROR(VLOOKUP(U318,Assumptions!$A$7:$D$11,2,FALSE),0)</f>
        <v/>
      </c>
      <c r="W318" s="24">
        <f>MAX(0.5,IFERROR(VLOOKUP(U318,Assumptions!$A$7:$D$11,3,FALSE),3)+IFERROR(VLOOKUP(U318,Assumptions!$A$7:$D$11,4,FALSE),8)/2-IF(AN318="",0,YEAR(TODAY())-AN318))</f>
        <v/>
      </c>
      <c r="X318" s="21">
        <f>T318*V318/(1+Assumptions!$B$3)^W318</f>
        <v/>
      </c>
      <c r="Y318" s="25">
        <f>IF(T318=0,"",ROUND(X318/T318*100,1))</f>
        <v/>
      </c>
      <c r="Z318" s="26">
        <f>X318*Assumptions!$B$4</f>
        <v/>
      </c>
      <c r="AA318" s="25">
        <f>IF(T318=0,"",ROUND(Z318/T318*100,1))</f>
        <v/>
      </c>
      <c r="AB318" s="26">
        <f>X318-Z318</f>
        <v/>
      </c>
      <c r="AC318" s="25">
        <f>IF(T318=0,"",ROUND((X318-Z318)/T318*100,1))</f>
        <v/>
      </c>
      <c r="AD318" s="27" t="inlineStr">
        <is>
          <t>ESTIMATED</t>
        </is>
      </c>
      <c r="AE318" s="28" t="inlineStr">
        <is>
          <t>https://scalzilliaj.com.br/sgc/download.php?file=files/processo_documento/processo_documento15513401112022_1_.pdf&amp;nome=15 - Edital do art. 7º, §2º (segunda lista de credores) e do art. 53 da Lei 11.101/2005 (recebimento do plano)</t>
        </is>
      </c>
      <c r="AF318" s="27" t="inlineStr">
        <is>
          <t>p7 r13</t>
        </is>
      </c>
      <c r="AG318" s="27" t="inlineStr">
        <is>
          <t>p7: R$ 989.663,45</t>
        </is>
      </c>
      <c r="AH318" s="27" t="inlineStr">
        <is>
          <t>AJ_LIST</t>
        </is>
      </c>
      <c r="AI318" s="27" t="inlineStr">
        <is>
          <t>2022-11-01</t>
        </is>
      </c>
      <c r="AJ318" s="27" t="inlineStr">
        <is>
          <t>OK_NO_TOTALS</t>
        </is>
      </c>
      <c r="AK318" s="29" t="inlineStr">
        <is>
          <t>5014104-85.2021.8.21.0010</t>
        </is>
      </c>
      <c r="AL318" s="29" t="inlineStr">
        <is>
          <t>TJRS</t>
        </is>
      </c>
      <c r="AM318" s="29" t="inlineStr">
        <is>
          <t>ACTIVE</t>
        </is>
      </c>
      <c r="AN318" s="29" t="n">
        <v>2021</v>
      </c>
      <c r="AO318" s="29" t="inlineStr">
        <is>
          <t>5y since filing, no plan document</t>
        </is>
      </c>
      <c r="AP318" s="29" t="inlineStr"/>
      <c r="AQ318" s="29" t="inlineStr"/>
      <c r="AR318" s="29" t="inlineStr"/>
      <c r="AS318" s="29" t="inlineStr"/>
      <c r="AT318" s="29" t="inlineStr">
        <is>
          <t>MID-MARKET</t>
        </is>
      </c>
      <c r="AU318" s="29" t="inlineStr">
        <is>
          <t>14051028</t>
        </is>
      </c>
      <c r="AV318" s="29" t="n">
        <v>1</v>
      </c>
      <c r="AW318" s="29" t="inlineStr">
        <is>
          <t>LIKELY_FINANCIAL_BY_NAME ROWS:p7r13 UNRECONCILED_SOURCE</t>
        </is>
      </c>
    </row>
    <row r="319">
      <c r="A319" s="15" t="inlineStr">
        <is>
          <t>BANCO DO NORDESTE DO BRASIL SA</t>
        </is>
      </c>
      <c r="B319" s="16" t="n">
        <v>488542.39</v>
      </c>
      <c r="C319" s="17" t="inlineStr">
        <is>
          <t>civilmente LTDA</t>
        </is>
      </c>
      <c r="D319" s="18" t="inlineStr">
        <is>
          <t>NEW</t>
        </is>
      </c>
      <c r="E319" s="19" t="inlineStr"/>
      <c r="F319" s="18" t="inlineStr"/>
      <c r="G319" s="19" t="inlineStr"/>
      <c r="H319" s="18" t="inlineStr"/>
      <c r="I319" s="20" t="inlineStr">
        <is>
          <t>PAULO HENRIQUE SARAIVA CAMARA</t>
        </is>
      </c>
      <c r="J319" s="20" t="inlineStr">
        <is>
          <t>Presidente</t>
        </is>
      </c>
      <c r="K319" s="20" t="inlineStr">
        <is>
          <t>(85) 3299-3000</t>
        </is>
      </c>
      <c r="L319" s="20" t="inlineStr"/>
      <c r="M319" s="20" t="inlineStr"/>
      <c r="N319" s="20" t="inlineStr"/>
      <c r="O319" s="20" t="inlineStr"/>
      <c r="P319" s="20" t="inlineStr">
        <is>
          <t>ANA TERESA BARBOSA DE CARVALHO</t>
        </is>
      </c>
      <c r="Q319" s="20" t="inlineStr">
        <is>
          <t>Diretor</t>
        </is>
      </c>
      <c r="R319" s="20" t="inlineStr">
        <is>
          <t>(85) 3299-3000</t>
        </is>
      </c>
      <c r="S319" s="20" t="inlineStr"/>
      <c r="T319" s="21" t="n">
        <v>488542.39</v>
      </c>
      <c r="U319" s="22" t="inlineStr">
        <is>
          <t>B</t>
        </is>
      </c>
      <c r="V319" s="23">
        <f>IFERROR(VLOOKUP(U319,Assumptions!$A$7:$D$11,2,FALSE),0)</f>
        <v/>
      </c>
      <c r="W319" s="24">
        <f>MAX(0.5,IFERROR(VLOOKUP(U319,Assumptions!$A$7:$D$11,3,FALSE),3)+IFERROR(VLOOKUP(U319,Assumptions!$A$7:$D$11,4,FALSE),8)/2-IF(AN319="",0,YEAR(TODAY())-AN319))</f>
        <v/>
      </c>
      <c r="X319" s="21">
        <f>T319*V319/(1+Assumptions!$B$3)^W319</f>
        <v/>
      </c>
      <c r="Y319" s="25">
        <f>IF(T319=0,"",ROUND(X319/T319*100,1))</f>
        <v/>
      </c>
      <c r="Z319" s="26">
        <f>X319*Assumptions!$B$4</f>
        <v/>
      </c>
      <c r="AA319" s="25">
        <f>IF(T319=0,"",ROUND(Z319/T319*100,1))</f>
        <v/>
      </c>
      <c r="AB319" s="26">
        <f>X319-Z319</f>
        <v/>
      </c>
      <c r="AC319" s="25">
        <f>IF(T319=0,"",ROUND((X319-Z319)/T319*100,1))</f>
        <v/>
      </c>
      <c r="AD319" s="27" t="inlineStr">
        <is>
          <t>ESTIMATED</t>
        </is>
      </c>
      <c r="AE319" s="28" t="inlineStr">
        <is>
          <t>http://recuperacaojudicial.squarespace.com/s/LISTA-DE-CREDORES-CONSOLIDADA-ATE-04102024.pdf</t>
        </is>
      </c>
      <c r="AF319" s="27" t="inlineStr">
        <is>
          <t>p6 r5; p8 r7</t>
        </is>
      </c>
      <c r="AG319" s="27" t="inlineStr">
        <is>
          <t>p6: R$ 52.730,31; p8: R$ 435.812,08</t>
        </is>
      </c>
      <c r="AH319" s="27" t="inlineStr">
        <is>
          <t>AJ_LIST</t>
        </is>
      </c>
      <c r="AI319" s="27" t="inlineStr">
        <is>
          <t>2024-10-04</t>
        </is>
      </c>
      <c r="AJ319" s="27" t="inlineStr">
        <is>
          <t>OK</t>
        </is>
      </c>
      <c r="AK319" s="29" t="inlineStr">
        <is>
          <t>0800778-16.2023.8.20.5104</t>
        </is>
      </c>
      <c r="AL319" s="29" t="inlineStr">
        <is>
          <t>TJRN</t>
        </is>
      </c>
      <c r="AM319" s="29" t="inlineStr">
        <is>
          <t>ACTIVE</t>
        </is>
      </c>
      <c r="AN319" s="29" t="n">
        <v>2023</v>
      </c>
      <c r="AO319" s="29" t="inlineStr">
        <is>
          <t>live case, no plan document yet</t>
        </is>
      </c>
      <c r="AP319" s="29" t="inlineStr">
        <is>
          <t>FORTALEZA</t>
        </is>
      </c>
      <c r="AQ319" s="29" t="inlineStr">
        <is>
          <t>CE</t>
        </is>
      </c>
      <c r="AR319" s="29" t="inlineStr">
        <is>
          <t>Bancos múltiplos, com carteira comercial</t>
        </is>
      </c>
      <c r="AS319" s="29" t="inlineStr">
        <is>
          <t>DEMAIS</t>
        </is>
      </c>
      <c r="AT319" s="29" t="inlineStr">
        <is>
          <t>LARGE CORP</t>
        </is>
      </c>
      <c r="AU319" s="29" t="inlineStr">
        <is>
          <t>07237373</t>
        </is>
      </c>
      <c r="AV319" s="29" t="n">
        <v>2</v>
      </c>
      <c r="AW319" s="29" t="inlineStr">
        <is>
          <t>LIKELY_FINANCIAL_BY_NAME ROWS:p6r5,p8r7 VALUE_COL:Valor_Do_Crédito</t>
        </is>
      </c>
    </row>
    <row r="320">
      <c r="A320" s="15" t="inlineStr">
        <is>
          <t>BANCO FIBRA SA</t>
        </is>
      </c>
      <c r="B320" s="16" t="n">
        <v>604310.64</v>
      </c>
      <c r="C320" s="17" t="inlineStr"/>
      <c r="D320" s="18" t="inlineStr">
        <is>
          <t>NEW</t>
        </is>
      </c>
      <c r="E320" s="19" t="inlineStr"/>
      <c r="F320" s="18" t="inlineStr"/>
      <c r="G320" s="19" t="inlineStr"/>
      <c r="H320" s="18" t="inlineStr"/>
      <c r="I320" s="20" t="inlineStr">
        <is>
          <t>ARNO SCHWARZ</t>
        </is>
      </c>
      <c r="J320" s="20" t="inlineStr">
        <is>
          <t>Presidente</t>
        </is>
      </c>
      <c r="K320" s="20" t="inlineStr">
        <is>
          <t>(11) 3847-6943</t>
        </is>
      </c>
      <c r="L320" s="20" t="inlineStr"/>
      <c r="M320" s="20" t="inlineStr"/>
      <c r="N320" s="20" t="inlineStr"/>
      <c r="O320" s="20" t="inlineStr"/>
      <c r="P320" s="20" t="inlineStr">
        <is>
          <t>ANDRE CADIME DE GODOI</t>
        </is>
      </c>
      <c r="Q320" s="20" t="inlineStr">
        <is>
          <t>Diretor</t>
        </is>
      </c>
      <c r="R320" s="20" t="inlineStr">
        <is>
          <t>(11) 3847-6943</t>
        </is>
      </c>
      <c r="S320" s="20" t="inlineStr"/>
      <c r="T320" s="21" t="n">
        <v>604310.64</v>
      </c>
      <c r="U320" s="22" t="inlineStr">
        <is>
          <t>B</t>
        </is>
      </c>
      <c r="V320" s="23">
        <f>IFERROR(VLOOKUP(U320,Assumptions!$A$7:$D$11,2,FALSE),0)</f>
        <v/>
      </c>
      <c r="W320" s="24">
        <f>MAX(0.5,IFERROR(VLOOKUP(U320,Assumptions!$A$7:$D$11,3,FALSE),3)+IFERROR(VLOOKUP(U320,Assumptions!$A$7:$D$11,4,FALSE),8)/2-IF(AN320="",0,YEAR(TODAY())-AN320))</f>
        <v/>
      </c>
      <c r="X320" s="21">
        <f>T320*V320/(1+Assumptions!$B$3)^W320</f>
        <v/>
      </c>
      <c r="Y320" s="25">
        <f>IF(T320=0,"",ROUND(X320/T320*100,1))</f>
        <v/>
      </c>
      <c r="Z320" s="26">
        <f>X320*Assumptions!$B$4</f>
        <v/>
      </c>
      <c r="AA320" s="25">
        <f>IF(T320=0,"",ROUND(Z320/T320*100,1))</f>
        <v/>
      </c>
      <c r="AB320" s="26">
        <f>X320-Z320</f>
        <v/>
      </c>
      <c r="AC320" s="25">
        <f>IF(T320=0,"",ROUND((X320-Z320)/T320*100,1))</f>
        <v/>
      </c>
      <c r="AD320" s="27" t="inlineStr">
        <is>
          <t>UNKNOWN</t>
        </is>
      </c>
      <c r="AE320" s="28" t="inlineStr">
        <is>
          <t>https://bbsadvogados.com.br/wp-content/uploads/2025/09/Edital-Relacao-de-Credores-da-Administradora-Judicial-art.-7o2o-da-LRF.-Visao-14-02-2025.pdf</t>
        </is>
      </c>
      <c r="AF320" s="27" t="inlineStr">
        <is>
          <t>p2 r3</t>
        </is>
      </c>
      <c r="AG320" s="27" t="inlineStr">
        <is>
          <t>p2: R$ 604.310,64</t>
        </is>
      </c>
      <c r="AH320" s="27" t="inlineStr">
        <is>
          <t>AJ_LIST</t>
        </is>
      </c>
      <c r="AI320" s="27" t="inlineStr">
        <is>
          <t>2025-02-14</t>
        </is>
      </c>
      <c r="AJ320" s="27" t="inlineStr">
        <is>
          <t>OK_NO_TOTALS</t>
        </is>
      </c>
      <c r="AK320" s="29" t="inlineStr">
        <is>
          <t>0003232-89.2024.8.16.0185</t>
        </is>
      </c>
      <c r="AL320" s="29" t="inlineStr">
        <is>
          <t>TJ</t>
        </is>
      </c>
      <c r="AM320" s="29" t="inlineStr"/>
      <c r="AN320" s="29" t="n">
        <v>2024</v>
      </c>
      <c r="AO320" s="29" t="inlineStr">
        <is>
          <t>live case, no plan document yet</t>
        </is>
      </c>
      <c r="AP320" s="29" t="inlineStr">
        <is>
          <t>SAO PAULO</t>
        </is>
      </c>
      <c r="AQ320" s="29" t="inlineStr">
        <is>
          <t>SP</t>
        </is>
      </c>
      <c r="AR320" s="29" t="inlineStr">
        <is>
          <t>Bancos múltiplos, com carteira comercial</t>
        </is>
      </c>
      <c r="AS320" s="29" t="inlineStr">
        <is>
          <t>DEMAIS</t>
        </is>
      </c>
      <c r="AT320" s="29" t="inlineStr">
        <is>
          <t>LARGE CORP</t>
        </is>
      </c>
      <c r="AU320" s="29" t="inlineStr">
        <is>
          <t>58616418</t>
        </is>
      </c>
      <c r="AV320" s="29" t="n">
        <v>1</v>
      </c>
      <c r="AW320" s="29" t="inlineStr">
        <is>
          <t>LIKELY_FINANCIAL_BY_NAME ROWS:p2r3 UNRECONCILED_SOURCE</t>
        </is>
      </c>
    </row>
    <row r="321">
      <c r="A321" s="15" t="inlineStr">
        <is>
          <t>DAX MERCANTIL SECURITIZADORA S/A</t>
        </is>
      </c>
      <c r="B321" s="16" t="n">
        <v>550679.88</v>
      </c>
      <c r="C321" s="17" t="inlineStr"/>
      <c r="D321" s="18" t="inlineStr">
        <is>
          <t>NEW</t>
        </is>
      </c>
      <c r="E321" s="19" t="inlineStr"/>
      <c r="F321" s="18" t="inlineStr"/>
      <c r="G321" s="19" t="inlineStr"/>
      <c r="H321" s="18" t="inlineStr"/>
      <c r="I321" s="20" t="inlineStr">
        <is>
          <t>CARLOS GEOVANE CIRICO</t>
        </is>
      </c>
      <c r="J321" s="20" t="inlineStr">
        <is>
          <t>Diretor</t>
        </is>
      </c>
      <c r="K321" s="20" t="inlineStr">
        <is>
          <t>(47) 8423-6458</t>
        </is>
      </c>
      <c r="L321" s="20" t="inlineStr"/>
      <c r="M321" s="20" t="inlineStr"/>
      <c r="N321" s="20" t="inlineStr"/>
      <c r="O321" s="20" t="inlineStr"/>
      <c r="P321" s="20" t="inlineStr"/>
      <c r="Q321" s="20" t="inlineStr"/>
      <c r="R321" s="20" t="inlineStr"/>
      <c r="S321" s="20" t="inlineStr"/>
      <c r="T321" s="21" t="n">
        <v>550679.88</v>
      </c>
      <c r="U321" s="31" t="inlineStr">
        <is>
          <t>C</t>
        </is>
      </c>
      <c r="V321" s="23">
        <f>IFERROR(VLOOKUP(U321,Assumptions!$A$7:$D$11,2,FALSE),0)</f>
        <v/>
      </c>
      <c r="W321" s="24">
        <f>MAX(0.5,IFERROR(VLOOKUP(U321,Assumptions!$A$7:$D$11,3,FALSE),3)+IFERROR(VLOOKUP(U321,Assumptions!$A$7:$D$11,4,FALSE),8)/2-IF(AN321="",0,YEAR(TODAY())-AN321))</f>
        <v/>
      </c>
      <c r="X321" s="21">
        <f>T321*V321/(1+Assumptions!$B$3)^W321</f>
        <v/>
      </c>
      <c r="Y321" s="25">
        <f>IF(T321=0,"",ROUND(X321/T321*100,1))</f>
        <v/>
      </c>
      <c r="Z321" s="26">
        <f>X321*Assumptions!$B$4</f>
        <v/>
      </c>
      <c r="AA321" s="25">
        <f>IF(T321=0,"",ROUND(Z321/T321*100,1))</f>
        <v/>
      </c>
      <c r="AB321" s="26">
        <f>X321-Z321</f>
        <v/>
      </c>
      <c r="AC321" s="25">
        <f>IF(T321=0,"",ROUND((X321-Z321)/T321*100,1))</f>
        <v/>
      </c>
      <c r="AD321" s="27" t="inlineStr">
        <is>
          <t>UNKNOWN</t>
        </is>
      </c>
      <c r="AE321" s="28" t="inlineStr">
        <is>
          <t>https://administradorajudicialgs.com.br/wp-content/uploads/2023/08/advogados-sgrott-doc-22-relacao-de-credores-do-administrador-judicial-classe-iii-05-02-14.pdf</t>
        </is>
      </c>
      <c r="AF321" s="27" t="inlineStr">
        <is>
          <t>p5 r56</t>
        </is>
      </c>
      <c r="AG321" s="27" t="inlineStr">
        <is>
          <t>p5: R$ 550.679,88</t>
        </is>
      </c>
      <c r="AH321" s="27" t="inlineStr">
        <is>
          <t>UNKNOWN</t>
        </is>
      </c>
      <c r="AI321" s="27" t="inlineStr"/>
      <c r="AJ321" s="27" t="inlineStr">
        <is>
          <t>OK</t>
        </is>
      </c>
      <c r="AK321" s="29" t="inlineStr">
        <is>
          <t>0022845-08.2013.8.24.0008</t>
        </is>
      </c>
      <c r="AL321" s="29" t="inlineStr">
        <is>
          <t>TJ</t>
        </is>
      </c>
      <c r="AM321" s="29" t="inlineStr"/>
      <c r="AN321" s="29" t="n">
        <v>2013</v>
      </c>
      <c r="AO321" s="29" t="inlineStr">
        <is>
          <t>13y since filing, no plan document</t>
        </is>
      </c>
      <c r="AP321" s="29" t="inlineStr">
        <is>
          <t>JARAGUA DO SUL</t>
        </is>
      </c>
      <c r="AQ321" s="29" t="inlineStr">
        <is>
          <t>SC</t>
        </is>
      </c>
      <c r="AR321" s="29" t="inlineStr">
        <is>
          <t>Securitização de créditos</t>
        </is>
      </c>
      <c r="AS321" s="29" t="inlineStr">
        <is>
          <t>DEMAIS</t>
        </is>
      </c>
      <c r="AT321" s="29" t="inlineStr">
        <is>
          <t>MID-MARKET</t>
        </is>
      </c>
      <c r="AU321" s="29" t="inlineStr">
        <is>
          <t>08928243</t>
        </is>
      </c>
      <c r="AV321" s="29" t="n">
        <v>1</v>
      </c>
      <c r="AW321" s="29" t="inlineStr">
        <is>
          <t>ROWS:p5r56</t>
        </is>
      </c>
    </row>
    <row r="322">
      <c r="A322" s="15" t="inlineStr">
        <is>
          <t>CONSORCIO BLUMENAU NORTE SHOPPING</t>
        </is>
      </c>
      <c r="B322" s="16" t="n">
        <v>542733.59</v>
      </c>
      <c r="C322" s="17" t="inlineStr"/>
      <c r="D322" s="18" t="inlineStr">
        <is>
          <t>NEW</t>
        </is>
      </c>
      <c r="E322" s="19" t="inlineStr"/>
      <c r="F322" s="18" t="inlineStr"/>
      <c r="G322" s="19" t="inlineStr"/>
      <c r="H322" s="18" t="inlineStr"/>
      <c r="I322" s="20" t="inlineStr"/>
      <c r="J322" s="20" t="inlineStr"/>
      <c r="K322" s="20" t="inlineStr"/>
      <c r="L322" s="20" t="inlineStr"/>
      <c r="M322" s="20" t="inlineStr"/>
      <c r="N322" s="20" t="inlineStr"/>
      <c r="O322" s="20" t="inlineStr"/>
      <c r="P322" s="20" t="inlineStr"/>
      <c r="Q322" s="20" t="inlineStr"/>
      <c r="R322" s="20" t="inlineStr"/>
      <c r="S322" s="20" t="inlineStr"/>
      <c r="T322" s="21" t="n">
        <v>542733.59</v>
      </c>
      <c r="U322" s="31" t="inlineStr">
        <is>
          <t>C</t>
        </is>
      </c>
      <c r="V322" s="23">
        <f>IFERROR(VLOOKUP(U322,Assumptions!$A$7:$D$11,2,FALSE),0)</f>
        <v/>
      </c>
      <c r="W322" s="24">
        <f>MAX(0.5,IFERROR(VLOOKUP(U322,Assumptions!$A$7:$D$11,3,FALSE),3)+IFERROR(VLOOKUP(U322,Assumptions!$A$7:$D$11,4,FALSE),8)/2-IF(AN322="",0,YEAR(TODAY())-AN322))</f>
        <v/>
      </c>
      <c r="X322" s="21">
        <f>T322*V322/(1+Assumptions!$B$3)^W322</f>
        <v/>
      </c>
      <c r="Y322" s="25">
        <f>IF(T322=0,"",ROUND(X322/T322*100,1))</f>
        <v/>
      </c>
      <c r="Z322" s="26">
        <f>X322*Assumptions!$B$4</f>
        <v/>
      </c>
      <c r="AA322" s="25">
        <f>IF(T322=0,"",ROUND(Z322/T322*100,1))</f>
        <v/>
      </c>
      <c r="AB322" s="26">
        <f>X322-Z322</f>
        <v/>
      </c>
      <c r="AC322" s="25">
        <f>IF(T322=0,"",ROUND((X322-Z322)/T322*100,1))</f>
        <v/>
      </c>
      <c r="AD322" s="27" t="inlineStr">
        <is>
          <t>UNKNOWN</t>
        </is>
      </c>
      <c r="AE322" s="28" t="inlineStr">
        <is>
          <t>https://administradorajudicialgs.com.br/wp-content/uploads/2023/08/advogados-sgrott-doc-22-relacao-de-credores-do-administrador-judicial-classe-iii-05-02-14.pdf</t>
        </is>
      </c>
      <c r="AF322" s="27" t="inlineStr">
        <is>
          <t>p2 r13</t>
        </is>
      </c>
      <c r="AG322" s="27" t="inlineStr">
        <is>
          <t>p2: R$ 542.733,59</t>
        </is>
      </c>
      <c r="AH322" s="27" t="inlineStr">
        <is>
          <t>UNKNOWN</t>
        </is>
      </c>
      <c r="AI322" s="27" t="inlineStr"/>
      <c r="AJ322" s="27" t="inlineStr">
        <is>
          <t>OK</t>
        </is>
      </c>
      <c r="AK322" s="29" t="inlineStr">
        <is>
          <t>0022845-08.2013.8.24.0008</t>
        </is>
      </c>
      <c r="AL322" s="29" t="inlineStr">
        <is>
          <t>TJ</t>
        </is>
      </c>
      <c r="AM322" s="29" t="inlineStr"/>
      <c r="AN322" s="29" t="n">
        <v>2013</v>
      </c>
      <c r="AO322" s="29" t="inlineStr">
        <is>
          <t>13y since filing, no plan document</t>
        </is>
      </c>
      <c r="AP322" s="29" t="inlineStr"/>
      <c r="AQ322" s="29" t="inlineStr"/>
      <c r="AR322" s="29" t="inlineStr"/>
      <c r="AS322" s="29" t="inlineStr"/>
      <c r="AT322" s="29" t="inlineStr">
        <is>
          <t>MID-MARKET</t>
        </is>
      </c>
      <c r="AU322" s="29" t="inlineStr">
        <is>
          <t>14064928</t>
        </is>
      </c>
      <c r="AV322" s="29" t="n">
        <v>1</v>
      </c>
      <c r="AW322" s="29" t="inlineStr">
        <is>
          <t>LIKELY_FINANCIAL_BY_NAME ROWS:p2r13</t>
        </is>
      </c>
    </row>
    <row r="323">
      <c r="A323" s="15" t="inlineStr">
        <is>
          <t>CREDIT BRASIL FUNDO DE INVESTIMENTO EM DIREITOS CREDITORIOS MULTISSETORIAL MASTER - EM LIQUIDACAO</t>
        </is>
      </c>
      <c r="B323" s="16" t="n">
        <v>526332.66</v>
      </c>
      <c r="C323" s="17" t="inlineStr"/>
      <c r="D323" s="18" t="inlineStr">
        <is>
          <t>NEW</t>
        </is>
      </c>
      <c r="E323" s="19" t="inlineStr"/>
      <c r="F323" s="18" t="inlineStr"/>
      <c r="G323" s="19" t="inlineStr"/>
      <c r="H323" s="18" t="inlineStr"/>
      <c r="I323" s="20" t="inlineStr"/>
      <c r="J323" s="20" t="inlineStr"/>
      <c r="K323" s="20" t="inlineStr">
        <is>
          <t>(41) 3074-0909</t>
        </is>
      </c>
      <c r="L323" s="20" t="inlineStr"/>
      <c r="M323" s="20" t="inlineStr"/>
      <c r="N323" s="20" t="inlineStr"/>
      <c r="O323" s="20" t="inlineStr"/>
      <c r="P323" s="20" t="inlineStr"/>
      <c r="Q323" s="20" t="inlineStr"/>
      <c r="R323" s="20" t="inlineStr"/>
      <c r="S323" s="20" t="inlineStr"/>
      <c r="T323" s="21" t="n">
        <v>526332.66</v>
      </c>
      <c r="U323" s="31" t="inlineStr">
        <is>
          <t>C</t>
        </is>
      </c>
      <c r="V323" s="23">
        <f>IFERROR(VLOOKUP(U323,Assumptions!$A$7:$D$11,2,FALSE),0)</f>
        <v/>
      </c>
      <c r="W323" s="24">
        <f>MAX(0.5,IFERROR(VLOOKUP(U323,Assumptions!$A$7:$D$11,3,FALSE),3)+IFERROR(VLOOKUP(U323,Assumptions!$A$7:$D$11,4,FALSE),8)/2-IF(AN323="",0,YEAR(TODAY())-AN323))</f>
        <v/>
      </c>
      <c r="X323" s="21">
        <f>T323*V323/(1+Assumptions!$B$3)^W323</f>
        <v/>
      </c>
      <c r="Y323" s="25">
        <f>IF(T323=0,"",ROUND(X323/T323*100,1))</f>
        <v/>
      </c>
      <c r="Z323" s="26">
        <f>X323*Assumptions!$B$4</f>
        <v/>
      </c>
      <c r="AA323" s="25">
        <f>IF(T323=0,"",ROUND(Z323/T323*100,1))</f>
        <v/>
      </c>
      <c r="AB323" s="26">
        <f>X323-Z323</f>
        <v/>
      </c>
      <c r="AC323" s="25">
        <f>IF(T323=0,"",ROUND((X323-Z323)/T323*100,1))</f>
        <v/>
      </c>
      <c r="AD323" s="27" t="inlineStr">
        <is>
          <t>UNKNOWN</t>
        </is>
      </c>
      <c r="AE323" s="28" t="inlineStr">
        <is>
          <t>https://administradorajudicialgs.com.br/wp-content/uploads/2023/08/advogados-sgrott-doc-22-relacao-de-credores-do-administrador-judicial-classe-iii-05-02-14.pdf</t>
        </is>
      </c>
      <c r="AF323" s="27" t="inlineStr">
        <is>
          <t>p2 r20</t>
        </is>
      </c>
      <c r="AG323" s="27" t="inlineStr">
        <is>
          <t>p2: R$ 526.332,66</t>
        </is>
      </c>
      <c r="AH323" s="27" t="inlineStr">
        <is>
          <t>UNKNOWN</t>
        </is>
      </c>
      <c r="AI323" s="27" t="inlineStr"/>
      <c r="AJ323" s="27" t="inlineStr">
        <is>
          <t>OK</t>
        </is>
      </c>
      <c r="AK323" s="29" t="inlineStr">
        <is>
          <t>0022845-08.2013.8.24.0008</t>
        </is>
      </c>
      <c r="AL323" s="29" t="inlineStr">
        <is>
          <t>TJ</t>
        </is>
      </c>
      <c r="AM323" s="29" t="inlineStr"/>
      <c r="AN323" s="29" t="n">
        <v>2013</v>
      </c>
      <c r="AO323" s="29" t="inlineStr">
        <is>
          <t>13y since filing, no plan document</t>
        </is>
      </c>
      <c r="AP323" s="29" t="inlineStr">
        <is>
          <t>SAO PAULO</t>
        </is>
      </c>
      <c r="AQ323" s="29" t="inlineStr">
        <is>
          <t>SP</t>
        </is>
      </c>
      <c r="AR323" s="29" t="inlineStr">
        <is>
          <t>Fundos de investimento, exceto previdenciários e imobiliários</t>
        </is>
      </c>
      <c r="AS323" s="29" t="inlineStr">
        <is>
          <t>DEMAIS</t>
        </is>
      </c>
      <c r="AT323" s="29" t="inlineStr">
        <is>
          <t>MID-MARKET</t>
        </is>
      </c>
      <c r="AU323" s="29" t="inlineStr">
        <is>
          <t>12144737</t>
        </is>
      </c>
      <c r="AV323" s="29" t="n">
        <v>1</v>
      </c>
      <c r="AW323" s="29" t="inlineStr">
        <is>
          <t>ROWS:p2r20</t>
        </is>
      </c>
    </row>
    <row r="324">
      <c r="A324" s="15" t="inlineStr">
        <is>
          <t>FX CAPITAL E SECURITIZACOES S.A.</t>
        </is>
      </c>
      <c r="B324" s="16" t="n">
        <v>912212.65</v>
      </c>
      <c r="C324" s="17" t="inlineStr">
        <is>
          <t>VECTOR INDUSTRIA DE PRODUTOS METALURGICOS LTDA - EM RECUPERACAO JUDICIAL</t>
        </is>
      </c>
      <c r="D324" s="18" t="inlineStr">
        <is>
          <t>NEW</t>
        </is>
      </c>
      <c r="E324" s="19" t="inlineStr"/>
      <c r="F324" s="18" t="inlineStr"/>
      <c r="G324" s="19" t="inlineStr"/>
      <c r="H324" s="18" t="inlineStr"/>
      <c r="I324" s="20" t="inlineStr">
        <is>
          <t>RAUL AUGUSTO SILVA JUNIOR</t>
        </is>
      </c>
      <c r="J324" s="20" t="inlineStr">
        <is>
          <t>Diretor</t>
        </is>
      </c>
      <c r="K324" s="20" t="inlineStr">
        <is>
          <t>(54) 3067-7591</t>
        </is>
      </c>
      <c r="L324" s="20" t="inlineStr"/>
      <c r="M324" s="20" t="inlineStr"/>
      <c r="N324" s="20" t="inlineStr"/>
      <c r="O324" s="20" t="inlineStr"/>
      <c r="P324" s="20" t="inlineStr"/>
      <c r="Q324" s="20" t="inlineStr"/>
      <c r="R324" s="20" t="inlineStr"/>
      <c r="S324" s="20" t="inlineStr"/>
      <c r="T324" s="21" t="n">
        <v>912212.65</v>
      </c>
      <c r="U324" s="31" t="inlineStr">
        <is>
          <t>C</t>
        </is>
      </c>
      <c r="V324" s="23">
        <f>IFERROR(VLOOKUP(U324,Assumptions!$A$7:$D$11,2,FALSE),0)</f>
        <v/>
      </c>
      <c r="W324" s="24">
        <f>MAX(0.5,IFERROR(VLOOKUP(U324,Assumptions!$A$7:$D$11,3,FALSE),3)+IFERROR(VLOOKUP(U324,Assumptions!$A$7:$D$11,4,FALSE),8)/2-IF(AN324="",0,YEAR(TODAY())-AN324))</f>
        <v/>
      </c>
      <c r="X324" s="21">
        <f>T324*V324/(1+Assumptions!$B$3)^W324</f>
        <v/>
      </c>
      <c r="Y324" s="25">
        <f>IF(T324=0,"",ROUND(X324/T324*100,1))</f>
        <v/>
      </c>
      <c r="Z324" s="26">
        <f>X324*Assumptions!$B$4</f>
        <v/>
      </c>
      <c r="AA324" s="25">
        <f>IF(T324=0,"",ROUND(Z324/T324*100,1))</f>
        <v/>
      </c>
      <c r="AB324" s="26">
        <f>X324-Z324</f>
        <v/>
      </c>
      <c r="AC324" s="25">
        <f>IF(T324=0,"",ROUND((X324-Z324)/T324*100,1))</f>
        <v/>
      </c>
      <c r="AD324" s="27" t="inlineStr">
        <is>
          <t>ESTIMATED</t>
        </is>
      </c>
      <c r="AE324" s="28" t="inlineStr">
        <is>
          <t>https://scalzilliaj.com.br/sgc/download.php?file=files/processo_documento/processo_documento15513401112022_1_.pdf&amp;nome=15 - Edital do art. 7º, §2º (segunda lista de credores) e do art. 53 da Lei 11.101/2005 (recebimento do plano)</t>
        </is>
      </c>
      <c r="AF324" s="27" t="inlineStr">
        <is>
          <t>p7 r15</t>
        </is>
      </c>
      <c r="AG324" s="27" t="inlineStr">
        <is>
          <t>p7: R$ 912.212,65</t>
        </is>
      </c>
      <c r="AH324" s="27" t="inlineStr">
        <is>
          <t>AJ_LIST</t>
        </is>
      </c>
      <c r="AI324" s="27" t="inlineStr">
        <is>
          <t>2022-11-01</t>
        </is>
      </c>
      <c r="AJ324" s="27" t="inlineStr">
        <is>
          <t>OK_NO_TOTALS</t>
        </is>
      </c>
      <c r="AK324" s="29" t="inlineStr">
        <is>
          <t>5014104-85.2021.8.21.0010</t>
        </is>
      </c>
      <c r="AL324" s="29" t="inlineStr">
        <is>
          <t>TJRS</t>
        </is>
      </c>
      <c r="AM324" s="29" t="inlineStr">
        <is>
          <t>ACTIVE</t>
        </is>
      </c>
      <c r="AN324" s="29" t="n">
        <v>2021</v>
      </c>
      <c r="AO324" s="29" t="inlineStr">
        <is>
          <t>5y since filing, no plan document</t>
        </is>
      </c>
      <c r="AP324" s="29" t="inlineStr">
        <is>
          <t>CAXIAS DO SUL</t>
        </is>
      </c>
      <c r="AQ324" s="29" t="inlineStr">
        <is>
          <t>RS</t>
        </is>
      </c>
      <c r="AR324" s="29" t="inlineStr">
        <is>
          <t>Securitização de créditos</t>
        </is>
      </c>
      <c r="AS324" s="29" t="inlineStr">
        <is>
          <t>DEMAIS</t>
        </is>
      </c>
      <c r="AT324" s="29" t="inlineStr">
        <is>
          <t>MID-MARKET</t>
        </is>
      </c>
      <c r="AU324" s="29" t="inlineStr">
        <is>
          <t>40072614</t>
        </is>
      </c>
      <c r="AV324" s="29" t="n">
        <v>1</v>
      </c>
      <c r="AW324" s="29" t="inlineStr">
        <is>
          <t>ROWS:p7r15 UNRECONCILED_SOURCE</t>
        </is>
      </c>
    </row>
    <row r="325">
      <c r="A325" s="15" t="inlineStr">
        <is>
          <t>COOPERATIVA DE CRÉD ITO UNICRED EVOLUÇÃO LTDA</t>
        </is>
      </c>
      <c r="B325" s="16" t="n">
        <v>890473.2</v>
      </c>
      <c r="C325" s="17" t="inlineStr">
        <is>
          <t>DIAGSON DIAGNOSTICO EM ULTRA SONOGRAFIA MED FETAL LTDA - EM RECUPERACAO JUDICIAL</t>
        </is>
      </c>
      <c r="D325" s="18" t="inlineStr">
        <is>
          <t>NEW</t>
        </is>
      </c>
      <c r="E325" s="19" t="inlineStr"/>
      <c r="F325" s="18" t="inlineStr"/>
      <c r="G325" s="19" t="inlineStr"/>
      <c r="H325" s="18" t="inlineStr"/>
      <c r="I325" s="20" t="inlineStr"/>
      <c r="J325" s="20" t="inlineStr"/>
      <c r="K325" s="20" t="inlineStr"/>
      <c r="L325" s="20" t="inlineStr"/>
      <c r="M325" s="20" t="inlineStr"/>
      <c r="N325" s="20" t="inlineStr"/>
      <c r="O325" s="20" t="inlineStr"/>
      <c r="P325" s="20" t="inlineStr"/>
      <c r="Q325" s="20" t="inlineStr"/>
      <c r="R325" s="20" t="inlineStr"/>
      <c r="S325" s="20" t="inlineStr"/>
      <c r="T325" s="21" t="n">
        <v>890473.2</v>
      </c>
      <c r="U325" s="22" t="inlineStr">
        <is>
          <t>B</t>
        </is>
      </c>
      <c r="V325" s="23">
        <f>IFERROR(VLOOKUP(U325,Assumptions!$A$7:$D$11,2,FALSE),0)</f>
        <v/>
      </c>
      <c r="W325" s="24">
        <f>MAX(0.5,IFERROR(VLOOKUP(U325,Assumptions!$A$7:$D$11,3,FALSE),3)+IFERROR(VLOOKUP(U325,Assumptions!$A$7:$D$11,4,FALSE),8)/2-IF(AN325="",0,YEAR(TODAY())-AN325))</f>
        <v/>
      </c>
      <c r="X325" s="21">
        <f>T325*V325/(1+Assumptions!$B$3)^W325</f>
        <v/>
      </c>
      <c r="Y325" s="25">
        <f>IF(T325=0,"",ROUND(X325/T325*100,1))</f>
        <v/>
      </c>
      <c r="Z325" s="26">
        <f>X325*Assumptions!$B$4</f>
        <v/>
      </c>
      <c r="AA325" s="25">
        <f>IF(T325=0,"",ROUND(Z325/T325*100,1))</f>
        <v/>
      </c>
      <c r="AB325" s="26">
        <f>X325-Z325</f>
        <v/>
      </c>
      <c r="AC325" s="25">
        <f>IF(T325=0,"",ROUND((X325-Z325)/T325*100,1))</f>
        <v/>
      </c>
      <c r="AD325" s="27" t="inlineStr">
        <is>
          <t>ESTIMATED</t>
        </is>
      </c>
      <c r="AE325" s="28" t="inlineStr">
        <is>
          <t>https://lrflideres.com.br/wp-content/plugins/download-attachments/includes/download.php?id=7418</t>
        </is>
      </c>
      <c r="AF325" s="27" t="inlineStr">
        <is>
          <t>p2 r50</t>
        </is>
      </c>
      <c r="AG325" s="27" t="inlineStr">
        <is>
          <t>p2: R$ 890.473,20</t>
        </is>
      </c>
      <c r="AH325" s="27" t="inlineStr">
        <is>
          <t>DEBTOR_LIST</t>
        </is>
      </c>
      <c r="AI325" s="27" t="inlineStr">
        <is>
          <t>2026-07-28</t>
        </is>
      </c>
      <c r="AJ325" s="27" t="inlineStr">
        <is>
          <t>QUARANTINED</t>
        </is>
      </c>
      <c r="AK325" s="29" t="inlineStr">
        <is>
          <t>0822279-56.2026.8.15.2001</t>
        </is>
      </c>
      <c r="AL325" s="29" t="inlineStr">
        <is>
          <t>TJPB</t>
        </is>
      </c>
      <c r="AM325" s="29" t="inlineStr">
        <is>
          <t>ACTIVE</t>
        </is>
      </c>
      <c r="AN325" s="29" t="n">
        <v>2026</v>
      </c>
      <c r="AO325" s="29" t="inlineStr">
        <is>
          <t>live case, no plan document yet</t>
        </is>
      </c>
      <c r="AP325" s="29" t="inlineStr"/>
      <c r="AQ325" s="29" t="inlineStr"/>
      <c r="AR325" s="29" t="inlineStr"/>
      <c r="AS325" s="29" t="inlineStr"/>
      <c r="AT325" s="29" t="inlineStr">
        <is>
          <t>MID-MARKET</t>
        </is>
      </c>
      <c r="AU325" s="29" t="inlineStr">
        <is>
          <t>01727929</t>
        </is>
      </c>
      <c r="AV325" s="29" t="n">
        <v>1</v>
      </c>
      <c r="AW325" s="29" t="inlineStr">
        <is>
          <t>LIKELY_FINANCIAL_BY_NAME PARTIAL_DOC_CLASS_III_RECONCILED ROWS:p2r50</t>
        </is>
      </c>
    </row>
    <row r="326">
      <c r="A326" s="15" t="inlineStr">
        <is>
          <t>Sigma Credit Fundo De Investimento Em Direitos Creditorios</t>
        </is>
      </c>
      <c r="B326" s="16" t="n">
        <v>454617.6</v>
      </c>
      <c r="C326" s="17" t="inlineStr">
        <is>
          <t>ADVOCACIA WANDERLEI DE PAULA BARRETO</t>
        </is>
      </c>
      <c r="D326" s="18" t="inlineStr">
        <is>
          <t>NEW</t>
        </is>
      </c>
      <c r="E326" s="19" t="inlineStr"/>
      <c r="F326" s="18" t="inlineStr"/>
      <c r="G326" s="19" t="inlineStr"/>
      <c r="H326" s="18" t="inlineStr"/>
      <c r="I326" s="20" t="inlineStr"/>
      <c r="J326" s="20" t="inlineStr"/>
      <c r="K326" s="20" t="inlineStr"/>
      <c r="L326" s="20" t="inlineStr"/>
      <c r="M326" s="20" t="inlineStr"/>
      <c r="N326" s="20" t="inlineStr"/>
      <c r="O326" s="20" t="inlineStr"/>
      <c r="P326" s="20" t="inlineStr"/>
      <c r="Q326" s="20" t="inlineStr"/>
      <c r="R326" s="20" t="inlineStr"/>
      <c r="S326" s="20" t="inlineStr"/>
      <c r="T326" s="21" t="n">
        <v>454617.6</v>
      </c>
      <c r="U326" s="22" t="inlineStr">
        <is>
          <t>B</t>
        </is>
      </c>
      <c r="V326" s="23">
        <f>IFERROR(VLOOKUP(U326,Assumptions!$A$7:$D$11,2,FALSE),0)</f>
        <v/>
      </c>
      <c r="W326" s="24">
        <f>MAX(0.5,IFERROR(VLOOKUP(U326,Assumptions!$A$7:$D$11,3,FALSE),3)+IFERROR(VLOOKUP(U326,Assumptions!$A$7:$D$11,4,FALSE),8)/2-IF(AN326="",0,YEAR(TODAY())-AN326))</f>
        <v/>
      </c>
      <c r="X326" s="21">
        <f>T326*V326/(1+Assumptions!$B$3)^W326</f>
        <v/>
      </c>
      <c r="Y326" s="25">
        <f>IF(T326=0,"",ROUND(X326/T326*100,1))</f>
        <v/>
      </c>
      <c r="Z326" s="26">
        <f>X326*Assumptions!$B$4</f>
        <v/>
      </c>
      <c r="AA326" s="25">
        <f>IF(T326=0,"",ROUND(Z326/T326*100,1))</f>
        <v/>
      </c>
      <c r="AB326" s="26">
        <f>X326-Z326</f>
        <v/>
      </c>
      <c r="AC326" s="25">
        <f>IF(T326=0,"",ROUND((X326-Z326)/T326*100,1))</f>
        <v/>
      </c>
      <c r="AD326" s="27" t="inlineStr">
        <is>
          <t>ESTIMATED</t>
        </is>
      </c>
      <c r="AE326" s="28" t="inlineStr">
        <is>
          <t>https://marquesadmjudicial.com.br/sgc/download.php?file=files/processo_documento/processo_documento17040729052024_1_.pdf&amp;nome=Relação Nominal de Credores AJ-Sintética</t>
        </is>
      </c>
      <c r="AF326" s="27" t="inlineStr">
        <is>
          <t>p13 r5</t>
        </is>
      </c>
      <c r="AG326" s="27" t="inlineStr">
        <is>
          <t>p13: R$ 454.617,60</t>
        </is>
      </c>
      <c r="AH326" s="27" t="inlineStr">
        <is>
          <t>AJ_LIST</t>
        </is>
      </c>
      <c r="AI326" s="27" t="inlineStr">
        <is>
          <t>2024-05-27</t>
        </is>
      </c>
      <c r="AJ326" s="27" t="inlineStr">
        <is>
          <t>QUARANTINED</t>
        </is>
      </c>
      <c r="AK326" s="29" t="inlineStr">
        <is>
          <t>0003971-03.2023.8.16.0119</t>
        </is>
      </c>
      <c r="AL326" s="29" t="inlineStr">
        <is>
          <t>TJPR</t>
        </is>
      </c>
      <c r="AM326" s="29" t="inlineStr">
        <is>
          <t>ACTIVE</t>
        </is>
      </c>
      <c r="AN326" s="29" t="n">
        <v>2023</v>
      </c>
      <c r="AO326" s="29" t="inlineStr">
        <is>
          <t>live case, no plan document yet</t>
        </is>
      </c>
      <c r="AP326" s="29" t="inlineStr"/>
      <c r="AQ326" s="29" t="inlineStr"/>
      <c r="AR326" s="29" t="inlineStr"/>
      <c r="AS326" s="29" t="inlineStr"/>
      <c r="AT326" s="29" t="inlineStr">
        <is>
          <t>MID-MARKET</t>
        </is>
      </c>
      <c r="AU326" s="29" t="inlineStr">
        <is>
          <t>29236426</t>
        </is>
      </c>
      <c r="AV326" s="29" t="n">
        <v>1</v>
      </c>
      <c r="AW326" s="29" t="inlineStr">
        <is>
          <t>LIKELY_FINANCIAL_BY_NAME PARTIAL_DOC_CLASS_III_RECONCILED ROWS:p13r5</t>
        </is>
      </c>
    </row>
    <row r="327">
      <c r="A327" s="15" t="inlineStr">
        <is>
          <t>PERSONAL FIF - CLASSE DE INVESTIMENTO MULTIMERCADO - RESP LIMITADA</t>
        </is>
      </c>
      <c r="B327" s="16" t="n">
        <v>705997.79</v>
      </c>
      <c r="C327" s="17" t="inlineStr"/>
      <c r="D327" s="18" t="inlineStr">
        <is>
          <t>NEW</t>
        </is>
      </c>
      <c r="E327" s="19" t="inlineStr"/>
      <c r="F327" s="18" t="inlineStr"/>
      <c r="G327" s="19" t="inlineStr"/>
      <c r="H327" s="18" t="inlineStr"/>
      <c r="I327" s="20" t="inlineStr"/>
      <c r="J327" s="20" t="inlineStr"/>
      <c r="K327" s="20" t="inlineStr">
        <is>
          <t>(11) 3684-5122</t>
        </is>
      </c>
      <c r="L327" s="20" t="inlineStr"/>
      <c r="M327" s="20" t="inlineStr"/>
      <c r="N327" s="20" t="inlineStr"/>
      <c r="O327" s="20" t="inlineStr"/>
      <c r="P327" s="20" t="inlineStr"/>
      <c r="Q327" s="20" t="inlineStr"/>
      <c r="R327" s="20" t="inlineStr"/>
      <c r="S327" s="20" t="inlineStr"/>
      <c r="T327" s="21" t="n">
        <v>705997.79</v>
      </c>
      <c r="U327" s="22" t="inlineStr">
        <is>
          <t>B</t>
        </is>
      </c>
      <c r="V327" s="23">
        <f>IFERROR(VLOOKUP(U327,Assumptions!$A$7:$D$11,2,FALSE),0)</f>
        <v/>
      </c>
      <c r="W327" s="24">
        <f>MAX(0.5,IFERROR(VLOOKUP(U327,Assumptions!$A$7:$D$11,3,FALSE),3)+IFERROR(VLOOKUP(U327,Assumptions!$A$7:$D$11,4,FALSE),8)/2-IF(AN327="",0,YEAR(TODAY())-AN327))</f>
        <v/>
      </c>
      <c r="X327" s="21">
        <f>T327*V327/(1+Assumptions!$B$3)^W327</f>
        <v/>
      </c>
      <c r="Y327" s="25">
        <f>IF(T327=0,"",ROUND(X327/T327*100,1))</f>
        <v/>
      </c>
      <c r="Z327" s="26">
        <f>X327*Assumptions!$B$4</f>
        <v/>
      </c>
      <c r="AA327" s="25">
        <f>IF(T327=0,"",ROUND(Z327/T327*100,1))</f>
        <v/>
      </c>
      <c r="AB327" s="26">
        <f>X327-Z327</f>
        <v/>
      </c>
      <c r="AC327" s="25">
        <f>IF(T327=0,"",ROUND((X327-Z327)/T327*100,1))</f>
        <v/>
      </c>
      <c r="AD327" s="27" t="inlineStr">
        <is>
          <t>UNKNOWN</t>
        </is>
      </c>
      <c r="AE327" s="28" t="inlineStr">
        <is>
          <t>https://credibilita.com.br/wp-content/uploads/2025/09/Relacao-Credores-29.04.2026.pdf</t>
        </is>
      </c>
      <c r="AF327" s="27" t="inlineStr">
        <is>
          <t>p2 r7</t>
        </is>
      </c>
      <c r="AG327" s="27" t="inlineStr">
        <is>
          <t>p2: R$ 705.997,79</t>
        </is>
      </c>
      <c r="AH327" s="27" t="inlineStr">
        <is>
          <t>UNKNOWN</t>
        </is>
      </c>
      <c r="AI327" s="27" t="inlineStr"/>
      <c r="AJ327" s="27" t="inlineStr">
        <is>
          <t>OK_NO_TOTALS</t>
        </is>
      </c>
      <c r="AK327" s="29" t="inlineStr">
        <is>
          <t>5057720-48.2025.8.24.0023</t>
        </is>
      </c>
      <c r="AL327" s="29" t="inlineStr">
        <is>
          <t>TJ</t>
        </is>
      </c>
      <c r="AM327" s="29" t="inlineStr"/>
      <c r="AN327" s="29" t="n">
        <v>2025</v>
      </c>
      <c r="AO327" s="29" t="inlineStr">
        <is>
          <t>live case, no plan document yet</t>
        </is>
      </c>
      <c r="AP327" s="29" t="inlineStr">
        <is>
          <t>OSASCO</t>
        </is>
      </c>
      <c r="AQ327" s="29" t="inlineStr">
        <is>
          <t>SP</t>
        </is>
      </c>
      <c r="AR327" s="29" t="inlineStr">
        <is>
          <t>Fundos de investimento, exceto previdenciários e imobiliários</t>
        </is>
      </c>
      <c r="AS327" s="29" t="inlineStr">
        <is>
          <t>DEMAIS</t>
        </is>
      </c>
      <c r="AT327" s="29" t="inlineStr">
        <is>
          <t>MID-MARKET</t>
        </is>
      </c>
      <c r="AU327" s="29" t="inlineStr">
        <is>
          <t>03303563</t>
        </is>
      </c>
      <c r="AV327" s="29" t="n">
        <v>1</v>
      </c>
      <c r="AW327" s="29" t="inlineStr">
        <is>
          <t>ROWS:p2r7 UNRECONCILED_SOURCE VALUE_COL:Valor_Após_Analise</t>
        </is>
      </c>
    </row>
    <row r="328">
      <c r="A328" s="15" t="inlineStr">
        <is>
          <t>JRS EMPREENDIMENTOS IMOBILIARIOS LTDA</t>
        </is>
      </c>
      <c r="B328" s="16" t="n">
        <v>698356</v>
      </c>
      <c r="C328" s="17" t="inlineStr"/>
      <c r="D328" s="18" t="inlineStr">
        <is>
          <t>NEW</t>
        </is>
      </c>
      <c r="E328" s="19" t="inlineStr"/>
      <c r="F328" s="18" t="inlineStr"/>
      <c r="G328" s="19" t="inlineStr"/>
      <c r="H328" s="18" t="inlineStr"/>
      <c r="I328" s="20" t="inlineStr">
        <is>
          <t>CLAUDIO CESAR CUSTODIO</t>
        </is>
      </c>
      <c r="J328" s="20" t="inlineStr">
        <is>
          <t>Sócio-Administrador</t>
        </is>
      </c>
      <c r="K328" s="20" t="inlineStr">
        <is>
          <t>(65) 3388-2518</t>
        </is>
      </c>
      <c r="L328" s="20" t="inlineStr">
        <is>
          <t>(65) 3388-2548</t>
        </is>
      </c>
      <c r="M328" s="20" t="inlineStr"/>
      <c r="N328" s="20" t="inlineStr"/>
      <c r="O328" s="20" t="inlineStr"/>
      <c r="P328" s="20" t="inlineStr">
        <is>
          <t>JOAO BATISTA ROSA</t>
        </is>
      </c>
      <c r="Q328" s="20" t="inlineStr">
        <is>
          <t>Sócio-Administrador</t>
        </is>
      </c>
      <c r="R328" s="20" t="inlineStr">
        <is>
          <t>(65) 3388-2548</t>
        </is>
      </c>
      <c r="S328" s="20" t="inlineStr"/>
      <c r="T328" s="21" t="n">
        <v>698356</v>
      </c>
      <c r="U328" s="22" t="inlineStr">
        <is>
          <t>B</t>
        </is>
      </c>
      <c r="V328" s="23">
        <f>IFERROR(VLOOKUP(U328,Assumptions!$A$7:$D$11,2,FALSE),0)</f>
        <v/>
      </c>
      <c r="W328" s="24">
        <f>MAX(0.5,IFERROR(VLOOKUP(U328,Assumptions!$A$7:$D$11,3,FALSE),3)+IFERROR(VLOOKUP(U328,Assumptions!$A$7:$D$11,4,FALSE),8)/2-IF(AN328="",0,YEAR(TODAY())-AN328))</f>
        <v/>
      </c>
      <c r="X328" s="21">
        <f>T328*V328/(1+Assumptions!$B$3)^W328</f>
        <v/>
      </c>
      <c r="Y328" s="25">
        <f>IF(T328=0,"",ROUND(X328/T328*100,1))</f>
        <v/>
      </c>
      <c r="Z328" s="26">
        <f>X328*Assumptions!$B$4</f>
        <v/>
      </c>
      <c r="AA328" s="25">
        <f>IF(T328=0,"",ROUND(Z328/T328*100,1))</f>
        <v/>
      </c>
      <c r="AB328" s="26">
        <f>X328-Z328</f>
        <v/>
      </c>
      <c r="AC328" s="25">
        <f>IF(T328=0,"",ROUND((X328-Z328)/T328*100,1))</f>
        <v/>
      </c>
      <c r="AD328" s="27" t="inlineStr">
        <is>
          <t>UNKNOWN</t>
        </is>
      </c>
      <c r="AE328" s="28" t="inlineStr">
        <is>
          <t>https://credibilita.com.br/wp-content/uploads/2025/09/Relacao-Credores-29.04.2026.pdf</t>
        </is>
      </c>
      <c r="AF328" s="27" t="inlineStr">
        <is>
          <t>p1 r30</t>
        </is>
      </c>
      <c r="AG328" s="27" t="inlineStr">
        <is>
          <t>p1: R$ 698.356,00</t>
        </is>
      </c>
      <c r="AH328" s="27" t="inlineStr">
        <is>
          <t>UNKNOWN</t>
        </is>
      </c>
      <c r="AI328" s="27" t="inlineStr"/>
      <c r="AJ328" s="27" t="inlineStr">
        <is>
          <t>OK_NO_TOTALS</t>
        </is>
      </c>
      <c r="AK328" s="29" t="inlineStr">
        <is>
          <t>5057720-48.2025.8.24.0023</t>
        </is>
      </c>
      <c r="AL328" s="29" t="inlineStr">
        <is>
          <t>TJ</t>
        </is>
      </c>
      <c r="AM328" s="29" t="inlineStr"/>
      <c r="AN328" s="29" t="n">
        <v>2025</v>
      </c>
      <c r="AO328" s="29" t="inlineStr">
        <is>
          <t>live case, no plan document yet</t>
        </is>
      </c>
      <c r="AP328" s="29" t="inlineStr">
        <is>
          <t>VARZEA GRANDE</t>
        </is>
      </c>
      <c r="AQ328" s="29" t="inlineStr">
        <is>
          <t>MT</t>
        </is>
      </c>
      <c r="AR328" s="29" t="inlineStr">
        <is>
          <t>Outras sociedades de participação, exceto holdings</t>
        </is>
      </c>
      <c r="AS328" s="29" t="inlineStr">
        <is>
          <t>DEMAIS</t>
        </is>
      </c>
      <c r="AT328" s="29" t="inlineStr">
        <is>
          <t>MID-MARKET</t>
        </is>
      </c>
      <c r="AU328" s="29" t="inlineStr">
        <is>
          <t>12107667</t>
        </is>
      </c>
      <c r="AV328" s="29" t="n">
        <v>1</v>
      </c>
      <c r="AW328" s="29" t="inlineStr">
        <is>
          <t>ROWS:p1r30 UNRECONCILED_SOURCE VALUE_COL:Valor_Após_Analise</t>
        </is>
      </c>
    </row>
    <row r="329">
      <c r="A329" s="15" t="inlineStr">
        <is>
          <t>COOPERATIVA DE CREDITO UNICRED DESBRAVADORA LTDA - UNICRED DESBRAVADORA</t>
        </is>
      </c>
      <c r="B329" s="16" t="n">
        <v>438524.11</v>
      </c>
      <c r="C329" s="17" t="inlineStr">
        <is>
          <t>BBR AGRO SUPLEMENTOS LTDA EM RECUPERACAO JUDICIAL</t>
        </is>
      </c>
      <c r="D329" s="18" t="inlineStr">
        <is>
          <t>NEW</t>
        </is>
      </c>
      <c r="E329" s="19" t="inlineStr"/>
      <c r="F329" s="18" t="inlineStr"/>
      <c r="G329" s="19" t="inlineStr"/>
      <c r="H329" s="18" t="inlineStr"/>
      <c r="I329" s="20" t="inlineStr"/>
      <c r="J329" s="20" t="inlineStr"/>
      <c r="K329" s="20" t="inlineStr"/>
      <c r="L329" s="20" t="inlineStr"/>
      <c r="M329" s="20" t="inlineStr"/>
      <c r="N329" s="20" t="inlineStr"/>
      <c r="O329" s="20" t="inlineStr"/>
      <c r="P329" s="20" t="inlineStr"/>
      <c r="Q329" s="20" t="inlineStr"/>
      <c r="R329" s="20" t="inlineStr"/>
      <c r="S329" s="20" t="inlineStr"/>
      <c r="T329" s="21" t="n">
        <v>438524.11</v>
      </c>
      <c r="U329" s="22" t="inlineStr">
        <is>
          <t>B</t>
        </is>
      </c>
      <c r="V329" s="23">
        <f>IFERROR(VLOOKUP(U329,Assumptions!$A$7:$D$11,2,FALSE),0)</f>
        <v/>
      </c>
      <c r="W329" s="24">
        <f>MAX(0.5,IFERROR(VLOOKUP(U329,Assumptions!$A$7:$D$11,3,FALSE),3)+IFERROR(VLOOKUP(U329,Assumptions!$A$7:$D$11,4,FALSE),8)/2-IF(AN329="",0,YEAR(TODAY())-AN329))</f>
        <v/>
      </c>
      <c r="X329" s="21">
        <f>T329*V329/(1+Assumptions!$B$3)^W329</f>
        <v/>
      </c>
      <c r="Y329" s="25">
        <f>IF(T329=0,"",ROUND(X329/T329*100,1))</f>
        <v/>
      </c>
      <c r="Z329" s="26">
        <f>X329*Assumptions!$B$4</f>
        <v/>
      </c>
      <c r="AA329" s="25">
        <f>IF(T329=0,"",ROUND(Z329/T329*100,1))</f>
        <v/>
      </c>
      <c r="AB329" s="26">
        <f>X329-Z329</f>
        <v/>
      </c>
      <c r="AC329" s="25">
        <f>IF(T329=0,"",ROUND((X329-Z329)/T329*100,1))</f>
        <v/>
      </c>
      <c r="AD329" s="27" t="inlineStr">
        <is>
          <t>ESTIMATED</t>
        </is>
      </c>
      <c r="AE329" s="28" t="inlineStr">
        <is>
          <t>https://ajruiz.com.br/sites/default/files/public/arquivos-processos/2026-06/alto_uruguai_qgc_junho.2026.pdf</t>
        </is>
      </c>
      <c r="AF329" s="27" t="inlineStr">
        <is>
          <t>p1 r20</t>
        </is>
      </c>
      <c r="AG329" s="27" t="inlineStr">
        <is>
          <t>p1: R$ 438.524,11</t>
        </is>
      </c>
      <c r="AH329" s="27" t="inlineStr">
        <is>
          <t>UNKNOWN</t>
        </is>
      </c>
      <c r="AI329" s="27" t="inlineStr"/>
      <c r="AJ329" s="27" t="inlineStr">
        <is>
          <t>OK</t>
        </is>
      </c>
      <c r="AK329" s="29" t="inlineStr">
        <is>
          <t>5012743-51.2023.8.24.0019</t>
        </is>
      </c>
      <c r="AL329" s="29" t="inlineStr">
        <is>
          <t>TJSC</t>
        </is>
      </c>
      <c r="AM329" s="29" t="inlineStr">
        <is>
          <t>ACTIVE</t>
        </is>
      </c>
      <c r="AN329" s="29" t="n">
        <v>2023</v>
      </c>
      <c r="AO329" s="29" t="inlineStr">
        <is>
          <t>live case, no plan document yet</t>
        </is>
      </c>
      <c r="AP329" s="29" t="inlineStr"/>
      <c r="AQ329" s="29" t="inlineStr"/>
      <c r="AR329" s="29" t="inlineStr"/>
      <c r="AS329" s="29" t="inlineStr"/>
      <c r="AT329" s="29" t="inlineStr">
        <is>
          <t>MID-MARKET</t>
        </is>
      </c>
      <c r="AU329" s="29" t="inlineStr">
        <is>
          <t>01039011</t>
        </is>
      </c>
      <c r="AV329" s="29" t="n">
        <v>1</v>
      </c>
      <c r="AW329" s="29" t="inlineStr">
        <is>
          <t>LIKELY_FINANCIAL_BY_NAME ROWS:p1r20 VALUE_COL:Valor_Do_Crédito</t>
        </is>
      </c>
    </row>
    <row r="330">
      <c r="A330" s="15" t="inlineStr">
        <is>
          <t>Banco Volvo (Brasil) S.A.</t>
        </is>
      </c>
      <c r="B330" s="16" t="n">
        <v>622937.34</v>
      </c>
      <c r="C330" s="17" t="inlineStr">
        <is>
          <t>COMERCIO RACOES BEM BOM LTDA</t>
        </is>
      </c>
      <c r="D330" s="18" t="inlineStr">
        <is>
          <t>NEW</t>
        </is>
      </c>
      <c r="E330" s="19" t="inlineStr"/>
      <c r="F330" s="18" t="inlineStr"/>
      <c r="G330" s="19" t="inlineStr"/>
      <c r="H330" s="18" t="inlineStr"/>
      <c r="I330" s="20" t="inlineStr"/>
      <c r="J330" s="20" t="inlineStr"/>
      <c r="K330" s="20" t="inlineStr"/>
      <c r="L330" s="20" t="inlineStr"/>
      <c r="M330" s="20" t="inlineStr"/>
      <c r="N330" s="20" t="inlineStr"/>
      <c r="O330" s="20" t="inlineStr"/>
      <c r="P330" s="20" t="inlineStr"/>
      <c r="Q330" s="20" t="inlineStr"/>
      <c r="R330" s="20" t="inlineStr"/>
      <c r="S330" s="20" t="inlineStr"/>
      <c r="T330" s="21" t="n">
        <v>622937.34</v>
      </c>
      <c r="U330" s="32" t="inlineStr">
        <is>
          <t>A</t>
        </is>
      </c>
      <c r="V330" s="23">
        <f>IFERROR(VLOOKUP(U330,Assumptions!$A$7:$D$11,2,FALSE),0)</f>
        <v/>
      </c>
      <c r="W330" s="24">
        <f>MAX(0.5,IFERROR(VLOOKUP(U330,Assumptions!$A$7:$D$11,3,FALSE),3)+IFERROR(VLOOKUP(U330,Assumptions!$A$7:$D$11,4,FALSE),8)/2-IF(AN330="",0,YEAR(TODAY())-AN330))</f>
        <v/>
      </c>
      <c r="X330" s="21">
        <f>T330*V330/(1+Assumptions!$B$3)^W330</f>
        <v/>
      </c>
      <c r="Y330" s="25">
        <f>IF(T330=0,"",ROUND(X330/T330*100,1))</f>
        <v/>
      </c>
      <c r="Z330" s="26">
        <f>X330*Assumptions!$B$4</f>
        <v/>
      </c>
      <c r="AA330" s="25">
        <f>IF(T330=0,"",ROUND(Z330/T330*100,1))</f>
        <v/>
      </c>
      <c r="AB330" s="26">
        <f>X330-Z330</f>
        <v/>
      </c>
      <c r="AC330" s="25">
        <f>IF(T330=0,"",ROUND((X330-Z330)/T330*100,1))</f>
        <v/>
      </c>
      <c r="AD330" s="27" t="inlineStr">
        <is>
          <t>CONFIRMED</t>
        </is>
      </c>
      <c r="AE330" s="28" t="inlineStr">
        <is>
          <t>https://stenius.com.br/wp-content/uploads/2026/06/EDITAL-GRUPO-3E.pdf</t>
        </is>
      </c>
      <c r="AF330" s="27" t="inlineStr">
        <is>
          <t>p10 r41</t>
        </is>
      </c>
      <c r="AG330" s="27" t="inlineStr">
        <is>
          <t>p10: R$ 622.937,34</t>
        </is>
      </c>
      <c r="AH330" s="27" t="inlineStr">
        <is>
          <t>DEBTOR_LIST</t>
        </is>
      </c>
      <c r="AI330" s="27" t="inlineStr">
        <is>
          <t>2026-06-22</t>
        </is>
      </c>
      <c r="AJ330" s="27" t="inlineStr">
        <is>
          <t>OK_NO_TOTALS</t>
        </is>
      </c>
      <c r="AK330" s="29" t="inlineStr">
        <is>
          <t>5341375-33.2026.8.09.0049</t>
        </is>
      </c>
      <c r="AL330" s="29" t="inlineStr">
        <is>
          <t>TJGO</t>
        </is>
      </c>
      <c r="AM330" s="29" t="inlineStr">
        <is>
          <t>ACTIVE</t>
        </is>
      </c>
      <c r="AN330" s="29" t="n">
        <v>2026</v>
      </c>
      <c r="AO330" s="29" t="inlineStr">
        <is>
          <t>plan/homologation document found</t>
        </is>
      </c>
      <c r="AP330" s="29" t="inlineStr"/>
      <c r="AQ330" s="29" t="inlineStr"/>
      <c r="AR330" s="29" t="inlineStr"/>
      <c r="AS330" s="29" t="inlineStr"/>
      <c r="AT330" s="29" t="inlineStr">
        <is>
          <t>MID-MARKET</t>
        </is>
      </c>
      <c r="AU330" s="29" t="inlineStr">
        <is>
          <t>58017179</t>
        </is>
      </c>
      <c r="AV330" s="29" t="n">
        <v>1</v>
      </c>
      <c r="AW330" s="29" t="inlineStr">
        <is>
          <t>LIKELY_FINANCIAL_BY_NAME ROWS:p10r41 UNRECONCILED_SOURCE</t>
        </is>
      </c>
    </row>
    <row r="331">
      <c r="A331" s="15" t="inlineStr">
        <is>
          <t>MAGGI ADMINISTRADORA DE CONSORCIOS LTDA</t>
        </is>
      </c>
      <c r="B331" s="16" t="n">
        <v>617038.73</v>
      </c>
      <c r="C331" s="17" t="inlineStr">
        <is>
          <t>COMERCIO RACOES BEM BOM LTDA</t>
        </is>
      </c>
      <c r="D331" s="18" t="inlineStr">
        <is>
          <t>NEW</t>
        </is>
      </c>
      <c r="E331" s="19" t="inlineStr"/>
      <c r="F331" s="18" t="inlineStr"/>
      <c r="G331" s="19" t="inlineStr"/>
      <c r="H331" s="18" t="inlineStr"/>
      <c r="I331" s="20" t="inlineStr">
        <is>
          <t>ANTONIO APARECIDO MONTEIRO DE CARVALHO</t>
        </is>
      </c>
      <c r="J331" s="20" t="inlineStr">
        <is>
          <t>Sócio-Administrador</t>
        </is>
      </c>
      <c r="K331" s="20" t="inlineStr">
        <is>
          <t>(01) 14023-0001</t>
        </is>
      </c>
      <c r="L331" s="20" t="inlineStr"/>
      <c r="M331" s="20" t="inlineStr"/>
      <c r="N331" s="20" t="inlineStr"/>
      <c r="O331" s="20" t="inlineStr"/>
      <c r="P331" s="20" t="inlineStr">
        <is>
          <t>ANTONIO DE JESUS FRANCISCHINELLI</t>
        </is>
      </c>
      <c r="Q331" s="20" t="inlineStr">
        <is>
          <t>Sócio-Administrador</t>
        </is>
      </c>
      <c r="R331" s="20" t="inlineStr">
        <is>
          <t>(01) 14023-0001</t>
        </is>
      </c>
      <c r="S331" s="20" t="inlineStr"/>
      <c r="T331" s="21" t="n">
        <v>617038.73</v>
      </c>
      <c r="U331" s="32" t="inlineStr">
        <is>
          <t>A</t>
        </is>
      </c>
      <c r="V331" s="23">
        <f>IFERROR(VLOOKUP(U331,Assumptions!$A$7:$D$11,2,FALSE),0)</f>
        <v/>
      </c>
      <c r="W331" s="24">
        <f>MAX(0.5,IFERROR(VLOOKUP(U331,Assumptions!$A$7:$D$11,3,FALSE),3)+IFERROR(VLOOKUP(U331,Assumptions!$A$7:$D$11,4,FALSE),8)/2-IF(AN331="",0,YEAR(TODAY())-AN331))</f>
        <v/>
      </c>
      <c r="X331" s="21">
        <f>T331*V331/(1+Assumptions!$B$3)^W331</f>
        <v/>
      </c>
      <c r="Y331" s="25">
        <f>IF(T331=0,"",ROUND(X331/T331*100,1))</f>
        <v/>
      </c>
      <c r="Z331" s="26">
        <f>X331*Assumptions!$B$4</f>
        <v/>
      </c>
      <c r="AA331" s="25">
        <f>IF(T331=0,"",ROUND(Z331/T331*100,1))</f>
        <v/>
      </c>
      <c r="AB331" s="26">
        <f>X331-Z331</f>
        <v/>
      </c>
      <c r="AC331" s="25">
        <f>IF(T331=0,"",ROUND((X331-Z331)/T331*100,1))</f>
        <v/>
      </c>
      <c r="AD331" s="27" t="inlineStr">
        <is>
          <t>CONFIRMED</t>
        </is>
      </c>
      <c r="AE331" s="28" t="inlineStr">
        <is>
          <t>https://stenius.com.br/wp-content/uploads/2026/06/EDITAL-GRUPO-3E.pdf</t>
        </is>
      </c>
      <c r="AF331" s="27" t="inlineStr">
        <is>
          <t>p15 r42</t>
        </is>
      </c>
      <c r="AG331" s="27" t="inlineStr">
        <is>
          <t>p15: R$ 617.038,73</t>
        </is>
      </c>
      <c r="AH331" s="27" t="inlineStr">
        <is>
          <t>DEBTOR_LIST</t>
        </is>
      </c>
      <c r="AI331" s="27" t="inlineStr">
        <is>
          <t>2026-06-22</t>
        </is>
      </c>
      <c r="AJ331" s="27" t="inlineStr">
        <is>
          <t>OK_NO_TOTALS</t>
        </is>
      </c>
      <c r="AK331" s="29" t="inlineStr">
        <is>
          <t>5341375-33.2026.8.09.0049</t>
        </is>
      </c>
      <c r="AL331" s="29" t="inlineStr">
        <is>
          <t>TJGO</t>
        </is>
      </c>
      <c r="AM331" s="29" t="inlineStr">
        <is>
          <t>ACTIVE</t>
        </is>
      </c>
      <c r="AN331" s="29" t="n">
        <v>2026</v>
      </c>
      <c r="AO331" s="29" t="inlineStr">
        <is>
          <t>plan/homologation document found</t>
        </is>
      </c>
      <c r="AP331" s="29" t="inlineStr">
        <is>
          <t>ITU</t>
        </is>
      </c>
      <c r="AQ331" s="29" t="inlineStr">
        <is>
          <t>SP</t>
        </is>
      </c>
      <c r="AR331" s="29" t="inlineStr">
        <is>
          <t>Administração de consórcios para aquisição de bens e direitos</t>
        </is>
      </c>
      <c r="AS331" s="29" t="inlineStr">
        <is>
          <t>DEMAIS</t>
        </is>
      </c>
      <c r="AT331" s="29" t="inlineStr">
        <is>
          <t>MID-MARKET</t>
        </is>
      </c>
      <c r="AU331" s="29" t="inlineStr">
        <is>
          <t>04250224</t>
        </is>
      </c>
      <c r="AV331" s="29" t="n">
        <v>1</v>
      </c>
      <c r="AW331" s="29" t="inlineStr">
        <is>
          <t>ROWS:p15r42 UNRECONCILED_SOURCE</t>
        </is>
      </c>
    </row>
    <row r="332">
      <c r="A332" s="15" t="inlineStr">
        <is>
          <t>BANCO CITIBANK S A</t>
        </is>
      </c>
      <c r="B332" s="16" t="n">
        <v>481718.88</v>
      </c>
      <c r="C332" s="17" t="inlineStr"/>
      <c r="D332" s="18" t="inlineStr">
        <is>
          <t>NEW</t>
        </is>
      </c>
      <c r="E332" s="19" t="inlineStr"/>
      <c r="F332" s="18" t="inlineStr"/>
      <c r="G332" s="19" t="inlineStr"/>
      <c r="H332" s="18" t="inlineStr"/>
      <c r="I332" s="20" t="inlineStr">
        <is>
          <t>ANDRE DEL BEL CURY</t>
        </is>
      </c>
      <c r="J332" s="20" t="inlineStr">
        <is>
          <t>Presidente</t>
        </is>
      </c>
      <c r="K332" s="20" t="inlineStr">
        <is>
          <t>(11) 4009-0000</t>
        </is>
      </c>
      <c r="L332" s="20" t="inlineStr"/>
      <c r="M332" s="20" t="inlineStr"/>
      <c r="N332" s="20" t="inlineStr"/>
      <c r="O332" s="20" t="inlineStr"/>
      <c r="P332" s="20" t="inlineStr">
        <is>
          <t>ADALBERTO TRIPOLI BARBOSA</t>
        </is>
      </c>
      <c r="Q332" s="20" t="inlineStr">
        <is>
          <t>Diretor</t>
        </is>
      </c>
      <c r="R332" s="20" t="inlineStr">
        <is>
          <t>(11) 4009-0000</t>
        </is>
      </c>
      <c r="S332" s="20" t="inlineStr"/>
      <c r="T332" s="21" t="n">
        <v>481718.88</v>
      </c>
      <c r="U332" s="31" t="inlineStr">
        <is>
          <t>C</t>
        </is>
      </c>
      <c r="V332" s="23">
        <f>IFERROR(VLOOKUP(U332,Assumptions!$A$7:$D$11,2,FALSE),0)</f>
        <v/>
      </c>
      <c r="W332" s="24">
        <f>MAX(0.5,IFERROR(VLOOKUP(U332,Assumptions!$A$7:$D$11,3,FALSE),3)+IFERROR(VLOOKUP(U332,Assumptions!$A$7:$D$11,4,FALSE),8)/2-IF(AN332="",0,YEAR(TODAY())-AN332))</f>
        <v/>
      </c>
      <c r="X332" s="21">
        <f>T332*V332/(1+Assumptions!$B$3)^W332</f>
        <v/>
      </c>
      <c r="Y332" s="25">
        <f>IF(T332=0,"",ROUND(X332/T332*100,1))</f>
        <v/>
      </c>
      <c r="Z332" s="26">
        <f>X332*Assumptions!$B$4</f>
        <v/>
      </c>
      <c r="AA332" s="25">
        <f>IF(T332=0,"",ROUND(Z332/T332*100,1))</f>
        <v/>
      </c>
      <c r="AB332" s="26">
        <f>X332-Z332</f>
        <v/>
      </c>
      <c r="AC332" s="25">
        <f>IF(T332=0,"",ROUND((X332-Z332)/T332*100,1))</f>
        <v/>
      </c>
      <c r="AD332" s="27" t="inlineStr">
        <is>
          <t>UNKNOWN</t>
        </is>
      </c>
      <c r="AE332" s="28" t="inlineStr">
        <is>
          <t>https://administradorajudicialgs.com.br/wp-content/uploads/2024/12/relacao-de-credores-da-falida.pdf</t>
        </is>
      </c>
      <c r="AF332" s="27" t="inlineStr">
        <is>
          <t>p14 r55</t>
        </is>
      </c>
      <c r="AG332" s="27" t="inlineStr">
        <is>
          <t>p14: R$ 481.718,88</t>
        </is>
      </c>
      <c r="AH332" s="27" t="inlineStr">
        <is>
          <t>UNKNOWN</t>
        </is>
      </c>
      <c r="AI332" s="27" t="inlineStr">
        <is>
          <t>2025-03-25</t>
        </is>
      </c>
      <c r="AJ332" s="27" t="inlineStr">
        <is>
          <t>OK_NO_TOTALS</t>
        </is>
      </c>
      <c r="AK332" s="29" t="inlineStr">
        <is>
          <t>0005010-50.2013.8.24.0026</t>
        </is>
      </c>
      <c r="AL332" s="29" t="inlineStr">
        <is>
          <t>TJ</t>
        </is>
      </c>
      <c r="AM332" s="29" t="inlineStr"/>
      <c r="AN332" s="29" t="n">
        <v>2013</v>
      </c>
      <c r="AO332" s="29" t="inlineStr">
        <is>
          <t>13y since filing, no plan document</t>
        </is>
      </c>
      <c r="AP332" s="29" t="inlineStr">
        <is>
          <t>SAO PAULO</t>
        </is>
      </c>
      <c r="AQ332" s="29" t="inlineStr">
        <is>
          <t>SP</t>
        </is>
      </c>
      <c r="AR332" s="29" t="inlineStr">
        <is>
          <t>Bancos múltiplos, com carteira comercial</t>
        </is>
      </c>
      <c r="AS332" s="29" t="inlineStr">
        <is>
          <t>DEMAIS</t>
        </is>
      </c>
      <c r="AT332" s="29" t="inlineStr">
        <is>
          <t>LARGE CORP</t>
        </is>
      </c>
      <c r="AU332" s="29" t="inlineStr">
        <is>
          <t>33479023</t>
        </is>
      </c>
      <c r="AV332" s="29" t="n">
        <v>1</v>
      </c>
      <c r="AW332" s="29" t="inlineStr">
        <is>
          <t>ROWS:p14r55 UNRECONCILED_SOURCE</t>
        </is>
      </c>
    </row>
    <row r="333">
      <c r="A333" s="15" t="inlineStr">
        <is>
          <t>SICOOB TRANSCREDI</t>
        </is>
      </c>
      <c r="B333" s="16" t="n">
        <v>646685.02</v>
      </c>
      <c r="C333" s="17" t="inlineStr">
        <is>
          <t>GRUPO CASAS BAHIA S.A.</t>
        </is>
      </c>
      <c r="D333" s="18" t="inlineStr">
        <is>
          <t>NEW</t>
        </is>
      </c>
      <c r="E333" s="19" t="inlineStr"/>
      <c r="F333" s="18" t="inlineStr"/>
      <c r="G333" s="19" t="inlineStr"/>
      <c r="H333" s="18" t="inlineStr"/>
      <c r="I333" s="20" t="inlineStr"/>
      <c r="J333" s="20" t="inlineStr"/>
      <c r="K333" s="20" t="inlineStr"/>
      <c r="L333" s="20" t="inlineStr"/>
      <c r="M333" s="20" t="inlineStr"/>
      <c r="N333" s="20" t="inlineStr"/>
      <c r="O333" s="20" t="inlineStr"/>
      <c r="P333" s="20" t="inlineStr"/>
      <c r="Q333" s="20" t="inlineStr"/>
      <c r="R333" s="20" t="inlineStr"/>
      <c r="S333" s="20" t="inlineStr"/>
      <c r="T333" s="21" t="n">
        <v>646685.02</v>
      </c>
      <c r="U333" s="22" t="inlineStr">
        <is>
          <t>B</t>
        </is>
      </c>
      <c r="V333" s="23">
        <f>IFERROR(VLOOKUP(U333,Assumptions!$A$7:$D$11,2,FALSE),0)</f>
        <v/>
      </c>
      <c r="W333" s="24">
        <f>MAX(0.5,IFERROR(VLOOKUP(U333,Assumptions!$A$7:$D$11,3,FALSE),3)+IFERROR(VLOOKUP(U333,Assumptions!$A$7:$D$11,4,FALSE),8)/2-IF(AN333="",0,YEAR(TODAY())-AN333))</f>
        <v/>
      </c>
      <c r="X333" s="21">
        <f>T333*V333/(1+Assumptions!$B$3)^W333</f>
        <v/>
      </c>
      <c r="Y333" s="25">
        <f>IF(T333=0,"",ROUND(X333/T333*100,1))</f>
        <v/>
      </c>
      <c r="Z333" s="26">
        <f>X333*Assumptions!$B$4</f>
        <v/>
      </c>
      <c r="AA333" s="25">
        <f>IF(T333=0,"",ROUND(Z333/T333*100,1))</f>
        <v/>
      </c>
      <c r="AB333" s="26">
        <f>X333-Z333</f>
        <v/>
      </c>
      <c r="AC333" s="25">
        <f>IF(T333=0,"",ROUND((X333-Z333)/T333*100,1))</f>
        <v/>
      </c>
      <c r="AD333" s="27" t="inlineStr">
        <is>
          <t>UNKNOWN</t>
        </is>
      </c>
      <c r="AE333" s="28" t="inlineStr">
        <is>
          <t>https://scalzilliaj.com.br/sgc/download.php?file=files/processo_documento/processo_documento15180810062026_1_.pdf&amp;nome=10 - Relação de credores do art. 7º, §2º, da Lei 11.101/2005</t>
        </is>
      </c>
      <c r="AF333" s="27" t="inlineStr">
        <is>
          <t>p2 r49</t>
        </is>
      </c>
      <c r="AG333" s="27" t="inlineStr">
        <is>
          <t>p2: R$ 646.685,02</t>
        </is>
      </c>
      <c r="AH333" s="27" t="inlineStr">
        <is>
          <t>AJ_LIST</t>
        </is>
      </c>
      <c r="AI333" s="27" t="inlineStr"/>
      <c r="AJ333" s="27" t="inlineStr">
        <is>
          <t>OK_NO_TOTALS</t>
        </is>
      </c>
      <c r="AK333" s="29" t="inlineStr">
        <is>
          <t>5009529-81.2025.8.24.0019</t>
        </is>
      </c>
      <c r="AL333" s="29" t="inlineStr">
        <is>
          <t>TJ</t>
        </is>
      </c>
      <c r="AM333" s="29" t="inlineStr"/>
      <c r="AN333" s="29" t="n">
        <v>2025</v>
      </c>
      <c r="AO333" s="29" t="inlineStr">
        <is>
          <t>live case, no plan document yet</t>
        </is>
      </c>
      <c r="AP333" s="29" t="inlineStr"/>
      <c r="AQ333" s="29" t="inlineStr"/>
      <c r="AR333" s="29" t="inlineStr"/>
      <c r="AS333" s="29" t="inlineStr"/>
      <c r="AT333" s="29" t="inlineStr">
        <is>
          <t>MID-MARKET</t>
        </is>
      </c>
      <c r="AU333" s="29" t="inlineStr">
        <is>
          <t>04247370</t>
        </is>
      </c>
      <c r="AV333" s="29" t="n">
        <v>1</v>
      </c>
      <c r="AW333" s="29" t="inlineStr">
        <is>
          <t>LIKELY_FINANCIAL_BY_NAME ROWS:p2r49 UNRECONCILED_SOURCE</t>
        </is>
      </c>
    </row>
    <row r="334">
      <c r="A334" s="15" t="inlineStr">
        <is>
          <t>VALVITALIA SPA</t>
        </is>
      </c>
      <c r="B334" s="16" t="n">
        <v>1203895.06</v>
      </c>
      <c r="C334" s="17" t="inlineStr">
        <is>
          <t>EGESA ENGENHARIA S/A (Consórcio ETDI)</t>
        </is>
      </c>
      <c r="D334" s="18" t="inlineStr">
        <is>
          <t>NEW</t>
        </is>
      </c>
      <c r="E334" s="19" t="inlineStr"/>
      <c r="F334" s="18" t="inlineStr"/>
      <c r="G334" s="19" t="inlineStr"/>
      <c r="H334" s="18" t="inlineStr"/>
      <c r="I334" s="20" t="inlineStr"/>
      <c r="J334" s="20" t="inlineStr"/>
      <c r="K334" s="20" t="inlineStr">
        <is>
          <t>000000000000</t>
        </is>
      </c>
      <c r="L334" s="20" t="inlineStr"/>
      <c r="M334" s="20" t="inlineStr"/>
      <c r="N334" s="20" t="inlineStr"/>
      <c r="O334" s="20" t="inlineStr"/>
      <c r="P334" s="20" t="inlineStr"/>
      <c r="Q334" s="20" t="inlineStr"/>
      <c r="R334" s="20" t="inlineStr"/>
      <c r="S334" s="20" t="inlineStr"/>
      <c r="T334" s="21" t="n">
        <v>1203895.06</v>
      </c>
      <c r="U334" s="30" t="inlineStr">
        <is>
          <t>?</t>
        </is>
      </c>
      <c r="V334" s="23">
        <f>IFERROR(VLOOKUP(U334,Assumptions!$A$7:$D$11,2,FALSE),0)</f>
        <v/>
      </c>
      <c r="W334" s="24">
        <f>MAX(0.5,IFERROR(VLOOKUP(U334,Assumptions!$A$7:$D$11,3,FALSE),3)+IFERROR(VLOOKUP(U334,Assumptions!$A$7:$D$11,4,FALSE),8)/2-IF(AN334="",0,YEAR(TODAY())-AN334))</f>
        <v/>
      </c>
      <c r="X334" s="21">
        <f>T334*V334/(1+Assumptions!$B$3)^W334</f>
        <v/>
      </c>
      <c r="Y334" s="25">
        <f>IF(T334=0,"",ROUND(X334/T334*100,1))</f>
        <v/>
      </c>
      <c r="Z334" s="26">
        <f>X334*Assumptions!$B$4</f>
        <v/>
      </c>
      <c r="AA334" s="25">
        <f>IF(T334=0,"",ROUND(Z334/T334*100,1))</f>
        <v/>
      </c>
      <c r="AB334" s="26">
        <f>X334-Z334</f>
        <v/>
      </c>
      <c r="AC334" s="25">
        <f>IF(T334=0,"",ROUND((X334-Z334)/T334*100,1))</f>
        <v/>
      </c>
      <c r="AD334" s="27" t="inlineStr">
        <is>
          <t>UNKNOWN</t>
        </is>
      </c>
      <c r="AE334" s="28" t="inlineStr">
        <is>
          <t>https://scalzilliaj.com.br/sgc/download.php?file=files/processo_documento/processo_documento09514021082025_1_.pdf&amp;nome=04 - Relação de credores das Recuperandas</t>
        </is>
      </c>
      <c r="AF334" s="27" t="inlineStr">
        <is>
          <t>p76 r1; p76 r2; p76 r3; p76 r4</t>
        </is>
      </c>
      <c r="AG334" s="27" t="inlineStr">
        <is>
          <t>p76: R$ 647.429,36; p76: R$ 494.340,20; p76: R$ 35.000,37; p76: R$ 27.125,13</t>
        </is>
      </c>
      <c r="AH334" s="27" t="inlineStr">
        <is>
          <t>DEBTOR_LIST</t>
        </is>
      </c>
      <c r="AI334" s="27" t="inlineStr"/>
      <c r="AJ334" s="27" t="inlineStr">
        <is>
          <t>OK</t>
        </is>
      </c>
      <c r="AK334" s="29" t="inlineStr">
        <is>
          <t>(not printed)</t>
        </is>
      </c>
      <c r="AL334" s="29" t="inlineStr"/>
      <c r="AM334" s="29" t="inlineStr"/>
      <c r="AN334" s="29" t="inlineStr"/>
      <c r="AO334" s="29" t="inlineStr">
        <is>
          <t>RJ case number not identified on the document</t>
        </is>
      </c>
      <c r="AP334" s="29" t="inlineStr">
        <is>
          <t>EXTERIOR</t>
        </is>
      </c>
      <c r="AQ334" s="29" t="inlineStr">
        <is>
          <t>EX</t>
        </is>
      </c>
      <c r="AR334" s="29" t="inlineStr">
        <is>
          <t>Holdings de instituições não-financeiras</t>
        </is>
      </c>
      <c r="AS334" s="29" t="inlineStr">
        <is>
          <t>DEMAIS</t>
        </is>
      </c>
      <c r="AT334" s="29" t="inlineStr">
        <is>
          <t>MID-MARKET</t>
        </is>
      </c>
      <c r="AU334" s="29" t="inlineStr">
        <is>
          <t>12692416</t>
        </is>
      </c>
      <c r="AV334" s="29" t="n">
        <v>4</v>
      </c>
      <c r="AW334" s="29" t="inlineStr">
        <is>
          <t>ROWS:p76r1,p76r2,p76r3,p76r4 VALUE_COL:Valor_Atualizado CASE_NUMBER_CORRECTED</t>
        </is>
      </c>
    </row>
    <row r="335">
      <c r="A335" s="15" t="inlineStr">
        <is>
          <t>INTER SIMPLES FUNDO DE INVESTIMENTO EM DIREITOS CREDITO</t>
        </is>
      </c>
      <c r="B335" s="16" t="n">
        <v>505186.14</v>
      </c>
      <c r="C335" s="17" t="inlineStr">
        <is>
          <t>DIVINA INDUSTRIA DE COURO LTDA - EM RECUPERACAO JUDICIAL</t>
        </is>
      </c>
      <c r="D335" s="18" t="inlineStr">
        <is>
          <t>NEW</t>
        </is>
      </c>
      <c r="E335" s="19" t="inlineStr"/>
      <c r="F335" s="18" t="inlineStr"/>
      <c r="G335" s="19" t="inlineStr"/>
      <c r="H335" s="18" t="inlineStr"/>
      <c r="I335" s="20" t="inlineStr"/>
      <c r="J335" s="20" t="inlineStr"/>
      <c r="K335" s="20" t="inlineStr"/>
      <c r="L335" s="20" t="inlineStr"/>
      <c r="M335" s="20" t="inlineStr"/>
      <c r="N335" s="20" t="inlineStr"/>
      <c r="O335" s="20" t="inlineStr"/>
      <c r="P335" s="20" t="inlineStr"/>
      <c r="Q335" s="20" t="inlineStr"/>
      <c r="R335" s="20" t="inlineStr"/>
      <c r="S335" s="20" t="inlineStr"/>
      <c r="T335" s="21" t="n">
        <v>505186.14</v>
      </c>
      <c r="U335" s="22" t="inlineStr">
        <is>
          <t>B</t>
        </is>
      </c>
      <c r="V335" s="23">
        <f>IFERROR(VLOOKUP(U335,Assumptions!$A$7:$D$11,2,FALSE),0)</f>
        <v/>
      </c>
      <c r="W335" s="24">
        <f>MAX(0.5,IFERROR(VLOOKUP(U335,Assumptions!$A$7:$D$11,3,FALSE),3)+IFERROR(VLOOKUP(U335,Assumptions!$A$7:$D$11,4,FALSE),8)/2-IF(AN335="",0,YEAR(TODAY())-AN335))</f>
        <v/>
      </c>
      <c r="X335" s="21">
        <f>T335*V335/(1+Assumptions!$B$3)^W335</f>
        <v/>
      </c>
      <c r="Y335" s="25">
        <f>IF(T335=0,"",ROUND(X335/T335*100,1))</f>
        <v/>
      </c>
      <c r="Z335" s="26">
        <f>X335*Assumptions!$B$4</f>
        <v/>
      </c>
      <c r="AA335" s="25">
        <f>IF(T335=0,"",ROUND(Z335/T335*100,1))</f>
        <v/>
      </c>
      <c r="AB335" s="26">
        <f>X335-Z335</f>
        <v/>
      </c>
      <c r="AC335" s="25">
        <f>IF(T335=0,"",ROUND((X335-Z335)/T335*100,1))</f>
        <v/>
      </c>
      <c r="AD335" s="27" t="inlineStr">
        <is>
          <t>ESTIMATED</t>
        </is>
      </c>
      <c r="AE335" s="28" t="inlineStr">
        <is>
          <t>https://lrflideres.com.br/wp-content/plugins/download-attachments/includes/download.php?id=6252</t>
        </is>
      </c>
      <c r="AF335" s="27" t="inlineStr">
        <is>
          <t>p2 r52</t>
        </is>
      </c>
      <c r="AG335" s="27" t="inlineStr">
        <is>
          <t>p2: R$ 505.186,14</t>
        </is>
      </c>
      <c r="AH335" s="27" t="inlineStr">
        <is>
          <t>AJ_LIST</t>
        </is>
      </c>
      <c r="AI335" s="27" t="inlineStr">
        <is>
          <t>2024-11-27</t>
        </is>
      </c>
      <c r="AJ335" s="27" t="inlineStr">
        <is>
          <t>QUARANTINED</t>
        </is>
      </c>
      <c r="AK335" s="29" t="inlineStr">
        <is>
          <t>0000721-61.2024.8.17.2620</t>
        </is>
      </c>
      <c r="AL335" s="29" t="inlineStr">
        <is>
          <t>TJPE</t>
        </is>
      </c>
      <c r="AM335" s="29" t="inlineStr">
        <is>
          <t>ACTIVE</t>
        </is>
      </c>
      <c r="AN335" s="29" t="n">
        <v>2024</v>
      </c>
      <c r="AO335" s="29" t="inlineStr">
        <is>
          <t>live case, no plan document yet</t>
        </is>
      </c>
      <c r="AP335" s="29" t="inlineStr"/>
      <c r="AQ335" s="29" t="inlineStr"/>
      <c r="AR335" s="29" t="inlineStr"/>
      <c r="AS335" s="29" t="inlineStr"/>
      <c r="AT335" s="29" t="inlineStr">
        <is>
          <t>MID-MARKET</t>
        </is>
      </c>
      <c r="AU335" s="29" t="inlineStr">
        <is>
          <t>46799305</t>
        </is>
      </c>
      <c r="AV335" s="29" t="n">
        <v>1</v>
      </c>
      <c r="AW335" s="29" t="inlineStr">
        <is>
          <t>LIKELY_FINANCIAL_BY_NAME PARTIAL_DOC_CLASS_III_RECONCILED ROWS:p2r52</t>
        </is>
      </c>
    </row>
    <row r="336">
      <c r="A336" s="15" t="inlineStr">
        <is>
          <t>W K SECURITIZADORA S.A.</t>
        </is>
      </c>
      <c r="B336" s="16" t="n">
        <v>402501.34</v>
      </c>
      <c r="C336" s="17" t="inlineStr">
        <is>
          <t>BBR AGRO SUPLEMENTOS LTDA EM RECUPERACAO JUDICIAL</t>
        </is>
      </c>
      <c r="D336" s="18" t="inlineStr">
        <is>
          <t>NEW</t>
        </is>
      </c>
      <c r="E336" s="19" t="inlineStr"/>
      <c r="F336" s="18" t="inlineStr"/>
      <c r="G336" s="19" t="inlineStr"/>
      <c r="H336" s="18" t="inlineStr"/>
      <c r="I336" s="20" t="inlineStr"/>
      <c r="J336" s="20" t="inlineStr"/>
      <c r="K336" s="20" t="inlineStr"/>
      <c r="L336" s="20" t="inlineStr"/>
      <c r="M336" s="20" t="inlineStr"/>
      <c r="N336" s="20" t="inlineStr"/>
      <c r="O336" s="20" t="inlineStr"/>
      <c r="P336" s="20" t="inlineStr"/>
      <c r="Q336" s="20" t="inlineStr"/>
      <c r="R336" s="20" t="inlineStr"/>
      <c r="S336" s="20" t="inlineStr"/>
      <c r="T336" s="21" t="n">
        <v>402501.34</v>
      </c>
      <c r="U336" s="22" t="inlineStr">
        <is>
          <t>B</t>
        </is>
      </c>
      <c r="V336" s="23">
        <f>IFERROR(VLOOKUP(U336,Assumptions!$A$7:$D$11,2,FALSE),0)</f>
        <v/>
      </c>
      <c r="W336" s="24">
        <f>MAX(0.5,IFERROR(VLOOKUP(U336,Assumptions!$A$7:$D$11,3,FALSE),3)+IFERROR(VLOOKUP(U336,Assumptions!$A$7:$D$11,4,FALSE),8)/2-IF(AN336="",0,YEAR(TODAY())-AN336))</f>
        <v/>
      </c>
      <c r="X336" s="21">
        <f>T336*V336/(1+Assumptions!$B$3)^W336</f>
        <v/>
      </c>
      <c r="Y336" s="25">
        <f>IF(T336=0,"",ROUND(X336/T336*100,1))</f>
        <v/>
      </c>
      <c r="Z336" s="26">
        <f>X336*Assumptions!$B$4</f>
        <v/>
      </c>
      <c r="AA336" s="25">
        <f>IF(T336=0,"",ROUND(Z336/T336*100,1))</f>
        <v/>
      </c>
      <c r="AB336" s="26">
        <f>X336-Z336</f>
        <v/>
      </c>
      <c r="AC336" s="25">
        <f>IF(T336=0,"",ROUND((X336-Z336)/T336*100,1))</f>
        <v/>
      </c>
      <c r="AD336" s="27" t="inlineStr">
        <is>
          <t>ESTIMATED</t>
        </is>
      </c>
      <c r="AE336" s="28" t="inlineStr">
        <is>
          <t>https://ajruiz.com.br/sites/default/files/public/arquivos-processos/2026-06/alto_uruguai_qgc_junho.2026.pdf</t>
        </is>
      </c>
      <c r="AF336" s="27" t="inlineStr">
        <is>
          <t>p1 r37</t>
        </is>
      </c>
      <c r="AG336" s="27" t="inlineStr">
        <is>
          <t>p1: R$ 402.501,34</t>
        </is>
      </c>
      <c r="AH336" s="27" t="inlineStr">
        <is>
          <t>UNKNOWN</t>
        </is>
      </c>
      <c r="AI336" s="27" t="inlineStr"/>
      <c r="AJ336" s="27" t="inlineStr">
        <is>
          <t>OK</t>
        </is>
      </c>
      <c r="AK336" s="29" t="inlineStr">
        <is>
          <t>5012743-51.2023.8.24.0019</t>
        </is>
      </c>
      <c r="AL336" s="29" t="inlineStr">
        <is>
          <t>TJSC</t>
        </is>
      </c>
      <c r="AM336" s="29" t="inlineStr">
        <is>
          <t>ACTIVE</t>
        </is>
      </c>
      <c r="AN336" s="29" t="n">
        <v>2023</v>
      </c>
      <c r="AO336" s="29" t="inlineStr">
        <is>
          <t>live case, no plan document yet</t>
        </is>
      </c>
      <c r="AP336" s="29" t="inlineStr"/>
      <c r="AQ336" s="29" t="inlineStr"/>
      <c r="AR336" s="29" t="inlineStr"/>
      <c r="AS336" s="29" t="inlineStr"/>
      <c r="AT336" s="29" t="inlineStr">
        <is>
          <t>MID-MARKET</t>
        </is>
      </c>
      <c r="AU336" s="29" t="inlineStr">
        <is>
          <t>40373446</t>
        </is>
      </c>
      <c r="AV336" s="29" t="n">
        <v>1</v>
      </c>
      <c r="AW336" s="29" t="inlineStr">
        <is>
          <t>LIKELY_FINANCIAL_BY_NAME ROWS:p1r37 VALUE_COL:Valor_Do_Crédito</t>
        </is>
      </c>
    </row>
    <row r="337">
      <c r="A337" s="15" t="inlineStr">
        <is>
          <t>CONSORCIO VALORGÁS ENERGIA SUSTENTÁVEL PE I</t>
        </is>
      </c>
      <c r="B337" s="16" t="n">
        <v>315495.92</v>
      </c>
      <c r="C337" s="17" t="inlineStr">
        <is>
          <t>R W CONSTRUCOES LTDA</t>
        </is>
      </c>
      <c r="D337" s="18" t="inlineStr">
        <is>
          <t>NEW</t>
        </is>
      </c>
      <c r="E337" s="19" t="inlineStr"/>
      <c r="F337" s="18" t="inlineStr"/>
      <c r="G337" s="19" t="inlineStr"/>
      <c r="H337" s="18" t="inlineStr"/>
      <c r="I337" s="20" t="inlineStr"/>
      <c r="J337" s="20" t="inlineStr"/>
      <c r="K337" s="20" t="inlineStr"/>
      <c r="L337" s="20" t="inlineStr"/>
      <c r="M337" s="20" t="inlineStr"/>
      <c r="N337" s="20" t="inlineStr"/>
      <c r="O337" s="20" t="inlineStr"/>
      <c r="P337" s="20" t="inlineStr"/>
      <c r="Q337" s="20" t="inlineStr"/>
      <c r="R337" s="20" t="inlineStr"/>
      <c r="S337" s="20" t="inlineStr"/>
      <c r="T337" s="21" t="n">
        <v>315495.92</v>
      </c>
      <c r="U337" s="22" t="inlineStr">
        <is>
          <t>B</t>
        </is>
      </c>
      <c r="V337" s="23">
        <f>IFERROR(VLOOKUP(U337,Assumptions!$A$7:$D$11,2,FALSE),0)</f>
        <v/>
      </c>
      <c r="W337" s="24">
        <f>MAX(0.5,IFERROR(VLOOKUP(U337,Assumptions!$A$7:$D$11,3,FALSE),3)+IFERROR(VLOOKUP(U337,Assumptions!$A$7:$D$11,4,FALSE),8)/2-IF(AN337="",0,YEAR(TODAY())-AN337))</f>
        <v/>
      </c>
      <c r="X337" s="21">
        <f>T337*V337/(1+Assumptions!$B$3)^W337</f>
        <v/>
      </c>
      <c r="Y337" s="25">
        <f>IF(T337=0,"",ROUND(X337/T337*100,1))</f>
        <v/>
      </c>
      <c r="Z337" s="26">
        <f>X337*Assumptions!$B$4</f>
        <v/>
      </c>
      <c r="AA337" s="25">
        <f>IF(T337=0,"",ROUND(Z337/T337*100,1))</f>
        <v/>
      </c>
      <c r="AB337" s="26">
        <f>X337-Z337</f>
        <v/>
      </c>
      <c r="AC337" s="25">
        <f>IF(T337=0,"",ROUND((X337-Z337)/T337*100,1))</f>
        <v/>
      </c>
      <c r="AD337" s="27" t="inlineStr">
        <is>
          <t>ESTIMATED</t>
        </is>
      </c>
      <c r="AE337" s="28" t="inlineStr">
        <is>
          <t>https://lrflideres.com.br/wp-content/plugins/download-attachments/includes/download.php?id=4023</t>
        </is>
      </c>
      <c r="AF337" s="27" t="inlineStr">
        <is>
          <t>p4 r66; p7 r91</t>
        </is>
      </c>
      <c r="AG337" s="27" t="inlineStr">
        <is>
          <t>p4: R$ 151.462,96; p7: R$ 164.032,96</t>
        </is>
      </c>
      <c r="AH337" s="27" t="inlineStr">
        <is>
          <t>DEBTOR_LIST</t>
        </is>
      </c>
      <c r="AI337" s="27" t="inlineStr"/>
      <c r="AJ337" s="27" t="inlineStr">
        <is>
          <t>QUARANTINED</t>
        </is>
      </c>
      <c r="AK337" s="29" t="inlineStr">
        <is>
          <t>0002484-82.2022.8.17.2001</t>
        </is>
      </c>
      <c r="AL337" s="29" t="inlineStr">
        <is>
          <t>TJPE</t>
        </is>
      </c>
      <c r="AM337" s="29" t="inlineStr">
        <is>
          <t>ACTIVE</t>
        </is>
      </c>
      <c r="AN337" s="29" t="n">
        <v>2022</v>
      </c>
      <c r="AO337" s="29" t="inlineStr">
        <is>
          <t>live case, no plan document yet</t>
        </is>
      </c>
      <c r="AP337" s="29" t="inlineStr"/>
      <c r="AQ337" s="29" t="inlineStr"/>
      <c r="AR337" s="29" t="inlineStr"/>
      <c r="AS337" s="29" t="inlineStr"/>
      <c r="AT337" s="29" t="inlineStr">
        <is>
          <t>MID-MARKET</t>
        </is>
      </c>
      <c r="AU337" s="29" t="inlineStr">
        <is>
          <t>32904168</t>
        </is>
      </c>
      <c r="AV337" s="29" t="n">
        <v>2</v>
      </c>
      <c r="AW337" s="29" t="inlineStr">
        <is>
          <t>LIKELY_FINANCIAL_BY_NAME PARTIAL_DOC_CLASS_III_RECONCILED ROWS:p4r66,p7r91</t>
        </is>
      </c>
    </row>
    <row r="338">
      <c r="A338" s="15" t="inlineStr">
        <is>
          <t>RNX FUNDO DE INVESTIMENTO EM DIREITOS CREDITORIOS MULTISSETORIAL</t>
        </is>
      </c>
      <c r="B338" s="16" t="n">
        <v>394138.08</v>
      </c>
      <c r="C338" s="17" t="inlineStr">
        <is>
          <t>BBR AGRO SUPLEMENTOS LTDA EM RECUPERACAO JUDICIAL</t>
        </is>
      </c>
      <c r="D338" s="18" t="inlineStr">
        <is>
          <t>NEW</t>
        </is>
      </c>
      <c r="E338" s="19" t="inlineStr"/>
      <c r="F338" s="18" t="inlineStr"/>
      <c r="G338" s="19" t="inlineStr"/>
      <c r="H338" s="18" t="inlineStr"/>
      <c r="I338" s="20" t="inlineStr"/>
      <c r="J338" s="20" t="inlineStr"/>
      <c r="K338" s="20" t="inlineStr"/>
      <c r="L338" s="20" t="inlineStr"/>
      <c r="M338" s="20" t="inlineStr"/>
      <c r="N338" s="20" t="inlineStr"/>
      <c r="O338" s="20" t="inlineStr"/>
      <c r="P338" s="20" t="inlineStr"/>
      <c r="Q338" s="20" t="inlineStr"/>
      <c r="R338" s="20" t="inlineStr"/>
      <c r="S338" s="20" t="inlineStr"/>
      <c r="T338" s="21" t="n">
        <v>394138.08</v>
      </c>
      <c r="U338" s="22" t="inlineStr">
        <is>
          <t>B</t>
        </is>
      </c>
      <c r="V338" s="23">
        <f>IFERROR(VLOOKUP(U338,Assumptions!$A$7:$D$11,2,FALSE),0)</f>
        <v/>
      </c>
      <c r="W338" s="24">
        <f>MAX(0.5,IFERROR(VLOOKUP(U338,Assumptions!$A$7:$D$11,3,FALSE),3)+IFERROR(VLOOKUP(U338,Assumptions!$A$7:$D$11,4,FALSE),8)/2-IF(AN338="",0,YEAR(TODAY())-AN338))</f>
        <v/>
      </c>
      <c r="X338" s="21">
        <f>T338*V338/(1+Assumptions!$B$3)^W338</f>
        <v/>
      </c>
      <c r="Y338" s="25">
        <f>IF(T338=0,"",ROUND(X338/T338*100,1))</f>
        <v/>
      </c>
      <c r="Z338" s="26">
        <f>X338*Assumptions!$B$4</f>
        <v/>
      </c>
      <c r="AA338" s="25">
        <f>IF(T338=0,"",ROUND(Z338/T338*100,1))</f>
        <v/>
      </c>
      <c r="AB338" s="26">
        <f>X338-Z338</f>
        <v/>
      </c>
      <c r="AC338" s="25">
        <f>IF(T338=0,"",ROUND((X338-Z338)/T338*100,1))</f>
        <v/>
      </c>
      <c r="AD338" s="27" t="inlineStr">
        <is>
          <t>ESTIMATED</t>
        </is>
      </c>
      <c r="AE338" s="28" t="inlineStr">
        <is>
          <t>https://ajruiz.com.br/sites/default/files/public/arquivos-processos/2026-06/alto_uruguai_qgc_junho.2026.pdf</t>
        </is>
      </c>
      <c r="AF338" s="27" t="inlineStr">
        <is>
          <t>p1 r34</t>
        </is>
      </c>
      <c r="AG338" s="27" t="inlineStr">
        <is>
          <t>p1: R$ 394.138,08</t>
        </is>
      </c>
      <c r="AH338" s="27" t="inlineStr">
        <is>
          <t>UNKNOWN</t>
        </is>
      </c>
      <c r="AI338" s="27" t="inlineStr"/>
      <c r="AJ338" s="27" t="inlineStr">
        <is>
          <t>OK</t>
        </is>
      </c>
      <c r="AK338" s="29" t="inlineStr">
        <is>
          <t>5012743-51.2023.8.24.0019</t>
        </is>
      </c>
      <c r="AL338" s="29" t="inlineStr">
        <is>
          <t>TJSC</t>
        </is>
      </c>
      <c r="AM338" s="29" t="inlineStr">
        <is>
          <t>ACTIVE</t>
        </is>
      </c>
      <c r="AN338" s="29" t="n">
        <v>2023</v>
      </c>
      <c r="AO338" s="29" t="inlineStr">
        <is>
          <t>live case, no plan document yet</t>
        </is>
      </c>
      <c r="AP338" s="29" t="inlineStr"/>
      <c r="AQ338" s="29" t="inlineStr"/>
      <c r="AR338" s="29" t="inlineStr"/>
      <c r="AS338" s="29" t="inlineStr"/>
      <c r="AT338" s="29" t="inlineStr">
        <is>
          <t>MID-MARKET</t>
        </is>
      </c>
      <c r="AU338" s="29" t="inlineStr">
        <is>
          <t>12813212</t>
        </is>
      </c>
      <c r="AV338" s="29" t="n">
        <v>1</v>
      </c>
      <c r="AW338" s="29" t="inlineStr">
        <is>
          <t>LIKELY_FINANCIAL_BY_NAME ROWS:p1r34 VALUE_COL:Valor_Do_Crédito</t>
        </is>
      </c>
    </row>
    <row r="339">
      <c r="A339" s="15" t="inlineStr">
        <is>
          <t>BANCO BRADESCO S.A.</t>
        </is>
      </c>
      <c r="B339" s="16" t="n">
        <v>393478.57</v>
      </c>
      <c r="C339" s="17" t="inlineStr">
        <is>
          <t>CRISTAL MASTER INDUSTRIA E COMERCIO LTDA</t>
        </is>
      </c>
      <c r="D339" s="18" t="inlineStr">
        <is>
          <t>NEW</t>
        </is>
      </c>
      <c r="E339" s="19" t="inlineStr"/>
      <c r="F339" s="18" t="inlineStr"/>
      <c r="G339" s="19" t="inlineStr"/>
      <c r="H339" s="18" t="inlineStr"/>
      <c r="I339" s="20" t="inlineStr">
        <is>
          <t>MARCELO DE ARAUJO NORONHA</t>
        </is>
      </c>
      <c r="J339" s="20" t="inlineStr">
        <is>
          <t>Presidente</t>
        </is>
      </c>
      <c r="K339" s="20" t="inlineStr">
        <is>
          <t>(11) 3684-5122</t>
        </is>
      </c>
      <c r="L339" s="20" t="inlineStr"/>
      <c r="M339" s="20" t="inlineStr"/>
      <c r="N339" s="20" t="inlineStr"/>
      <c r="O339" s="20" t="inlineStr"/>
      <c r="P339" s="20" t="inlineStr">
        <is>
          <t>AFRANIO CARLOS CAMARGO DANTZGER</t>
        </is>
      </c>
      <c r="Q339" s="20" t="inlineStr">
        <is>
          <t>Diretor</t>
        </is>
      </c>
      <c r="R339" s="20" t="inlineStr">
        <is>
          <t>(11) 3684-5122</t>
        </is>
      </c>
      <c r="S339" s="20" t="inlineStr"/>
      <c r="T339" s="21" t="n">
        <v>393478.57</v>
      </c>
      <c r="U339" s="22" t="inlineStr">
        <is>
          <t>B</t>
        </is>
      </c>
      <c r="V339" s="23">
        <f>IFERROR(VLOOKUP(U339,Assumptions!$A$7:$D$11,2,FALSE),0)</f>
        <v/>
      </c>
      <c r="W339" s="24">
        <f>MAX(0.5,IFERROR(VLOOKUP(U339,Assumptions!$A$7:$D$11,3,FALSE),3)+IFERROR(VLOOKUP(U339,Assumptions!$A$7:$D$11,4,FALSE),8)/2-IF(AN339="",0,YEAR(TODAY())-AN339))</f>
        <v/>
      </c>
      <c r="X339" s="21">
        <f>T339*V339/(1+Assumptions!$B$3)^W339</f>
        <v/>
      </c>
      <c r="Y339" s="25">
        <f>IF(T339=0,"",ROUND(X339/T339*100,1))</f>
        <v/>
      </c>
      <c r="Z339" s="26">
        <f>X339*Assumptions!$B$4</f>
        <v/>
      </c>
      <c r="AA339" s="25">
        <f>IF(T339=0,"",ROUND(Z339/T339*100,1))</f>
        <v/>
      </c>
      <c r="AB339" s="26">
        <f>X339-Z339</f>
        <v/>
      </c>
      <c r="AC339" s="25">
        <f>IF(T339=0,"",ROUND((X339-Z339)/T339*100,1))</f>
        <v/>
      </c>
      <c r="AD339" s="27" t="inlineStr">
        <is>
          <t>ESTIMATED</t>
        </is>
      </c>
      <c r="AE339" s="28" t="inlineStr">
        <is>
          <t>https://ajruiz.com.br/sites/default/files/public/arquivos-processos/2026-08/qgc_azeplast_julho_2026.pdf</t>
        </is>
      </c>
      <c r="AF339" s="27" t="inlineStr">
        <is>
          <t>p1 r7</t>
        </is>
      </c>
      <c r="AG339" s="27" t="inlineStr">
        <is>
          <t>p1: R$ 393.478,57</t>
        </is>
      </c>
      <c r="AH339" s="27" t="inlineStr">
        <is>
          <t>QGC</t>
        </is>
      </c>
      <c r="AI339" s="27" t="inlineStr"/>
      <c r="AJ339" s="27" t="inlineStr">
        <is>
          <t>QUARANTINED</t>
        </is>
      </c>
      <c r="AK339" s="29" t="inlineStr">
        <is>
          <t>5008793-34.2023.8.24.0019</t>
        </is>
      </c>
      <c r="AL339" s="29" t="inlineStr">
        <is>
          <t>TJSC</t>
        </is>
      </c>
      <c r="AM339" s="29" t="inlineStr">
        <is>
          <t>ACTIVE</t>
        </is>
      </c>
      <c r="AN339" s="29" t="n">
        <v>2023</v>
      </c>
      <c r="AO339" s="29" t="inlineStr">
        <is>
          <t>live case, no plan document yet</t>
        </is>
      </c>
      <c r="AP339" s="29" t="inlineStr">
        <is>
          <t>OSASCO</t>
        </is>
      </c>
      <c r="AQ339" s="29" t="inlineStr">
        <is>
          <t>SP</t>
        </is>
      </c>
      <c r="AR339" s="29" t="inlineStr">
        <is>
          <t>Bancos múltiplos, com carteira comercial</t>
        </is>
      </c>
      <c r="AS339" s="29" t="inlineStr">
        <is>
          <t>DEMAIS</t>
        </is>
      </c>
      <c r="AT339" s="29" t="inlineStr">
        <is>
          <t>LARGE CORP</t>
        </is>
      </c>
      <c r="AU339" s="29" t="inlineStr">
        <is>
          <t>60746948</t>
        </is>
      </c>
      <c r="AV339" s="29" t="n">
        <v>1</v>
      </c>
      <c r="AW339" s="29" t="inlineStr">
        <is>
          <t>LIKELY_FINANCIAL_BY_NAME PARTIAL_DOC_CLASS_III_RECONCILED ROWS:p1r7</t>
        </is>
      </c>
    </row>
    <row r="340">
      <c r="A340" s="15" t="inlineStr">
        <is>
          <t>ITAU UNIBANCO S.A.</t>
        </is>
      </c>
      <c r="B340" s="16" t="n">
        <v>503296.89</v>
      </c>
      <c r="C340" s="17" t="inlineStr"/>
      <c r="D340" s="18" t="inlineStr">
        <is>
          <t>NEW</t>
        </is>
      </c>
      <c r="E340" s="19" t="inlineStr"/>
      <c r="F340" s="18" t="inlineStr"/>
      <c r="G340" s="19" t="inlineStr"/>
      <c r="H340" s="18" t="inlineStr"/>
      <c r="I340" s="20" t="inlineStr">
        <is>
          <t>FELIPE SAMPAIO NABUCO</t>
        </is>
      </c>
      <c r="J340" s="20" t="inlineStr">
        <is>
          <t>Administrador</t>
        </is>
      </c>
      <c r="K340" s="20" t="inlineStr">
        <is>
          <t>(11) 3003-4828</t>
        </is>
      </c>
      <c r="L340" s="20" t="inlineStr"/>
      <c r="M340" s="20" t="inlineStr"/>
      <c r="N340" s="20" t="inlineStr"/>
      <c r="O340" s="20" t="inlineStr"/>
      <c r="P340" s="20" t="inlineStr">
        <is>
          <t>MILTON MALUHY FILHO</t>
        </is>
      </c>
      <c r="Q340" s="20" t="inlineStr">
        <is>
          <t>Presidente</t>
        </is>
      </c>
      <c r="R340" s="20" t="inlineStr">
        <is>
          <t>(11) 3003-4828</t>
        </is>
      </c>
      <c r="S340" s="20" t="inlineStr"/>
      <c r="T340" s="21" t="n">
        <v>503296.89</v>
      </c>
      <c r="U340" s="31" t="inlineStr">
        <is>
          <t>C</t>
        </is>
      </c>
      <c r="V340" s="23">
        <f>IFERROR(VLOOKUP(U340,Assumptions!$A$7:$D$11,2,FALSE),0)</f>
        <v/>
      </c>
      <c r="W340" s="24">
        <f>MAX(0.5,IFERROR(VLOOKUP(U340,Assumptions!$A$7:$D$11,3,FALSE),3)+IFERROR(VLOOKUP(U340,Assumptions!$A$7:$D$11,4,FALSE),8)/2-IF(AN340="",0,YEAR(TODAY())-AN340))</f>
        <v/>
      </c>
      <c r="X340" s="21">
        <f>T340*V340/(1+Assumptions!$B$3)^W340</f>
        <v/>
      </c>
      <c r="Y340" s="25">
        <f>IF(T340=0,"",ROUND(X340/T340*100,1))</f>
        <v/>
      </c>
      <c r="Z340" s="26">
        <f>X340*Assumptions!$B$4</f>
        <v/>
      </c>
      <c r="AA340" s="25">
        <f>IF(T340=0,"",ROUND(Z340/T340*100,1))</f>
        <v/>
      </c>
      <c r="AB340" s="26">
        <f>X340-Z340</f>
        <v/>
      </c>
      <c r="AC340" s="25">
        <f>IF(T340=0,"",ROUND((X340-Z340)/T340*100,1))</f>
        <v/>
      </c>
      <c r="AD340" s="27" t="inlineStr">
        <is>
          <t>UNKNOWN</t>
        </is>
      </c>
      <c r="AE340" s="28" t="inlineStr">
        <is>
          <t>https://realbrasil.com.br/wp-content/uploads/2018/06/2_LISTA-DE-CREDORES-DA-RECUPERANDA_ROQUE.pdf</t>
        </is>
      </c>
      <c r="AF340" s="27" t="inlineStr">
        <is>
          <t>p2 r7</t>
        </is>
      </c>
      <c r="AG340" s="27" t="inlineStr">
        <is>
          <t>p2: R$ 503.296,89</t>
        </is>
      </c>
      <c r="AH340" s="27" t="inlineStr">
        <is>
          <t>UNKNOWN</t>
        </is>
      </c>
      <c r="AI340" s="27" t="inlineStr"/>
      <c r="AJ340" s="27" t="inlineStr">
        <is>
          <t>OK</t>
        </is>
      </c>
      <c r="AK340" s="29" t="inlineStr">
        <is>
          <t>0802426-35.2019.8.10.0000</t>
        </is>
      </c>
      <c r="AL340" s="29" t="inlineStr">
        <is>
          <t>TJ</t>
        </is>
      </c>
      <c r="AM340" s="29" t="inlineStr"/>
      <c r="AN340" s="29" t="n">
        <v>2019</v>
      </c>
      <c r="AO340" s="29" t="inlineStr">
        <is>
          <t>7y since filing, no plan document</t>
        </is>
      </c>
      <c r="AP340" s="29" t="inlineStr">
        <is>
          <t>SAO PAULO</t>
        </is>
      </c>
      <c r="AQ340" s="29" t="inlineStr">
        <is>
          <t>SP</t>
        </is>
      </c>
      <c r="AR340" s="29" t="inlineStr">
        <is>
          <t>Bancos comerciais</t>
        </is>
      </c>
      <c r="AS340" s="29" t="inlineStr">
        <is>
          <t>DEMAIS</t>
        </is>
      </c>
      <c r="AT340" s="29" t="inlineStr">
        <is>
          <t>LARGE CORP</t>
        </is>
      </c>
      <c r="AU340" s="29" t="inlineStr">
        <is>
          <t>60701190</t>
        </is>
      </c>
      <c r="AV340" s="29" t="n">
        <v>1</v>
      </c>
      <c r="AW340" s="29" t="inlineStr">
        <is>
          <t>ROWS:p2r7 VALUE_COL:Saldo_Total</t>
        </is>
      </c>
    </row>
    <row r="341">
      <c r="A341" s="15" t="inlineStr">
        <is>
          <t>BANCO DO BRASIL SA</t>
        </is>
      </c>
      <c r="B341" s="16" t="n">
        <v>607709.97</v>
      </c>
      <c r="C341" s="17" t="inlineStr">
        <is>
          <t>GRUPO CASAS BAHIA S.A.</t>
        </is>
      </c>
      <c r="D341" s="18" t="inlineStr">
        <is>
          <t>NEW</t>
        </is>
      </c>
      <c r="E341" s="19" t="inlineStr"/>
      <c r="F341" s="18" t="inlineStr"/>
      <c r="G341" s="19" t="inlineStr"/>
      <c r="H341" s="18" t="inlineStr"/>
      <c r="I341" s="20" t="inlineStr">
        <is>
          <t>TARCIANA PAULA GOMES MEDEIROS</t>
        </is>
      </c>
      <c r="J341" s="20" t="inlineStr">
        <is>
          <t>Presidente</t>
        </is>
      </c>
      <c r="K341" s="20" t="inlineStr">
        <is>
          <t>(61) 3493-9002</t>
        </is>
      </c>
      <c r="L341" s="20" t="inlineStr"/>
      <c r="M341" s="20" t="inlineStr"/>
      <c r="N341" s="20" t="inlineStr"/>
      <c r="O341" s="20" t="inlineStr"/>
      <c r="P341" s="20" t="inlineStr">
        <is>
          <t>ALAN CARLOS GUEDES DE OLIVEIRA</t>
        </is>
      </c>
      <c r="Q341" s="20" t="inlineStr">
        <is>
          <t>Diretor</t>
        </is>
      </c>
      <c r="R341" s="20" t="inlineStr">
        <is>
          <t>(61) 3493-9002</t>
        </is>
      </c>
      <c r="S341" s="20" t="inlineStr"/>
      <c r="T341" s="21" t="n">
        <v>607709.97</v>
      </c>
      <c r="U341" s="22" t="inlineStr">
        <is>
          <t>B</t>
        </is>
      </c>
      <c r="V341" s="23">
        <f>IFERROR(VLOOKUP(U341,Assumptions!$A$7:$D$11,2,FALSE),0)</f>
        <v/>
      </c>
      <c r="W341" s="24">
        <f>MAX(0.5,IFERROR(VLOOKUP(U341,Assumptions!$A$7:$D$11,3,FALSE),3)+IFERROR(VLOOKUP(U341,Assumptions!$A$7:$D$11,4,FALSE),8)/2-IF(AN341="",0,YEAR(TODAY())-AN341))</f>
        <v/>
      </c>
      <c r="X341" s="21">
        <f>T341*V341/(1+Assumptions!$B$3)^W341</f>
        <v/>
      </c>
      <c r="Y341" s="25">
        <f>IF(T341=0,"",ROUND(X341/T341*100,1))</f>
        <v/>
      </c>
      <c r="Z341" s="26">
        <f>X341*Assumptions!$B$4</f>
        <v/>
      </c>
      <c r="AA341" s="25">
        <f>IF(T341=0,"",ROUND(Z341/T341*100,1))</f>
        <v/>
      </c>
      <c r="AB341" s="26">
        <f>X341-Z341</f>
        <v/>
      </c>
      <c r="AC341" s="25">
        <f>IF(T341=0,"",ROUND((X341-Z341)/T341*100,1))</f>
        <v/>
      </c>
      <c r="AD341" s="27" t="inlineStr">
        <is>
          <t>UNKNOWN</t>
        </is>
      </c>
      <c r="AE341" s="28" t="inlineStr">
        <is>
          <t>https://scalzilliaj.com.br/sgc/download.php?file=files/processo_documento/processo_documento15180810062026_1_.pdf&amp;nome=10 - Relação de credores do art. 7º, §2º, da Lei 11.101/2005</t>
        </is>
      </c>
      <c r="AF341" s="27" t="inlineStr">
        <is>
          <t>p1 r40</t>
        </is>
      </c>
      <c r="AG341" s="27" t="inlineStr">
        <is>
          <t>p1: R$ 607.709,97</t>
        </is>
      </c>
      <c r="AH341" s="27" t="inlineStr">
        <is>
          <t>AJ_LIST</t>
        </is>
      </c>
      <c r="AI341" s="27" t="inlineStr"/>
      <c r="AJ341" s="27" t="inlineStr">
        <is>
          <t>OK_NO_TOTALS</t>
        </is>
      </c>
      <c r="AK341" s="29" t="inlineStr">
        <is>
          <t>5009529-81.2025.8.24.0019</t>
        </is>
      </c>
      <c r="AL341" s="29" t="inlineStr">
        <is>
          <t>TJ</t>
        </is>
      </c>
      <c r="AM341" s="29" t="inlineStr"/>
      <c r="AN341" s="29" t="n">
        <v>2025</v>
      </c>
      <c r="AO341" s="29" t="inlineStr">
        <is>
          <t>live case, no plan document yet</t>
        </is>
      </c>
      <c r="AP341" s="29" t="inlineStr">
        <is>
          <t>BRASILIA</t>
        </is>
      </c>
      <c r="AQ341" s="29" t="inlineStr">
        <is>
          <t>DF</t>
        </is>
      </c>
      <c r="AR341" s="29" t="inlineStr">
        <is>
          <t>Bancos múltiplos, com carteira comercial</t>
        </is>
      </c>
      <c r="AS341" s="29" t="inlineStr">
        <is>
          <t>DEMAIS</t>
        </is>
      </c>
      <c r="AT341" s="29" t="inlineStr">
        <is>
          <t>LARGE CORP</t>
        </is>
      </c>
      <c r="AU341" s="29" t="inlineStr">
        <is>
          <t>00000000</t>
        </is>
      </c>
      <c r="AV341" s="29" t="n">
        <v>1</v>
      </c>
      <c r="AW341" s="29" t="inlineStr">
        <is>
          <t>LIKELY_FINANCIAL_BY_NAME ROWS:p1r40 UNRECONCILED_SOURCE VALUE_COL:Valor_(Art._7º,_§2º)</t>
        </is>
      </c>
    </row>
    <row r="342">
      <c r="A342" s="15" t="inlineStr">
        <is>
          <t>BANCO DO BRASIL SA</t>
        </is>
      </c>
      <c r="B342" s="16" t="n">
        <v>444115.16</v>
      </c>
      <c r="C342" s="17" t="inlineStr">
        <is>
          <t>empresa</t>
        </is>
      </c>
      <c r="D342" s="18" t="inlineStr">
        <is>
          <t>NEW</t>
        </is>
      </c>
      <c r="E342" s="19" t="inlineStr"/>
      <c r="F342" s="18" t="inlineStr"/>
      <c r="G342" s="19" t="inlineStr"/>
      <c r="H342" s="18" t="inlineStr"/>
      <c r="I342" s="20" t="inlineStr">
        <is>
          <t>TARCIANA PAULA GOMES MEDEIROS</t>
        </is>
      </c>
      <c r="J342" s="20" t="inlineStr">
        <is>
          <t>Presidente</t>
        </is>
      </c>
      <c r="K342" s="20" t="inlineStr">
        <is>
          <t>(61) 3493-9002</t>
        </is>
      </c>
      <c r="L342" s="20" t="inlineStr"/>
      <c r="M342" s="20" t="inlineStr"/>
      <c r="N342" s="20" t="inlineStr"/>
      <c r="O342" s="20" t="inlineStr"/>
      <c r="P342" s="20" t="inlineStr">
        <is>
          <t>ALAN CARLOS GUEDES DE OLIVEIRA</t>
        </is>
      </c>
      <c r="Q342" s="20" t="inlineStr">
        <is>
          <t>Diretor</t>
        </is>
      </c>
      <c r="R342" s="20" t="inlineStr">
        <is>
          <t>(61) 3493-9002</t>
        </is>
      </c>
      <c r="S342" s="20" t="inlineStr"/>
      <c r="T342" s="21" t="n">
        <v>444115.16</v>
      </c>
      <c r="U342" s="31" t="inlineStr">
        <is>
          <t>C</t>
        </is>
      </c>
      <c r="V342" s="23">
        <f>IFERROR(VLOOKUP(U342,Assumptions!$A$7:$D$11,2,FALSE),0)</f>
        <v/>
      </c>
      <c r="W342" s="24">
        <f>MAX(0.5,IFERROR(VLOOKUP(U342,Assumptions!$A$7:$D$11,3,FALSE),3)+IFERROR(VLOOKUP(U342,Assumptions!$A$7:$D$11,4,FALSE),8)/2-IF(AN342="",0,YEAR(TODAY())-AN342))</f>
        <v/>
      </c>
      <c r="X342" s="21">
        <f>T342*V342/(1+Assumptions!$B$3)^W342</f>
        <v/>
      </c>
      <c r="Y342" s="25">
        <f>IF(T342=0,"",ROUND(X342/T342*100,1))</f>
        <v/>
      </c>
      <c r="Z342" s="26">
        <f>X342*Assumptions!$B$4</f>
        <v/>
      </c>
      <c r="AA342" s="25">
        <f>IF(T342=0,"",ROUND(Z342/T342*100,1))</f>
        <v/>
      </c>
      <c r="AB342" s="26">
        <f>X342-Z342</f>
        <v/>
      </c>
      <c r="AC342" s="25">
        <f>IF(T342=0,"",ROUND((X342-Z342)/T342*100,1))</f>
        <v/>
      </c>
      <c r="AD342" s="27" t="inlineStr">
        <is>
          <t>UNKNOWN</t>
        </is>
      </c>
      <c r="AE342" s="28" t="inlineStr">
        <is>
          <t>https://realbrasil.com.br/wp-content/uploads/2017/05/Relação-de-Credores_-Mastter-1.pdf</t>
        </is>
      </c>
      <c r="AF342" s="27" t="inlineStr">
        <is>
          <t>p2 r6; p2 r7; p2 r8; p2 r9</t>
        </is>
      </c>
      <c r="AG342" s="27" t="inlineStr">
        <is>
          <t>p2: R$ 408.395,49; p2: R$ 5.000,00; p2: R$ 3.628,76; p2: R$ 27.090,91</t>
        </is>
      </c>
      <c r="AH342" s="27" t="inlineStr">
        <is>
          <t>DEBTOR_LIST</t>
        </is>
      </c>
      <c r="AI342" s="27" t="inlineStr">
        <is>
          <t>2016-02-10</t>
        </is>
      </c>
      <c r="AJ342" s="27" t="inlineStr">
        <is>
          <t>OK_NO_TOTALS</t>
        </is>
      </c>
      <c r="AK342" s="29" t="inlineStr">
        <is>
          <t>0801893-91.2016.8.12.0011</t>
        </is>
      </c>
      <c r="AL342" s="29" t="inlineStr">
        <is>
          <t>TJ</t>
        </is>
      </c>
      <c r="AM342" s="29" t="inlineStr"/>
      <c r="AN342" s="29" t="n">
        <v>2016</v>
      </c>
      <c r="AO342" s="29" t="inlineStr">
        <is>
          <t>10y since filing, no plan document</t>
        </is>
      </c>
      <c r="AP342" s="29" t="inlineStr">
        <is>
          <t>BRASILIA</t>
        </is>
      </c>
      <c r="AQ342" s="29" t="inlineStr">
        <is>
          <t>DF</t>
        </is>
      </c>
      <c r="AR342" s="29" t="inlineStr">
        <is>
          <t>Bancos múltiplos, com carteira comercial</t>
        </is>
      </c>
      <c r="AS342" s="29" t="inlineStr">
        <is>
          <t>DEMAIS</t>
        </is>
      </c>
      <c r="AT342" s="29" t="inlineStr">
        <is>
          <t>LARGE CORP</t>
        </is>
      </c>
      <c r="AU342" s="29" t="inlineStr">
        <is>
          <t>00000000</t>
        </is>
      </c>
      <c r="AV342" s="29" t="n">
        <v>4</v>
      </c>
      <c r="AW342" s="29" t="inlineStr">
        <is>
          <t>ALT_VALUE:R$27.090,91 ALT_VALUE:R$3.628,76 ALT_VALUE:R$408.395,49 ALT_VALUE:R$5.000,00 ROWS:p2r6,p2r7,p2r8,p2r9 UNRECONCILED_SOURCE VALUE_COL:Valor_Da_Parcela</t>
        </is>
      </c>
    </row>
    <row r="343">
      <c r="A343" s="15" t="inlineStr">
        <is>
          <t>BANCO BRADESCO S.A.</t>
        </is>
      </c>
      <c r="B343" s="16" t="n">
        <v>482000</v>
      </c>
      <c r="C343" s="17" t="inlineStr">
        <is>
          <t>IMOBI DESENVOLVIMENTO URBANO LTDA - EM RECUPERACAO JUDICIAL</t>
        </is>
      </c>
      <c r="D343" s="18" t="inlineStr">
        <is>
          <t>NEW</t>
        </is>
      </c>
      <c r="E343" s="19" t="inlineStr"/>
      <c r="F343" s="18" t="inlineStr"/>
      <c r="G343" s="19" t="inlineStr"/>
      <c r="H343" s="18" t="inlineStr"/>
      <c r="I343" s="20" t="inlineStr">
        <is>
          <t>MARCELO DE ARAUJO NORONHA</t>
        </is>
      </c>
      <c r="J343" s="20" t="inlineStr">
        <is>
          <t>Presidente</t>
        </is>
      </c>
      <c r="K343" s="20" t="inlineStr">
        <is>
          <t>(11) 3684-5122</t>
        </is>
      </c>
      <c r="L343" s="20" t="inlineStr"/>
      <c r="M343" s="20" t="inlineStr"/>
      <c r="N343" s="20" t="inlineStr"/>
      <c r="O343" s="20" t="inlineStr"/>
      <c r="P343" s="20" t="inlineStr">
        <is>
          <t>AFRANIO CARLOS CAMARGO DANTZGER</t>
        </is>
      </c>
      <c r="Q343" s="20" t="inlineStr">
        <is>
          <t>Diretor</t>
        </is>
      </c>
      <c r="R343" s="20" t="inlineStr">
        <is>
          <t>(11) 3684-5122</t>
        </is>
      </c>
      <c r="S343" s="20" t="inlineStr"/>
      <c r="T343" s="21" t="n">
        <v>482000</v>
      </c>
      <c r="U343" s="22" t="inlineStr">
        <is>
          <t>B</t>
        </is>
      </c>
      <c r="V343" s="23">
        <f>IFERROR(VLOOKUP(U343,Assumptions!$A$7:$D$11,2,FALSE),0)</f>
        <v/>
      </c>
      <c r="W343" s="24">
        <f>MAX(0.5,IFERROR(VLOOKUP(U343,Assumptions!$A$7:$D$11,3,FALSE),3)+IFERROR(VLOOKUP(U343,Assumptions!$A$7:$D$11,4,FALSE),8)/2-IF(AN343="",0,YEAR(TODAY())-AN343))</f>
        <v/>
      </c>
      <c r="X343" s="21">
        <f>T343*V343/(1+Assumptions!$B$3)^W343</f>
        <v/>
      </c>
      <c r="Y343" s="25">
        <f>IF(T343=0,"",ROUND(X343/T343*100,1))</f>
        <v/>
      </c>
      <c r="Z343" s="26">
        <f>X343*Assumptions!$B$4</f>
        <v/>
      </c>
      <c r="AA343" s="25">
        <f>IF(T343=0,"",ROUND(Z343/T343*100,1))</f>
        <v/>
      </c>
      <c r="AB343" s="26">
        <f>X343-Z343</f>
        <v/>
      </c>
      <c r="AC343" s="25">
        <f>IF(T343=0,"",ROUND((X343-Z343)/T343*100,1))</f>
        <v/>
      </c>
      <c r="AD343" s="27" t="inlineStr">
        <is>
          <t>ESTIMATED</t>
        </is>
      </c>
      <c r="AE343" s="28" t="inlineStr">
        <is>
          <t>https://lrflideres.com.br/wp-content/plugins/download-attachments/includes/download.php?id=6273</t>
        </is>
      </c>
      <c r="AF343" s="27" t="inlineStr">
        <is>
          <t>p3 r94</t>
        </is>
      </c>
      <c r="AG343" s="27" t="inlineStr">
        <is>
          <t>p3: R$ 482.000,00</t>
        </is>
      </c>
      <c r="AH343" s="27" t="inlineStr">
        <is>
          <t>AJ_LIST</t>
        </is>
      </c>
      <c r="AI343" s="27" t="inlineStr">
        <is>
          <t>2024-11-14</t>
        </is>
      </c>
      <c r="AJ343" s="27" t="inlineStr">
        <is>
          <t>OK</t>
        </is>
      </c>
      <c r="AK343" s="29" t="inlineStr">
        <is>
          <t>0074500-63.2024.8.17.2001</t>
        </is>
      </c>
      <c r="AL343" s="29" t="inlineStr">
        <is>
          <t>TJPE</t>
        </is>
      </c>
      <c r="AM343" s="29" t="inlineStr">
        <is>
          <t>ACTIVE</t>
        </is>
      </c>
      <c r="AN343" s="29" t="n">
        <v>2024</v>
      </c>
      <c r="AO343" s="29" t="inlineStr">
        <is>
          <t>live case, no plan document yet</t>
        </is>
      </c>
      <c r="AP343" s="29" t="inlineStr">
        <is>
          <t>OSASCO</t>
        </is>
      </c>
      <c r="AQ343" s="29" t="inlineStr">
        <is>
          <t>SP</t>
        </is>
      </c>
      <c r="AR343" s="29" t="inlineStr">
        <is>
          <t>Bancos múltiplos, com carteira comercial</t>
        </is>
      </c>
      <c r="AS343" s="29" t="inlineStr">
        <is>
          <t>DEMAIS</t>
        </is>
      </c>
      <c r="AT343" s="29" t="inlineStr">
        <is>
          <t>LARGE CORP</t>
        </is>
      </c>
      <c r="AU343" s="29" t="inlineStr">
        <is>
          <t>60746948</t>
        </is>
      </c>
      <c r="AV343" s="29" t="n">
        <v>1</v>
      </c>
      <c r="AW343" s="29" t="inlineStr">
        <is>
          <t>LIKELY_FINANCIAL_BY_NAME ROWS:p3r94</t>
        </is>
      </c>
    </row>
    <row r="344">
      <c r="A344" s="15" t="inlineStr">
        <is>
          <t>BANCO BRADESCO S.A.</t>
        </is>
      </c>
      <c r="B344" s="16" t="n">
        <v>1119574.81</v>
      </c>
      <c r="C344" s="17" t="inlineStr"/>
      <c r="D344" s="18" t="inlineStr">
        <is>
          <t>NEW</t>
        </is>
      </c>
      <c r="E344" s="19" t="inlineStr"/>
      <c r="F344" s="18" t="inlineStr"/>
      <c r="G344" s="19" t="inlineStr"/>
      <c r="H344" s="18" t="inlineStr"/>
      <c r="I344" s="20" t="inlineStr">
        <is>
          <t>MARCELO DE ARAUJO NORONHA</t>
        </is>
      </c>
      <c r="J344" s="20" t="inlineStr">
        <is>
          <t>Presidente</t>
        </is>
      </c>
      <c r="K344" s="20" t="inlineStr">
        <is>
          <t>(11) 3684-5122</t>
        </is>
      </c>
      <c r="L344" s="20" t="inlineStr"/>
      <c r="M344" s="20" t="inlineStr"/>
      <c r="N344" s="20" t="inlineStr"/>
      <c r="O344" s="20" t="inlineStr"/>
      <c r="P344" s="20" t="inlineStr">
        <is>
          <t>AFRANIO CARLOS CAMARGO DANTZGER</t>
        </is>
      </c>
      <c r="Q344" s="20" t="inlineStr">
        <is>
          <t>Diretor</t>
        </is>
      </c>
      <c r="R344" s="20" t="inlineStr">
        <is>
          <t>(11) 3684-5122</t>
        </is>
      </c>
      <c r="S344" s="20" t="inlineStr"/>
      <c r="T344" s="21" t="n">
        <v>1119574.81</v>
      </c>
      <c r="U344" s="30" t="inlineStr">
        <is>
          <t>?</t>
        </is>
      </c>
      <c r="V344" s="23">
        <f>IFERROR(VLOOKUP(U344,Assumptions!$A$7:$D$11,2,FALSE),0)</f>
        <v/>
      </c>
      <c r="W344" s="24">
        <f>MAX(0.5,IFERROR(VLOOKUP(U344,Assumptions!$A$7:$D$11,3,FALSE),3)+IFERROR(VLOOKUP(U344,Assumptions!$A$7:$D$11,4,FALSE),8)/2-IF(AN344="",0,YEAR(TODAY())-AN344))</f>
        <v/>
      </c>
      <c r="X344" s="21">
        <f>T344*V344/(1+Assumptions!$B$3)^W344</f>
        <v/>
      </c>
      <c r="Y344" s="25">
        <f>IF(T344=0,"",ROUND(X344/T344*100,1))</f>
        <v/>
      </c>
      <c r="Z344" s="26">
        <f>X344*Assumptions!$B$4</f>
        <v/>
      </c>
      <c r="AA344" s="25">
        <f>IF(T344=0,"",ROUND(Z344/T344*100,1))</f>
        <v/>
      </c>
      <c r="AB344" s="26">
        <f>X344-Z344</f>
        <v/>
      </c>
      <c r="AC344" s="25">
        <f>IF(T344=0,"",ROUND((X344-Z344)/T344*100,1))</f>
        <v/>
      </c>
      <c r="AD344" s="27" t="inlineStr">
        <is>
          <t>UNKNOWN</t>
        </is>
      </c>
      <c r="AE344" s="28" t="inlineStr">
        <is>
          <t>http://bernardobicalho.com.br/login/app/documents/Rela%C3%A7%C3%A3o%20de%20Credores/6.%20RVC-%20Nutricium%20-%20simplificada.pdf</t>
        </is>
      </c>
      <c r="AF344" s="27" t="inlineStr">
        <is>
          <t>p3 r1</t>
        </is>
      </c>
      <c r="AG344" s="27" t="inlineStr">
        <is>
          <t>p3: R$ 1.119.574,81</t>
        </is>
      </c>
      <c r="AH344" s="27" t="inlineStr">
        <is>
          <t>AJ_LIST</t>
        </is>
      </c>
      <c r="AI344" s="27" t="inlineStr"/>
      <c r="AJ344" s="27" t="inlineStr">
        <is>
          <t>OK</t>
        </is>
      </c>
      <c r="AK344" s="29" t="inlineStr">
        <is>
          <t>(not printed)</t>
        </is>
      </c>
      <c r="AL344" s="29" t="inlineStr"/>
      <c r="AM344" s="29" t="inlineStr"/>
      <c r="AN344" s="29" t="inlineStr"/>
      <c r="AO344" s="29" t="inlineStr">
        <is>
          <t>RJ case number not identified on the document</t>
        </is>
      </c>
      <c r="AP344" s="29" t="inlineStr">
        <is>
          <t>OSASCO</t>
        </is>
      </c>
      <c r="AQ344" s="29" t="inlineStr">
        <is>
          <t>SP</t>
        </is>
      </c>
      <c r="AR344" s="29" t="inlineStr">
        <is>
          <t>Bancos múltiplos, com carteira comercial</t>
        </is>
      </c>
      <c r="AS344" s="29" t="inlineStr">
        <is>
          <t>DEMAIS</t>
        </is>
      </c>
      <c r="AT344" s="29" t="inlineStr">
        <is>
          <t>LARGE CORP</t>
        </is>
      </c>
      <c r="AU344" s="29" t="inlineStr">
        <is>
          <t>60746948</t>
        </is>
      </c>
      <c r="AV344" s="29" t="n">
        <v>1</v>
      </c>
      <c r="AW344" s="29" t="inlineStr">
        <is>
          <t>CASE_NUMBER_MISSING LIKELY_FINANCIAL_BY_NAME ROWS:p3r1</t>
        </is>
      </c>
    </row>
    <row r="345">
      <c r="A345" s="15" t="inlineStr">
        <is>
          <t>BANCO BRADESCO S.A.</t>
        </is>
      </c>
      <c r="B345" s="16" t="n">
        <v>476521.11</v>
      </c>
      <c r="C345" s="17" t="inlineStr">
        <is>
          <t>DIVINA INDUSTRIA DE COURO LTDA - EM RECUPERACAO JUDICIAL</t>
        </is>
      </c>
      <c r="D345" s="18" t="inlineStr">
        <is>
          <t>NEW</t>
        </is>
      </c>
      <c r="E345" s="19" t="inlineStr"/>
      <c r="F345" s="18" t="inlineStr"/>
      <c r="G345" s="19" t="inlineStr"/>
      <c r="H345" s="18" t="inlineStr"/>
      <c r="I345" s="20" t="inlineStr">
        <is>
          <t>MARCELO DE ARAUJO NORONHA</t>
        </is>
      </c>
      <c r="J345" s="20" t="inlineStr">
        <is>
          <t>Presidente</t>
        </is>
      </c>
      <c r="K345" s="20" t="inlineStr">
        <is>
          <t>(11) 3684-5122</t>
        </is>
      </c>
      <c r="L345" s="20" t="inlineStr"/>
      <c r="M345" s="20" t="inlineStr"/>
      <c r="N345" s="20" t="inlineStr"/>
      <c r="O345" s="20" t="inlineStr"/>
      <c r="P345" s="20" t="inlineStr">
        <is>
          <t>AFRANIO CARLOS CAMARGO DANTZGER</t>
        </is>
      </c>
      <c r="Q345" s="20" t="inlineStr">
        <is>
          <t>Diretor</t>
        </is>
      </c>
      <c r="R345" s="20" t="inlineStr">
        <is>
          <t>(11) 3684-5122</t>
        </is>
      </c>
      <c r="S345" s="20" t="inlineStr"/>
      <c r="T345" s="21" t="n">
        <v>476521.11</v>
      </c>
      <c r="U345" s="22" t="inlineStr">
        <is>
          <t>B</t>
        </is>
      </c>
      <c r="V345" s="23">
        <f>IFERROR(VLOOKUP(U345,Assumptions!$A$7:$D$11,2,FALSE),0)</f>
        <v/>
      </c>
      <c r="W345" s="24">
        <f>MAX(0.5,IFERROR(VLOOKUP(U345,Assumptions!$A$7:$D$11,3,FALSE),3)+IFERROR(VLOOKUP(U345,Assumptions!$A$7:$D$11,4,FALSE),8)/2-IF(AN345="",0,YEAR(TODAY())-AN345))</f>
        <v/>
      </c>
      <c r="X345" s="21">
        <f>T345*V345/(1+Assumptions!$B$3)^W345</f>
        <v/>
      </c>
      <c r="Y345" s="25">
        <f>IF(T345=0,"",ROUND(X345/T345*100,1))</f>
        <v/>
      </c>
      <c r="Z345" s="26">
        <f>X345*Assumptions!$B$4</f>
        <v/>
      </c>
      <c r="AA345" s="25">
        <f>IF(T345=0,"",ROUND(Z345/T345*100,1))</f>
        <v/>
      </c>
      <c r="AB345" s="26">
        <f>X345-Z345</f>
        <v/>
      </c>
      <c r="AC345" s="25">
        <f>IF(T345=0,"",ROUND((X345-Z345)/T345*100,1))</f>
        <v/>
      </c>
      <c r="AD345" s="27" t="inlineStr">
        <is>
          <t>ESTIMATED</t>
        </is>
      </c>
      <c r="AE345" s="28" t="inlineStr">
        <is>
          <t>https://lrflideres.com.br/wp-content/plugins/download-attachments/includes/download.php?id=6252</t>
        </is>
      </c>
      <c r="AF345" s="27" t="inlineStr">
        <is>
          <t>p2 r11; p2 r12</t>
        </is>
      </c>
      <c r="AG345" s="27" t="inlineStr">
        <is>
          <t>p2: R$ 410.546,27; p2: R$ 65.974,84</t>
        </is>
      </c>
      <c r="AH345" s="27" t="inlineStr">
        <is>
          <t>AJ_LIST</t>
        </is>
      </c>
      <c r="AI345" s="27" t="inlineStr">
        <is>
          <t>2024-11-27</t>
        </is>
      </c>
      <c r="AJ345" s="27" t="inlineStr">
        <is>
          <t>QUARANTINED</t>
        </is>
      </c>
      <c r="AK345" s="29" t="inlineStr">
        <is>
          <t>0000721-61.2024.8.17.2620</t>
        </is>
      </c>
      <c r="AL345" s="29" t="inlineStr">
        <is>
          <t>TJPE</t>
        </is>
      </c>
      <c r="AM345" s="29" t="inlineStr">
        <is>
          <t>ACTIVE</t>
        </is>
      </c>
      <c r="AN345" s="29" t="n">
        <v>2024</v>
      </c>
      <c r="AO345" s="29" t="inlineStr">
        <is>
          <t>live case, no plan document yet</t>
        </is>
      </c>
      <c r="AP345" s="29" t="inlineStr">
        <is>
          <t>OSASCO</t>
        </is>
      </c>
      <c r="AQ345" s="29" t="inlineStr">
        <is>
          <t>SP</t>
        </is>
      </c>
      <c r="AR345" s="29" t="inlineStr">
        <is>
          <t>Bancos múltiplos, com carteira comercial</t>
        </is>
      </c>
      <c r="AS345" s="29" t="inlineStr">
        <is>
          <t>DEMAIS</t>
        </is>
      </c>
      <c r="AT345" s="29" t="inlineStr">
        <is>
          <t>LARGE CORP</t>
        </is>
      </c>
      <c r="AU345" s="29" t="inlineStr">
        <is>
          <t>60746948</t>
        </is>
      </c>
      <c r="AV345" s="29" t="n">
        <v>2</v>
      </c>
      <c r="AW345" s="29" t="inlineStr">
        <is>
          <t>LIKELY_FINANCIAL_BY_NAME PARTIAL_DOC_CLASS_III_RECONCILED ROWS:p2r11,p2r12</t>
        </is>
      </c>
    </row>
    <row r="346">
      <c r="A346" s="15" t="inlineStr">
        <is>
          <t>Itau Administradora de Consórcios Ltda</t>
        </is>
      </c>
      <c r="B346" s="16" t="n">
        <v>380137.08</v>
      </c>
      <c r="C346" s="17" t="inlineStr">
        <is>
          <t>ADVOCACIA WANDERLEI DE PAULA BARRETO</t>
        </is>
      </c>
      <c r="D346" s="18" t="inlineStr">
        <is>
          <t>NEW</t>
        </is>
      </c>
      <c r="E346" s="19" t="inlineStr"/>
      <c r="F346" s="18" t="inlineStr"/>
      <c r="G346" s="19" t="inlineStr"/>
      <c r="H346" s="18" t="inlineStr"/>
      <c r="I346" s="20" t="inlineStr"/>
      <c r="J346" s="20" t="inlineStr"/>
      <c r="K346" s="20" t="inlineStr"/>
      <c r="L346" s="20" t="inlineStr"/>
      <c r="M346" s="20" t="inlineStr"/>
      <c r="N346" s="20" t="inlineStr"/>
      <c r="O346" s="20" t="inlineStr"/>
      <c r="P346" s="20" t="inlineStr"/>
      <c r="Q346" s="20" t="inlineStr"/>
      <c r="R346" s="20" t="inlineStr"/>
      <c r="S346" s="20" t="inlineStr"/>
      <c r="T346" s="21" t="n">
        <v>380137.08</v>
      </c>
      <c r="U346" s="22" t="inlineStr">
        <is>
          <t>B</t>
        </is>
      </c>
      <c r="V346" s="23">
        <f>IFERROR(VLOOKUP(U346,Assumptions!$A$7:$D$11,2,FALSE),0)</f>
        <v/>
      </c>
      <c r="W346" s="24">
        <f>MAX(0.5,IFERROR(VLOOKUP(U346,Assumptions!$A$7:$D$11,3,FALSE),3)+IFERROR(VLOOKUP(U346,Assumptions!$A$7:$D$11,4,FALSE),8)/2-IF(AN346="",0,YEAR(TODAY())-AN346))</f>
        <v/>
      </c>
      <c r="X346" s="21">
        <f>T346*V346/(1+Assumptions!$B$3)^W346</f>
        <v/>
      </c>
      <c r="Y346" s="25">
        <f>IF(T346=0,"",ROUND(X346/T346*100,1))</f>
        <v/>
      </c>
      <c r="Z346" s="26">
        <f>X346*Assumptions!$B$4</f>
        <v/>
      </c>
      <c r="AA346" s="25">
        <f>IF(T346=0,"",ROUND(Z346/T346*100,1))</f>
        <v/>
      </c>
      <c r="AB346" s="26">
        <f>X346-Z346</f>
        <v/>
      </c>
      <c r="AC346" s="25">
        <f>IF(T346=0,"",ROUND((X346-Z346)/T346*100,1))</f>
        <v/>
      </c>
      <c r="AD346" s="27" t="inlineStr">
        <is>
          <t>ESTIMATED</t>
        </is>
      </c>
      <c r="AE346" s="28" t="inlineStr">
        <is>
          <t>https://marquesadmjudicial.com.br/sgc/download.php?file=files/processo_documento/processo_documento17040729052024_1_.pdf&amp;nome=Relação Nominal de Credores AJ-Sintética</t>
        </is>
      </c>
      <c r="AF346" s="27" t="inlineStr">
        <is>
          <t>p12 r4</t>
        </is>
      </c>
      <c r="AG346" s="27" t="inlineStr">
        <is>
          <t>p12: R$ 380.137,08</t>
        </is>
      </c>
      <c r="AH346" s="27" t="inlineStr">
        <is>
          <t>AJ_LIST</t>
        </is>
      </c>
      <c r="AI346" s="27" t="inlineStr">
        <is>
          <t>2024-05-27</t>
        </is>
      </c>
      <c r="AJ346" s="27" t="inlineStr">
        <is>
          <t>QUARANTINED</t>
        </is>
      </c>
      <c r="AK346" s="29" t="inlineStr">
        <is>
          <t>0003971-03.2023.8.16.0119</t>
        </is>
      </c>
      <c r="AL346" s="29" t="inlineStr">
        <is>
          <t>TJPR</t>
        </is>
      </c>
      <c r="AM346" s="29" t="inlineStr">
        <is>
          <t>ACTIVE</t>
        </is>
      </c>
      <c r="AN346" s="29" t="n">
        <v>2023</v>
      </c>
      <c r="AO346" s="29" t="inlineStr">
        <is>
          <t>live case, no plan document yet</t>
        </is>
      </c>
      <c r="AP346" s="29" t="inlineStr"/>
      <c r="AQ346" s="29" t="inlineStr"/>
      <c r="AR346" s="29" t="inlineStr"/>
      <c r="AS346" s="29" t="inlineStr"/>
      <c r="AT346" s="29" t="inlineStr">
        <is>
          <t>MID-MARKET</t>
        </is>
      </c>
      <c r="AU346" s="29" t="inlineStr">
        <is>
          <t>00000776</t>
        </is>
      </c>
      <c r="AV346" s="29" t="n">
        <v>1</v>
      </c>
      <c r="AW346" s="29" t="inlineStr">
        <is>
          <t>LIKELY_FINANCIAL_BY_NAME PARTIAL_DOC_CLASS_III_RECONCILED ROWS:p12r4</t>
        </is>
      </c>
    </row>
    <row r="347">
      <c r="A347" s="15" t="inlineStr">
        <is>
          <t>FIRMA SECURITIZADORA S/A</t>
        </is>
      </c>
      <c r="B347" s="16" t="n">
        <v>474036.06</v>
      </c>
      <c r="C347" s="17" t="inlineStr">
        <is>
          <t>DIVINA INDUSTRIA DE COURO LTDA - EM RECUPERACAO JUDICIAL</t>
        </is>
      </c>
      <c r="D347" s="18" t="inlineStr">
        <is>
          <t>NEW</t>
        </is>
      </c>
      <c r="E347" s="19" t="inlineStr"/>
      <c r="F347" s="18" t="inlineStr"/>
      <c r="G347" s="19" t="inlineStr"/>
      <c r="H347" s="18" t="inlineStr"/>
      <c r="I347" s="20" t="inlineStr"/>
      <c r="J347" s="20" t="inlineStr"/>
      <c r="K347" s="20" t="inlineStr"/>
      <c r="L347" s="20" t="inlineStr"/>
      <c r="M347" s="20" t="inlineStr"/>
      <c r="N347" s="20" t="inlineStr"/>
      <c r="O347" s="20" t="inlineStr"/>
      <c r="P347" s="20" t="inlineStr"/>
      <c r="Q347" s="20" t="inlineStr"/>
      <c r="R347" s="20" t="inlineStr"/>
      <c r="S347" s="20" t="inlineStr"/>
      <c r="T347" s="21" t="n">
        <v>474036.06</v>
      </c>
      <c r="U347" s="22" t="inlineStr">
        <is>
          <t>B</t>
        </is>
      </c>
      <c r="V347" s="23">
        <f>IFERROR(VLOOKUP(U347,Assumptions!$A$7:$D$11,2,FALSE),0)</f>
        <v/>
      </c>
      <c r="W347" s="24">
        <f>MAX(0.5,IFERROR(VLOOKUP(U347,Assumptions!$A$7:$D$11,3,FALSE),3)+IFERROR(VLOOKUP(U347,Assumptions!$A$7:$D$11,4,FALSE),8)/2-IF(AN347="",0,YEAR(TODAY())-AN347))</f>
        <v/>
      </c>
      <c r="X347" s="21">
        <f>T347*V347/(1+Assumptions!$B$3)^W347</f>
        <v/>
      </c>
      <c r="Y347" s="25">
        <f>IF(T347=0,"",ROUND(X347/T347*100,1))</f>
        <v/>
      </c>
      <c r="Z347" s="26">
        <f>X347*Assumptions!$B$4</f>
        <v/>
      </c>
      <c r="AA347" s="25">
        <f>IF(T347=0,"",ROUND(Z347/T347*100,1))</f>
        <v/>
      </c>
      <c r="AB347" s="26">
        <f>X347-Z347</f>
        <v/>
      </c>
      <c r="AC347" s="25">
        <f>IF(T347=0,"",ROUND((X347-Z347)/T347*100,1))</f>
        <v/>
      </c>
      <c r="AD347" s="27" t="inlineStr">
        <is>
          <t>ESTIMATED</t>
        </is>
      </c>
      <c r="AE347" s="28" t="inlineStr">
        <is>
          <t>https://lrflideres.com.br/wp-content/plugins/download-attachments/includes/download.php?id=6252</t>
        </is>
      </c>
      <c r="AF347" s="27" t="inlineStr">
        <is>
          <t>p2 r42</t>
        </is>
      </c>
      <c r="AG347" s="27" t="inlineStr">
        <is>
          <t>p2: R$ 474.036,06</t>
        </is>
      </c>
      <c r="AH347" s="27" t="inlineStr">
        <is>
          <t>AJ_LIST</t>
        </is>
      </c>
      <c r="AI347" s="27" t="inlineStr">
        <is>
          <t>2024-11-27</t>
        </is>
      </c>
      <c r="AJ347" s="27" t="inlineStr">
        <is>
          <t>QUARANTINED</t>
        </is>
      </c>
      <c r="AK347" s="29" t="inlineStr">
        <is>
          <t>0000721-61.2024.8.17.2620</t>
        </is>
      </c>
      <c r="AL347" s="29" t="inlineStr">
        <is>
          <t>TJPE</t>
        </is>
      </c>
      <c r="AM347" s="29" t="inlineStr">
        <is>
          <t>ACTIVE</t>
        </is>
      </c>
      <c r="AN347" s="29" t="n">
        <v>2024</v>
      </c>
      <c r="AO347" s="29" t="inlineStr">
        <is>
          <t>live case, no plan document yet</t>
        </is>
      </c>
      <c r="AP347" s="29" t="inlineStr"/>
      <c r="AQ347" s="29" t="inlineStr"/>
      <c r="AR347" s="29" t="inlineStr"/>
      <c r="AS347" s="29" t="inlineStr"/>
      <c r="AT347" s="29" t="inlineStr">
        <is>
          <t>MID-MARKET</t>
        </is>
      </c>
      <c r="AU347" s="29" t="inlineStr">
        <is>
          <t>11597992</t>
        </is>
      </c>
      <c r="AV347" s="29" t="n">
        <v>1</v>
      </c>
      <c r="AW347" s="29" t="inlineStr">
        <is>
          <t>LIKELY_FINANCIAL_BY_NAME PARTIAL_DOC_CLASS_III_RECONCILED ROWS:p2r42</t>
        </is>
      </c>
    </row>
    <row r="348">
      <c r="A348" s="15" t="inlineStr">
        <is>
          <t>ZET CAPITAL TECNOLOGIA DE ATIVOS E FOMENTO LTDA</t>
        </is>
      </c>
      <c r="B348" s="16" t="n">
        <v>732433.67</v>
      </c>
      <c r="C348" s="17" t="inlineStr">
        <is>
          <t>VECTOR INDUSTRIA DE PRODUTOS METALURGICOS LTDA - EM RECUPERACAO JUDICIAL</t>
        </is>
      </c>
      <c r="D348" s="18" t="inlineStr">
        <is>
          <t>NEW</t>
        </is>
      </c>
      <c r="E348" s="19" t="inlineStr"/>
      <c r="F348" s="18" t="inlineStr"/>
      <c r="G348" s="19" t="inlineStr"/>
      <c r="H348" s="18" t="inlineStr"/>
      <c r="I348" s="20" t="inlineStr">
        <is>
          <t>PEDRO BEIERSDORF LORENZET</t>
        </is>
      </c>
      <c r="J348" s="20" t="inlineStr">
        <is>
          <t>Sócio-Administrador</t>
        </is>
      </c>
      <c r="K348" s="20" t="inlineStr">
        <is>
          <t>(53) 9170-0404</t>
        </is>
      </c>
      <c r="L348" s="20" t="inlineStr"/>
      <c r="M348" s="20" t="inlineStr"/>
      <c r="N348" s="20" t="inlineStr"/>
      <c r="O348" s="20" t="inlineStr"/>
      <c r="P348" s="20" t="inlineStr"/>
      <c r="Q348" s="20" t="inlineStr"/>
      <c r="R348" s="20" t="inlineStr"/>
      <c r="S348" s="20" t="inlineStr"/>
      <c r="T348" s="21" t="n">
        <v>732433.67</v>
      </c>
      <c r="U348" s="31" t="inlineStr">
        <is>
          <t>C</t>
        </is>
      </c>
      <c r="V348" s="23">
        <f>IFERROR(VLOOKUP(U348,Assumptions!$A$7:$D$11,2,FALSE),0)</f>
        <v/>
      </c>
      <c r="W348" s="24">
        <f>MAX(0.5,IFERROR(VLOOKUP(U348,Assumptions!$A$7:$D$11,3,FALSE),3)+IFERROR(VLOOKUP(U348,Assumptions!$A$7:$D$11,4,FALSE),8)/2-IF(AN348="",0,YEAR(TODAY())-AN348))</f>
        <v/>
      </c>
      <c r="X348" s="21">
        <f>T348*V348/(1+Assumptions!$B$3)^W348</f>
        <v/>
      </c>
      <c r="Y348" s="25">
        <f>IF(T348=0,"",ROUND(X348/T348*100,1))</f>
        <v/>
      </c>
      <c r="Z348" s="26">
        <f>X348*Assumptions!$B$4</f>
        <v/>
      </c>
      <c r="AA348" s="25">
        <f>IF(T348=0,"",ROUND(Z348/T348*100,1))</f>
        <v/>
      </c>
      <c r="AB348" s="26">
        <f>X348-Z348</f>
        <v/>
      </c>
      <c r="AC348" s="25">
        <f>IF(T348=0,"",ROUND((X348-Z348)/T348*100,1))</f>
        <v/>
      </c>
      <c r="AD348" s="27" t="inlineStr">
        <is>
          <t>ESTIMATED</t>
        </is>
      </c>
      <c r="AE348" s="28" t="inlineStr">
        <is>
          <t>https://scalzilliaj.com.br/sgc/download.php?file=files/processo_documento/processo_documento15513401112022_1_.pdf&amp;nome=15 - Edital do art. 7º, §2º (segunda lista de credores) e do art. 53 da Lei 11.101/2005 (recebimento do plano)</t>
        </is>
      </c>
      <c r="AF348" s="27" t="inlineStr">
        <is>
          <t>p10 r38</t>
        </is>
      </c>
      <c r="AG348" s="27" t="inlineStr">
        <is>
          <t>p10: R$ 732.433,67</t>
        </is>
      </c>
      <c r="AH348" s="27" t="inlineStr">
        <is>
          <t>AJ_LIST</t>
        </is>
      </c>
      <c r="AI348" s="27" t="inlineStr">
        <is>
          <t>2022-11-01</t>
        </is>
      </c>
      <c r="AJ348" s="27" t="inlineStr">
        <is>
          <t>OK_NO_TOTALS</t>
        </is>
      </c>
      <c r="AK348" s="29" t="inlineStr">
        <is>
          <t>5014104-85.2021.8.21.0010</t>
        </is>
      </c>
      <c r="AL348" s="29" t="inlineStr">
        <is>
          <t>TJRS</t>
        </is>
      </c>
      <c r="AM348" s="29" t="inlineStr">
        <is>
          <t>ACTIVE</t>
        </is>
      </c>
      <c r="AN348" s="29" t="n">
        <v>2021</v>
      </c>
      <c r="AO348" s="29" t="inlineStr">
        <is>
          <t>5y since filing, no plan document</t>
        </is>
      </c>
      <c r="AP348" s="29" t="inlineStr">
        <is>
          <t>PELOTAS</t>
        </is>
      </c>
      <c r="AQ348" s="29" t="inlineStr">
        <is>
          <t>RS</t>
        </is>
      </c>
      <c r="AR348" s="29" t="inlineStr">
        <is>
          <t>Sociedades de fomento mercantil - factoring</t>
        </is>
      </c>
      <c r="AS348" s="29" t="inlineStr">
        <is>
          <t>DEMAIS</t>
        </is>
      </c>
      <c r="AT348" s="29" t="inlineStr">
        <is>
          <t>MID-MARKET</t>
        </is>
      </c>
      <c r="AU348" s="29" t="inlineStr">
        <is>
          <t>32522072</t>
        </is>
      </c>
      <c r="AV348" s="29" t="n">
        <v>1</v>
      </c>
      <c r="AW348" s="29" t="inlineStr">
        <is>
          <t>ROWS:p10r38 UNRECONCILED_SOURCE</t>
        </is>
      </c>
    </row>
    <row r="349">
      <c r="A349" s="15" t="inlineStr">
        <is>
          <t>POLUX SECURITIZADORA DE RECEBÍVEIS COMERCIAIS S.A.</t>
        </is>
      </c>
      <c r="B349" s="16" t="n">
        <v>361043.83</v>
      </c>
      <c r="C349" s="17" t="inlineStr">
        <is>
          <t>Conduscabos Brasil Indústria Comércio de</t>
        </is>
      </c>
      <c r="D349" s="18" t="inlineStr">
        <is>
          <t>NEW</t>
        </is>
      </c>
      <c r="E349" s="19" t="inlineStr"/>
      <c r="F349" s="18" t="inlineStr"/>
      <c r="G349" s="19" t="inlineStr"/>
      <c r="H349" s="18" t="inlineStr"/>
      <c r="I349" s="20" t="inlineStr"/>
      <c r="J349" s="20" t="inlineStr"/>
      <c r="K349" s="20" t="inlineStr"/>
      <c r="L349" s="20" t="inlineStr"/>
      <c r="M349" s="20" t="inlineStr"/>
      <c r="N349" s="20" t="inlineStr"/>
      <c r="O349" s="20" t="inlineStr"/>
      <c r="P349" s="20" t="inlineStr"/>
      <c r="Q349" s="20" t="inlineStr"/>
      <c r="R349" s="20" t="inlineStr"/>
      <c r="S349" s="20" t="inlineStr"/>
      <c r="T349" s="21" t="n">
        <v>361043.83</v>
      </c>
      <c r="U349" s="22" t="inlineStr">
        <is>
          <t>B</t>
        </is>
      </c>
      <c r="V349" s="23">
        <f>IFERROR(VLOOKUP(U349,Assumptions!$A$7:$D$11,2,FALSE),0)</f>
        <v/>
      </c>
      <c r="W349" s="24">
        <f>MAX(0.5,IFERROR(VLOOKUP(U349,Assumptions!$A$7:$D$11,3,FALSE),3)+IFERROR(VLOOKUP(U349,Assumptions!$A$7:$D$11,4,FALSE),8)/2-IF(AN349="",0,YEAR(TODAY())-AN349))</f>
        <v/>
      </c>
      <c r="X349" s="21">
        <f>T349*V349/(1+Assumptions!$B$3)^W349</f>
        <v/>
      </c>
      <c r="Y349" s="25">
        <f>IF(T349=0,"",ROUND(X349/T349*100,1))</f>
        <v/>
      </c>
      <c r="Z349" s="26">
        <f>X349*Assumptions!$B$4</f>
        <v/>
      </c>
      <c r="AA349" s="25">
        <f>IF(T349=0,"",ROUND(Z349/T349*100,1))</f>
        <v/>
      </c>
      <c r="AB349" s="26">
        <f>X349-Z349</f>
        <v/>
      </c>
      <c r="AC349" s="25">
        <f>IF(T349=0,"",ROUND((X349-Z349)/T349*100,1))</f>
        <v/>
      </c>
      <c r="AD349" s="27" t="inlineStr">
        <is>
          <t>ESTIMATED</t>
        </is>
      </c>
      <c r="AE349" s="28" t="inlineStr">
        <is>
          <t>https://assistjud.com.br/wp-content/uploads/elementor/forms/65098c80a5824.pdf</t>
        </is>
      </c>
      <c r="AF349" s="27" t="inlineStr">
        <is>
          <t>p9 r5</t>
        </is>
      </c>
      <c r="AG349" s="27" t="inlineStr">
        <is>
          <t>p9: R$ 361.043,83</t>
        </is>
      </c>
      <c r="AH349" s="27" t="inlineStr">
        <is>
          <t>AJ_LIST</t>
        </is>
      </c>
      <c r="AI349" s="27" t="inlineStr">
        <is>
          <t>2023-09-18</t>
        </is>
      </c>
      <c r="AJ349" s="27" t="inlineStr">
        <is>
          <t>OK_NO_TOTALS</t>
        </is>
      </c>
      <c r="AK349" s="29" t="inlineStr">
        <is>
          <t>8005129-09.2023.8.05.0039</t>
        </is>
      </c>
      <c r="AL349" s="29" t="inlineStr">
        <is>
          <t>TJBA</t>
        </is>
      </c>
      <c r="AM349" s="29" t="inlineStr">
        <is>
          <t>ACTIVE</t>
        </is>
      </c>
      <c r="AN349" s="29" t="n">
        <v>2023</v>
      </c>
      <c r="AO349" s="29" t="inlineStr">
        <is>
          <t>live case, no plan document yet</t>
        </is>
      </c>
      <c r="AP349" s="29" t="inlineStr"/>
      <c r="AQ349" s="29" t="inlineStr"/>
      <c r="AR349" s="29" t="inlineStr"/>
      <c r="AS349" s="29" t="inlineStr"/>
      <c r="AT349" s="29" t="inlineStr">
        <is>
          <t>MID-MARKET</t>
        </is>
      </c>
      <c r="AU349" s="29" t="inlineStr">
        <is>
          <t>36238945</t>
        </is>
      </c>
      <c r="AV349" s="29" t="n">
        <v>1</v>
      </c>
      <c r="AW349" s="29" t="inlineStr">
        <is>
          <t>LIKELY_FINANCIAL_BY_NAME ROWS:p9r5 UNRECONCILED_SOURCE</t>
        </is>
      </c>
    </row>
    <row r="350">
      <c r="A350" s="15" t="inlineStr">
        <is>
          <t>Soldamaq Comercio de Ferramentas Sicredi LTDA (CNPJ nº</t>
        </is>
      </c>
      <c r="B350" s="16" t="n">
        <v>288724.8</v>
      </c>
      <c r="C350" s="17" t="inlineStr">
        <is>
          <t>CPX DISTRIBUIDORA S.A.</t>
        </is>
      </c>
      <c r="D350" s="18" t="inlineStr">
        <is>
          <t>NEW</t>
        </is>
      </c>
      <c r="E350" s="19" t="inlineStr"/>
      <c r="F350" s="18" t="inlineStr"/>
      <c r="G350" s="19" t="inlineStr"/>
      <c r="H350" s="18" t="inlineStr"/>
      <c r="I350" s="20" t="inlineStr"/>
      <c r="J350" s="20" t="inlineStr"/>
      <c r="K350" s="20" t="inlineStr"/>
      <c r="L350" s="20" t="inlineStr"/>
      <c r="M350" s="20" t="inlineStr"/>
      <c r="N350" s="20" t="inlineStr"/>
      <c r="O350" s="20" t="inlineStr"/>
      <c r="P350" s="20" t="inlineStr"/>
      <c r="Q350" s="20" t="inlineStr"/>
      <c r="R350" s="20" t="inlineStr"/>
      <c r="S350" s="20" t="inlineStr"/>
      <c r="T350" s="21" t="n">
        <v>288724.8</v>
      </c>
      <c r="U350" s="22" t="inlineStr">
        <is>
          <t>B</t>
        </is>
      </c>
      <c r="V350" s="23">
        <f>IFERROR(VLOOKUP(U350,Assumptions!$A$7:$D$11,2,FALSE),0)</f>
        <v/>
      </c>
      <c r="W350" s="24">
        <f>MAX(0.5,IFERROR(VLOOKUP(U350,Assumptions!$A$7:$D$11,3,FALSE),3)+IFERROR(VLOOKUP(U350,Assumptions!$A$7:$D$11,4,FALSE),8)/2-IF(AN350="",0,YEAR(TODAY())-AN350))</f>
        <v/>
      </c>
      <c r="X350" s="21">
        <f>T350*V350/(1+Assumptions!$B$3)^W350</f>
        <v/>
      </c>
      <c r="Y350" s="25">
        <f>IF(T350=0,"",ROUND(X350/T350*100,1))</f>
        <v/>
      </c>
      <c r="Z350" s="26">
        <f>X350*Assumptions!$B$4</f>
        <v/>
      </c>
      <c r="AA350" s="25">
        <f>IF(T350=0,"",ROUND(Z350/T350*100,1))</f>
        <v/>
      </c>
      <c r="AB350" s="26">
        <f>X350-Z350</f>
        <v/>
      </c>
      <c r="AC350" s="25">
        <f>IF(T350=0,"",ROUND((X350-Z350)/T350*100,1))</f>
        <v/>
      </c>
      <c r="AD350" s="27" t="inlineStr">
        <is>
          <t>ESTIMATED</t>
        </is>
      </c>
      <c r="AE350" s="28" t="inlineStr">
        <is>
          <t>https://marquesadmjudicial.com.br/sgc/download.php?file=files/processo_documento/processo_documento16562707032024_1_.pdf&amp;nome=2º Edital-Relação de Credores do art. 7, §2 da LREF e do Plano de Recuperação Judicial</t>
        </is>
      </c>
      <c r="AF350" s="27" t="inlineStr">
        <is>
          <t>p1 r21</t>
        </is>
      </c>
      <c r="AG350" s="27" t="inlineStr">
        <is>
          <t>p1: R$ 288.724,80</t>
        </is>
      </c>
      <c r="AH350" s="27" t="inlineStr">
        <is>
          <t>AJ_LIST</t>
        </is>
      </c>
      <c r="AI350" s="27" t="inlineStr">
        <is>
          <t>2022-11-17</t>
        </is>
      </c>
      <c r="AJ350" s="27" t="inlineStr">
        <is>
          <t>OK_NO_TOTALS</t>
        </is>
      </c>
      <c r="AK350" s="29" t="inlineStr">
        <is>
          <t>0037411-27.2022.8.16.0021</t>
        </is>
      </c>
      <c r="AL350" s="29" t="inlineStr">
        <is>
          <t>TJPR</t>
        </is>
      </c>
      <c r="AM350" s="29" t="inlineStr">
        <is>
          <t>ACTIVE</t>
        </is>
      </c>
      <c r="AN350" s="29" t="n">
        <v>2022</v>
      </c>
      <c r="AO350" s="29" t="inlineStr">
        <is>
          <t>live case, no plan document yet</t>
        </is>
      </c>
      <c r="AP350" s="29" t="inlineStr"/>
      <c r="AQ350" s="29" t="inlineStr"/>
      <c r="AR350" s="29" t="inlineStr"/>
      <c r="AS350" s="29" t="inlineStr"/>
      <c r="AT350" s="29" t="inlineStr">
        <is>
          <t>MID-MARKET</t>
        </is>
      </c>
      <c r="AU350" s="29" t="inlineStr">
        <is>
          <t>07808907</t>
        </is>
      </c>
      <c r="AV350" s="29" t="n">
        <v>1</v>
      </c>
      <c r="AW350" s="29" t="inlineStr">
        <is>
          <t>LIKELY_FINANCIAL_BY_NAME ROWS:p1r21 UNRECONCILED_SOURCE</t>
        </is>
      </c>
    </row>
    <row r="351">
      <c r="A351" s="15" t="inlineStr">
        <is>
          <t>BANCO BRADESCO S.A.</t>
        </is>
      </c>
      <c r="B351" s="16" t="n">
        <v>689839.74</v>
      </c>
      <c r="C351" s="17" t="inlineStr"/>
      <c r="D351" s="18" t="inlineStr">
        <is>
          <t>NEW</t>
        </is>
      </c>
      <c r="E351" s="19" t="inlineStr"/>
      <c r="F351" s="18" t="inlineStr"/>
      <c r="G351" s="19" t="inlineStr"/>
      <c r="H351" s="18" t="inlineStr"/>
      <c r="I351" s="20" t="inlineStr">
        <is>
          <t>MARCELO DE ARAUJO NORONHA</t>
        </is>
      </c>
      <c r="J351" s="20" t="inlineStr">
        <is>
          <t>Presidente</t>
        </is>
      </c>
      <c r="K351" s="20" t="inlineStr">
        <is>
          <t>(11) 3684-5122</t>
        </is>
      </c>
      <c r="L351" s="20" t="inlineStr"/>
      <c r="M351" s="20" t="inlineStr"/>
      <c r="N351" s="20" t="inlineStr"/>
      <c r="O351" s="20" t="inlineStr"/>
      <c r="P351" s="20" t="inlineStr">
        <is>
          <t>AFRANIO CARLOS CAMARGO DANTZGER</t>
        </is>
      </c>
      <c r="Q351" s="20" t="inlineStr">
        <is>
          <t>Diretor</t>
        </is>
      </c>
      <c r="R351" s="20" t="inlineStr">
        <is>
          <t>(11) 3684-5122</t>
        </is>
      </c>
      <c r="S351" s="20" t="inlineStr"/>
      <c r="T351" s="21" t="n">
        <v>689839.74</v>
      </c>
      <c r="U351" s="22" t="inlineStr">
        <is>
          <t>B</t>
        </is>
      </c>
      <c r="V351" s="23">
        <f>IFERROR(VLOOKUP(U351,Assumptions!$A$7:$D$11,2,FALSE),0)</f>
        <v/>
      </c>
      <c r="W351" s="24">
        <f>MAX(0.5,IFERROR(VLOOKUP(U351,Assumptions!$A$7:$D$11,3,FALSE),3)+IFERROR(VLOOKUP(U351,Assumptions!$A$7:$D$11,4,FALSE),8)/2-IF(AN351="",0,YEAR(TODAY())-AN351))</f>
        <v/>
      </c>
      <c r="X351" s="21">
        <f>T351*V351/(1+Assumptions!$B$3)^W351</f>
        <v/>
      </c>
      <c r="Y351" s="25">
        <f>IF(T351=0,"",ROUND(X351/T351*100,1))</f>
        <v/>
      </c>
      <c r="Z351" s="26">
        <f>X351*Assumptions!$B$4</f>
        <v/>
      </c>
      <c r="AA351" s="25">
        <f>IF(T351=0,"",ROUND(Z351/T351*100,1))</f>
        <v/>
      </c>
      <c r="AB351" s="26">
        <f>X351-Z351</f>
        <v/>
      </c>
      <c r="AC351" s="25">
        <f>IF(T351=0,"",ROUND((X351-Z351)/T351*100,1))</f>
        <v/>
      </c>
      <c r="AD351" s="27" t="inlineStr">
        <is>
          <t>ESTIMATED</t>
        </is>
      </c>
      <c r="AE351" s="28" t="inlineStr">
        <is>
          <t>https://stenius.com.br/wp-content/uploads/2026/07/EDITAL-1-RELACAO-DE-CREDORES-GRUPO-GE.pdf</t>
        </is>
      </c>
      <c r="AF351" s="27" t="inlineStr">
        <is>
          <t>p5 r8; p5 r9</t>
        </is>
      </c>
      <c r="AG351" s="27" t="inlineStr">
        <is>
          <t>p5: R$ 60.982,56; p5: R$ 628.857,18</t>
        </is>
      </c>
      <c r="AH351" s="27" t="inlineStr">
        <is>
          <t>DEBTOR_LIST</t>
        </is>
      </c>
      <c r="AI351" s="27" t="inlineStr">
        <is>
          <t>2026-07-01</t>
        </is>
      </c>
      <c r="AJ351" s="27" t="inlineStr">
        <is>
          <t>OK_NO_TOTALS</t>
        </is>
      </c>
      <c r="AK351" s="29" t="inlineStr">
        <is>
          <t>5164979-18.2026.8.09.0110</t>
        </is>
      </c>
      <c r="AL351" s="29" t="inlineStr">
        <is>
          <t>TJGO</t>
        </is>
      </c>
      <c r="AM351" s="29" t="inlineStr">
        <is>
          <t>ACTIVE</t>
        </is>
      </c>
      <c r="AN351" s="29" t="n">
        <v>2026</v>
      </c>
      <c r="AO351" s="29" t="inlineStr">
        <is>
          <t>live case, no plan document yet</t>
        </is>
      </c>
      <c r="AP351" s="29" t="inlineStr">
        <is>
          <t>OSASCO</t>
        </is>
      </c>
      <c r="AQ351" s="29" t="inlineStr">
        <is>
          <t>SP</t>
        </is>
      </c>
      <c r="AR351" s="29" t="inlineStr">
        <is>
          <t>Bancos múltiplos, com carteira comercial</t>
        </is>
      </c>
      <c r="AS351" s="29" t="inlineStr">
        <is>
          <t>DEMAIS</t>
        </is>
      </c>
      <c r="AT351" s="29" t="inlineStr">
        <is>
          <t>LARGE CORP</t>
        </is>
      </c>
      <c r="AU351" s="29" t="inlineStr">
        <is>
          <t>60746948</t>
        </is>
      </c>
      <c r="AV351" s="29" t="n">
        <v>2</v>
      </c>
      <c r="AW351" s="29" t="inlineStr">
        <is>
          <t>LIKELY_FINANCIAL_BY_NAME ROWS:p5r8,p5r9 UNRECONCILED_SOURCE</t>
        </is>
      </c>
    </row>
    <row r="352">
      <c r="A352" s="15" t="inlineStr">
        <is>
          <t>3F CAPITAL SECURITIZADORA S/A</t>
        </is>
      </c>
      <c r="B352" s="16" t="n">
        <v>436694.72</v>
      </c>
      <c r="C352" s="17" t="inlineStr">
        <is>
          <t>DIVINA INDUSTRIA DE COURO LTDA - EM RECUPERACAO JUDICIAL</t>
        </is>
      </c>
      <c r="D352" s="18" t="inlineStr">
        <is>
          <t>NEW</t>
        </is>
      </c>
      <c r="E352" s="19" t="inlineStr"/>
      <c r="F352" s="18" t="inlineStr"/>
      <c r="G352" s="19" t="inlineStr"/>
      <c r="H352" s="18" t="inlineStr"/>
      <c r="I352" s="20" t="inlineStr"/>
      <c r="J352" s="20" t="inlineStr"/>
      <c r="K352" s="20" t="inlineStr"/>
      <c r="L352" s="20" t="inlineStr"/>
      <c r="M352" s="20" t="inlineStr"/>
      <c r="N352" s="20" t="inlineStr"/>
      <c r="O352" s="20" t="inlineStr"/>
      <c r="P352" s="20" t="inlineStr"/>
      <c r="Q352" s="20" t="inlineStr"/>
      <c r="R352" s="20" t="inlineStr"/>
      <c r="S352" s="20" t="inlineStr"/>
      <c r="T352" s="21" t="n">
        <v>436694.72</v>
      </c>
      <c r="U352" s="22" t="inlineStr">
        <is>
          <t>B</t>
        </is>
      </c>
      <c r="V352" s="23">
        <f>IFERROR(VLOOKUP(U352,Assumptions!$A$7:$D$11,2,FALSE),0)</f>
        <v/>
      </c>
      <c r="W352" s="24">
        <f>MAX(0.5,IFERROR(VLOOKUP(U352,Assumptions!$A$7:$D$11,3,FALSE),3)+IFERROR(VLOOKUP(U352,Assumptions!$A$7:$D$11,4,FALSE),8)/2-IF(AN352="",0,YEAR(TODAY())-AN352))</f>
        <v/>
      </c>
      <c r="X352" s="21">
        <f>T352*V352/(1+Assumptions!$B$3)^W352</f>
        <v/>
      </c>
      <c r="Y352" s="25">
        <f>IF(T352=0,"",ROUND(X352/T352*100,1))</f>
        <v/>
      </c>
      <c r="Z352" s="26">
        <f>X352*Assumptions!$B$4</f>
        <v/>
      </c>
      <c r="AA352" s="25">
        <f>IF(T352=0,"",ROUND(Z352/T352*100,1))</f>
        <v/>
      </c>
      <c r="AB352" s="26">
        <f>X352-Z352</f>
        <v/>
      </c>
      <c r="AC352" s="25">
        <f>IF(T352=0,"",ROUND((X352-Z352)/T352*100,1))</f>
        <v/>
      </c>
      <c r="AD352" s="27" t="inlineStr">
        <is>
          <t>ESTIMATED</t>
        </is>
      </c>
      <c r="AE352" s="28" t="inlineStr">
        <is>
          <t>https://lrflideres.com.br/wp-content/plugins/download-attachments/includes/download.php?id=6252</t>
        </is>
      </c>
      <c r="AF352" s="27" t="inlineStr">
        <is>
          <t>p2 r3</t>
        </is>
      </c>
      <c r="AG352" s="27" t="inlineStr">
        <is>
          <t>p2: R$ 436.694,72</t>
        </is>
      </c>
      <c r="AH352" s="27" t="inlineStr">
        <is>
          <t>AJ_LIST</t>
        </is>
      </c>
      <c r="AI352" s="27" t="inlineStr">
        <is>
          <t>2024-11-27</t>
        </is>
      </c>
      <c r="AJ352" s="27" t="inlineStr">
        <is>
          <t>QUARANTINED</t>
        </is>
      </c>
      <c r="AK352" s="29" t="inlineStr">
        <is>
          <t>0000721-61.2024.8.17.2620</t>
        </is>
      </c>
      <c r="AL352" s="29" t="inlineStr">
        <is>
          <t>TJPE</t>
        </is>
      </c>
      <c r="AM352" s="29" t="inlineStr">
        <is>
          <t>ACTIVE</t>
        </is>
      </c>
      <c r="AN352" s="29" t="n">
        <v>2024</v>
      </c>
      <c r="AO352" s="29" t="inlineStr">
        <is>
          <t>live case, no plan document yet</t>
        </is>
      </c>
      <c r="AP352" s="29" t="inlineStr"/>
      <c r="AQ352" s="29" t="inlineStr"/>
      <c r="AR352" s="29" t="inlineStr"/>
      <c r="AS352" s="29" t="inlineStr"/>
      <c r="AT352" s="29" t="inlineStr">
        <is>
          <t>MID-MARKET</t>
        </is>
      </c>
      <c r="AU352" s="29" t="inlineStr">
        <is>
          <t>43552951</t>
        </is>
      </c>
      <c r="AV352" s="29" t="n">
        <v>1</v>
      </c>
      <c r="AW352" s="29" t="inlineStr">
        <is>
          <t>LIKELY_FINANCIAL_BY_NAME PARTIAL_DOC_CLASS_III_RECONCILED ROWS:p2r3</t>
        </is>
      </c>
    </row>
    <row r="353">
      <c r="A353" s="15" t="inlineStr">
        <is>
          <t>BANCO DO BRASIL SA</t>
        </is>
      </c>
      <c r="B353" s="16" t="n">
        <v>2715487.96</v>
      </c>
      <c r="C353" s="17" t="inlineStr">
        <is>
          <t>MUNDO BIZARRO IMPORTACAO E EXPORTACAO LTDA FALIDO</t>
        </is>
      </c>
      <c r="D353" s="18" t="inlineStr">
        <is>
          <t>NEW</t>
        </is>
      </c>
      <c r="E353" s="19" t="inlineStr"/>
      <c r="F353" s="18" t="inlineStr"/>
      <c r="G353" s="19" t="inlineStr"/>
      <c r="H353" s="18" t="inlineStr"/>
      <c r="I353" s="20" t="inlineStr">
        <is>
          <t>TARCIANA PAULA GOMES MEDEIROS</t>
        </is>
      </c>
      <c r="J353" s="20" t="inlineStr">
        <is>
          <t>Presidente</t>
        </is>
      </c>
      <c r="K353" s="20" t="inlineStr">
        <is>
          <t>(61) 3493-9002</t>
        </is>
      </c>
      <c r="L353" s="20" t="inlineStr"/>
      <c r="M353" s="20" t="inlineStr"/>
      <c r="N353" s="20" t="inlineStr"/>
      <c r="O353" s="20" t="inlineStr"/>
      <c r="P353" s="20" t="inlineStr">
        <is>
          <t>ALAN CARLOS GUEDES DE OLIVEIRA</t>
        </is>
      </c>
      <c r="Q353" s="20" t="inlineStr">
        <is>
          <t>Diretor</t>
        </is>
      </c>
      <c r="R353" s="20" t="inlineStr">
        <is>
          <t>(61) 3493-9002</t>
        </is>
      </c>
      <c r="S353" s="20" t="inlineStr"/>
      <c r="T353" s="21" t="n">
        <v>2715487.96</v>
      </c>
      <c r="U353" s="33" t="inlineStr">
        <is>
          <t>D</t>
        </is>
      </c>
      <c r="V353" s="23">
        <f>IFERROR(VLOOKUP(U353,Assumptions!$A$7:$D$11,2,FALSE),0)</f>
        <v/>
      </c>
      <c r="W353" s="24">
        <f>MAX(0.5,IFERROR(VLOOKUP(U353,Assumptions!$A$7:$D$11,3,FALSE),3)+IFERROR(VLOOKUP(U353,Assumptions!$A$7:$D$11,4,FALSE),8)/2-IF(AN353="",0,YEAR(TODAY())-AN353))</f>
        <v/>
      </c>
      <c r="X353" s="21">
        <f>T353*V353/(1+Assumptions!$B$3)^W353</f>
        <v/>
      </c>
      <c r="Y353" s="25">
        <f>IF(T353=0,"",ROUND(X353/T353*100,1))</f>
        <v/>
      </c>
      <c r="Z353" s="26">
        <f>X353*Assumptions!$B$4</f>
        <v/>
      </c>
      <c r="AA353" s="25">
        <f>IF(T353=0,"",ROUND(Z353/T353*100,1))</f>
        <v/>
      </c>
      <c r="AB353" s="26">
        <f>X353-Z353</f>
        <v/>
      </c>
      <c r="AC353" s="25">
        <f>IF(T353=0,"",ROUND((X353-Z353)/T353*100,1))</f>
        <v/>
      </c>
      <c r="AD353" s="27" t="inlineStr">
        <is>
          <t>UNKNOWN</t>
        </is>
      </c>
      <c r="AE353" s="28" t="inlineStr">
        <is>
          <t>https://administradorajudicialgs.com.br/wp-content/uploads/2024/10/relacao-de-credores-e-verificacao-de-credito-2025.pdf</t>
        </is>
      </c>
      <c r="AF353" s="27" t="inlineStr">
        <is>
          <t>p16 r2</t>
        </is>
      </c>
      <c r="AG353" s="27" t="inlineStr">
        <is>
          <t>p16: R$ 2.715.487,96</t>
        </is>
      </c>
      <c r="AH353" s="27" t="inlineStr">
        <is>
          <t>AJ_LIST</t>
        </is>
      </c>
      <c r="AI353" s="27" t="inlineStr">
        <is>
          <t>2025-04-24</t>
        </is>
      </c>
      <c r="AJ353" s="27" t="inlineStr">
        <is>
          <t>OK_NO_TOTALS</t>
        </is>
      </c>
      <c r="AK353" s="29" t="inlineStr">
        <is>
          <t>5100227-29.2022.8.24.0023</t>
        </is>
      </c>
      <c r="AL353" s="29" t="inlineStr">
        <is>
          <t>TJ</t>
        </is>
      </c>
      <c r="AM353" s="29" t="inlineStr"/>
      <c r="AN353" s="29" t="n">
        <v>2022</v>
      </c>
      <c r="AO353" s="29" t="inlineStr">
        <is>
          <t>debtor not ATIVA at RFB (04)</t>
        </is>
      </c>
      <c r="AP353" s="29" t="inlineStr">
        <is>
          <t>BRASILIA</t>
        </is>
      </c>
      <c r="AQ353" s="29" t="inlineStr">
        <is>
          <t>DF</t>
        </is>
      </c>
      <c r="AR353" s="29" t="inlineStr">
        <is>
          <t>Bancos múltiplos, com carteira comercial</t>
        </is>
      </c>
      <c r="AS353" s="29" t="inlineStr">
        <is>
          <t>DEMAIS</t>
        </is>
      </c>
      <c r="AT353" s="29" t="inlineStr">
        <is>
          <t>LARGE CORP</t>
        </is>
      </c>
      <c r="AU353" s="29" t="inlineStr">
        <is>
          <t>00000000</t>
        </is>
      </c>
      <c r="AV353" s="29" t="n">
        <v>1</v>
      </c>
      <c r="AW353" s="29" t="inlineStr">
        <is>
          <t>ROWS:p16r2 UNRECONCILED_SOURCE</t>
        </is>
      </c>
    </row>
    <row r="354">
      <c r="A354" s="15" t="inlineStr">
        <is>
          <t>DSX SECURITIZADORA S/A (</t>
        </is>
      </c>
      <c r="B354" s="16" t="n">
        <v>678577.46</v>
      </c>
      <c r="C354" s="17" t="inlineStr">
        <is>
          <t>VECTOR INDUSTRIA DE PRODUTOS METALURGICOS LTDA - EM RECUPERACAO JUDICIAL</t>
        </is>
      </c>
      <c r="D354" s="18" t="inlineStr">
        <is>
          <t>NEW</t>
        </is>
      </c>
      <c r="E354" s="19" t="inlineStr"/>
      <c r="F354" s="18" t="inlineStr"/>
      <c r="G354" s="19" t="inlineStr"/>
      <c r="H354" s="18" t="inlineStr"/>
      <c r="I354" s="20" t="inlineStr"/>
      <c r="J354" s="20" t="inlineStr"/>
      <c r="K354" s="20" t="inlineStr"/>
      <c r="L354" s="20" t="inlineStr"/>
      <c r="M354" s="20" t="inlineStr"/>
      <c r="N354" s="20" t="inlineStr"/>
      <c r="O354" s="20" t="inlineStr"/>
      <c r="P354" s="20" t="inlineStr"/>
      <c r="Q354" s="20" t="inlineStr"/>
      <c r="R354" s="20" t="inlineStr"/>
      <c r="S354" s="20" t="inlineStr"/>
      <c r="T354" s="21" t="n">
        <v>678577.46</v>
      </c>
      <c r="U354" s="31" t="inlineStr">
        <is>
          <t>C</t>
        </is>
      </c>
      <c r="V354" s="23">
        <f>IFERROR(VLOOKUP(U354,Assumptions!$A$7:$D$11,2,FALSE),0)</f>
        <v/>
      </c>
      <c r="W354" s="24">
        <f>MAX(0.5,IFERROR(VLOOKUP(U354,Assumptions!$A$7:$D$11,3,FALSE),3)+IFERROR(VLOOKUP(U354,Assumptions!$A$7:$D$11,4,FALSE),8)/2-IF(AN354="",0,YEAR(TODAY())-AN354))</f>
        <v/>
      </c>
      <c r="X354" s="21">
        <f>T354*V354/(1+Assumptions!$B$3)^W354</f>
        <v/>
      </c>
      <c r="Y354" s="25">
        <f>IF(T354=0,"",ROUND(X354/T354*100,1))</f>
        <v/>
      </c>
      <c r="Z354" s="26">
        <f>X354*Assumptions!$B$4</f>
        <v/>
      </c>
      <c r="AA354" s="25">
        <f>IF(T354=0,"",ROUND(Z354/T354*100,1))</f>
        <v/>
      </c>
      <c r="AB354" s="26">
        <f>X354-Z354</f>
        <v/>
      </c>
      <c r="AC354" s="25">
        <f>IF(T354=0,"",ROUND((X354-Z354)/T354*100,1))</f>
        <v/>
      </c>
      <c r="AD354" s="27" t="inlineStr">
        <is>
          <t>ESTIMATED</t>
        </is>
      </c>
      <c r="AE354" s="28" t="inlineStr">
        <is>
          <t>https://scalzilliaj.com.br/sgc/download.php?file=files/processo_documento/processo_documento15513401112022_1_.pdf&amp;nome=15 - Edital do art. 7º, §2º (segunda lista de credores) e do art. 53 da Lei 11.101/2005 (recebimento do plano)</t>
        </is>
      </c>
      <c r="AF354" s="27" t="inlineStr">
        <is>
          <t>p6 r37</t>
        </is>
      </c>
      <c r="AG354" s="27" t="inlineStr">
        <is>
          <t>p6: R$ 678.577,46</t>
        </is>
      </c>
      <c r="AH354" s="27" t="inlineStr">
        <is>
          <t>AJ_LIST</t>
        </is>
      </c>
      <c r="AI354" s="27" t="inlineStr">
        <is>
          <t>2022-11-01</t>
        </is>
      </c>
      <c r="AJ354" s="27" t="inlineStr">
        <is>
          <t>OK_NO_TOTALS</t>
        </is>
      </c>
      <c r="AK354" s="29" t="inlineStr">
        <is>
          <t>5014104-85.2021.8.21.0010</t>
        </is>
      </c>
      <c r="AL354" s="29" t="inlineStr">
        <is>
          <t>TJRS</t>
        </is>
      </c>
      <c r="AM354" s="29" t="inlineStr">
        <is>
          <t>ACTIVE</t>
        </is>
      </c>
      <c r="AN354" s="29" t="n">
        <v>2021</v>
      </c>
      <c r="AO354" s="29" t="inlineStr">
        <is>
          <t>5y since filing, no plan document</t>
        </is>
      </c>
      <c r="AP354" s="29" t="inlineStr"/>
      <c r="AQ354" s="29" t="inlineStr"/>
      <c r="AR354" s="29" t="inlineStr"/>
      <c r="AS354" s="29" t="inlineStr"/>
      <c r="AT354" s="29" t="inlineStr">
        <is>
          <t>MID-MARKET</t>
        </is>
      </c>
      <c r="AU354" s="29" t="inlineStr">
        <is>
          <t>23125558</t>
        </is>
      </c>
      <c r="AV354" s="29" t="n">
        <v>1</v>
      </c>
      <c r="AW354" s="29" t="inlineStr">
        <is>
          <t>LIKELY_FINANCIAL_BY_NAME ROWS:p6r37 UNRECONCILED_SOURCE</t>
        </is>
      </c>
    </row>
    <row r="355">
      <c r="A355" s="15" t="inlineStr">
        <is>
          <t>KIRTON BANK S.A. - BANCO MULTIPLO</t>
        </is>
      </c>
      <c r="B355" s="16" t="n">
        <v>385691.42</v>
      </c>
      <c r="C355" s="17" t="inlineStr"/>
      <c r="D355" s="18" t="inlineStr">
        <is>
          <t>NEW</t>
        </is>
      </c>
      <c r="E355" s="19" t="inlineStr"/>
      <c r="F355" s="18" t="inlineStr"/>
      <c r="G355" s="19" t="inlineStr"/>
      <c r="H355" s="18" t="inlineStr"/>
      <c r="I355" s="20" t="inlineStr">
        <is>
          <t>CLAYTON NEVES XAVIER</t>
        </is>
      </c>
      <c r="J355" s="20" t="inlineStr">
        <is>
          <t>Administrador</t>
        </is>
      </c>
      <c r="K355" s="20" t="inlineStr">
        <is>
          <t>(11) 3684-3884</t>
        </is>
      </c>
      <c r="L355" s="20" t="inlineStr"/>
      <c r="M355" s="20" t="inlineStr"/>
      <c r="N355" s="20" t="inlineStr"/>
      <c r="O355" s="20" t="inlineStr"/>
      <c r="P355" s="20" t="inlineStr">
        <is>
          <t>CRISTIANO ADJUTO E CAMPOS</t>
        </is>
      </c>
      <c r="Q355" s="20" t="inlineStr">
        <is>
          <t>Administrador</t>
        </is>
      </c>
      <c r="R355" s="20" t="inlineStr">
        <is>
          <t>(11) 3684-3884</t>
        </is>
      </c>
      <c r="S355" s="20" t="inlineStr"/>
      <c r="T355" s="21" t="n">
        <v>385691.42</v>
      </c>
      <c r="U355" s="31" t="inlineStr">
        <is>
          <t>C</t>
        </is>
      </c>
      <c r="V355" s="23">
        <f>IFERROR(VLOOKUP(U355,Assumptions!$A$7:$D$11,2,FALSE),0)</f>
        <v/>
      </c>
      <c r="W355" s="24">
        <f>MAX(0.5,IFERROR(VLOOKUP(U355,Assumptions!$A$7:$D$11,3,FALSE),3)+IFERROR(VLOOKUP(U355,Assumptions!$A$7:$D$11,4,FALSE),8)/2-IF(AN355="",0,YEAR(TODAY())-AN355))</f>
        <v/>
      </c>
      <c r="X355" s="21">
        <f>T355*V355/(1+Assumptions!$B$3)^W355</f>
        <v/>
      </c>
      <c r="Y355" s="25">
        <f>IF(T355=0,"",ROUND(X355/T355*100,1))</f>
        <v/>
      </c>
      <c r="Z355" s="26">
        <f>X355*Assumptions!$B$4</f>
        <v/>
      </c>
      <c r="AA355" s="25">
        <f>IF(T355=0,"",ROUND(Z355/T355*100,1))</f>
        <v/>
      </c>
      <c r="AB355" s="26">
        <f>X355-Z355</f>
        <v/>
      </c>
      <c r="AC355" s="25">
        <f>IF(T355=0,"",ROUND((X355-Z355)/T355*100,1))</f>
        <v/>
      </c>
      <c r="AD355" s="27" t="inlineStr">
        <is>
          <t>UNKNOWN</t>
        </is>
      </c>
      <c r="AE355" s="28" t="inlineStr">
        <is>
          <t>https://administradorajudicialgs.com.br/wp-content/uploads/2024/12/relacao-de-credores-da-falida.pdf</t>
        </is>
      </c>
      <c r="AF355" s="27" t="inlineStr">
        <is>
          <t>p15 r17</t>
        </is>
      </c>
      <c r="AG355" s="27" t="inlineStr">
        <is>
          <t>p15: R$ 385.691,42</t>
        </is>
      </c>
      <c r="AH355" s="27" t="inlineStr">
        <is>
          <t>UNKNOWN</t>
        </is>
      </c>
      <c r="AI355" s="27" t="inlineStr">
        <is>
          <t>2025-03-25</t>
        </is>
      </c>
      <c r="AJ355" s="27" t="inlineStr">
        <is>
          <t>OK_NO_TOTALS</t>
        </is>
      </c>
      <c r="AK355" s="29" t="inlineStr">
        <is>
          <t>0005010-50.2013.8.24.0026</t>
        </is>
      </c>
      <c r="AL355" s="29" t="inlineStr">
        <is>
          <t>TJ</t>
        </is>
      </c>
      <c r="AM355" s="29" t="inlineStr"/>
      <c r="AN355" s="29" t="n">
        <v>2013</v>
      </c>
      <c r="AO355" s="29" t="inlineStr">
        <is>
          <t>13y since filing, no plan document</t>
        </is>
      </c>
      <c r="AP355" s="29" t="inlineStr">
        <is>
          <t>OSASCO</t>
        </is>
      </c>
      <c r="AQ355" s="29" t="inlineStr">
        <is>
          <t>SP</t>
        </is>
      </c>
      <c r="AR355" s="29" t="inlineStr">
        <is>
          <t>Bancos múltiplos, com carteira comercial</t>
        </is>
      </c>
      <c r="AS355" s="29" t="inlineStr">
        <is>
          <t>DEMAIS</t>
        </is>
      </c>
      <c r="AT355" s="29" t="inlineStr">
        <is>
          <t>LARGE CORP</t>
        </is>
      </c>
      <c r="AU355" s="29" t="inlineStr">
        <is>
          <t>01701201</t>
        </is>
      </c>
      <c r="AV355" s="29" t="n">
        <v>1</v>
      </c>
      <c r="AW355" s="29" t="inlineStr">
        <is>
          <t>ROWS:p15r17 UNRECONCILED_SOURCE</t>
        </is>
      </c>
    </row>
    <row r="356">
      <c r="A356" s="15" t="inlineStr">
        <is>
          <t>DANIELE MULTIPLO FIDC</t>
        </is>
      </c>
      <c r="B356" s="16" t="n">
        <v>417506.47</v>
      </c>
      <c r="C356" s="17" t="inlineStr">
        <is>
          <t>DIVINA INDUSTRIA DE COURO LTDA - EM RECUPERACAO JUDICIAL</t>
        </is>
      </c>
      <c r="D356" s="18" t="inlineStr">
        <is>
          <t>NEW</t>
        </is>
      </c>
      <c r="E356" s="19" t="inlineStr"/>
      <c r="F356" s="18" t="inlineStr"/>
      <c r="G356" s="19" t="inlineStr"/>
      <c r="H356" s="18" t="inlineStr"/>
      <c r="I356" s="20" t="inlineStr"/>
      <c r="J356" s="20" t="inlineStr"/>
      <c r="K356" s="20" t="inlineStr"/>
      <c r="L356" s="20" t="inlineStr"/>
      <c r="M356" s="20" t="inlineStr"/>
      <c r="N356" s="20" t="inlineStr"/>
      <c r="O356" s="20" t="inlineStr"/>
      <c r="P356" s="20" t="inlineStr"/>
      <c r="Q356" s="20" t="inlineStr"/>
      <c r="R356" s="20" t="inlineStr"/>
      <c r="S356" s="20" t="inlineStr"/>
      <c r="T356" s="21" t="n">
        <v>417506.47</v>
      </c>
      <c r="U356" s="22" t="inlineStr">
        <is>
          <t>B</t>
        </is>
      </c>
      <c r="V356" s="23">
        <f>IFERROR(VLOOKUP(U356,Assumptions!$A$7:$D$11,2,FALSE),0)</f>
        <v/>
      </c>
      <c r="W356" s="24">
        <f>MAX(0.5,IFERROR(VLOOKUP(U356,Assumptions!$A$7:$D$11,3,FALSE),3)+IFERROR(VLOOKUP(U356,Assumptions!$A$7:$D$11,4,FALSE),8)/2-IF(AN356="",0,YEAR(TODAY())-AN356))</f>
        <v/>
      </c>
      <c r="X356" s="21">
        <f>T356*V356/(1+Assumptions!$B$3)^W356</f>
        <v/>
      </c>
      <c r="Y356" s="25">
        <f>IF(T356=0,"",ROUND(X356/T356*100,1))</f>
        <v/>
      </c>
      <c r="Z356" s="26">
        <f>X356*Assumptions!$B$4</f>
        <v/>
      </c>
      <c r="AA356" s="25">
        <f>IF(T356=0,"",ROUND(Z356/T356*100,1))</f>
        <v/>
      </c>
      <c r="AB356" s="26">
        <f>X356-Z356</f>
        <v/>
      </c>
      <c r="AC356" s="25">
        <f>IF(T356=0,"",ROUND((X356-Z356)/T356*100,1))</f>
        <v/>
      </c>
      <c r="AD356" s="27" t="inlineStr">
        <is>
          <t>ESTIMATED</t>
        </is>
      </c>
      <c r="AE356" s="28" t="inlineStr">
        <is>
          <t>https://lrflideres.com.br/wp-content/plugins/download-attachments/includes/download.php?id=6252</t>
        </is>
      </c>
      <c r="AF356" s="27" t="inlineStr">
        <is>
          <t>p2 r33</t>
        </is>
      </c>
      <c r="AG356" s="27" t="inlineStr">
        <is>
          <t>p2: R$ 417.506,47</t>
        </is>
      </c>
      <c r="AH356" s="27" t="inlineStr">
        <is>
          <t>AJ_LIST</t>
        </is>
      </c>
      <c r="AI356" s="27" t="inlineStr">
        <is>
          <t>2024-11-27</t>
        </is>
      </c>
      <c r="AJ356" s="27" t="inlineStr">
        <is>
          <t>QUARANTINED</t>
        </is>
      </c>
      <c r="AK356" s="29" t="inlineStr">
        <is>
          <t>0000721-61.2024.8.17.2620</t>
        </is>
      </c>
      <c r="AL356" s="29" t="inlineStr">
        <is>
          <t>TJPE</t>
        </is>
      </c>
      <c r="AM356" s="29" t="inlineStr">
        <is>
          <t>ACTIVE</t>
        </is>
      </c>
      <c r="AN356" s="29" t="n">
        <v>2024</v>
      </c>
      <c r="AO356" s="29" t="inlineStr">
        <is>
          <t>live case, no plan document yet</t>
        </is>
      </c>
      <c r="AP356" s="29" t="inlineStr"/>
      <c r="AQ356" s="29" t="inlineStr"/>
      <c r="AR356" s="29" t="inlineStr"/>
      <c r="AS356" s="29" t="inlineStr"/>
      <c r="AT356" s="29" t="inlineStr">
        <is>
          <t>MID-MARKET</t>
        </is>
      </c>
      <c r="AU356" s="29" t="inlineStr">
        <is>
          <t>32528241</t>
        </is>
      </c>
      <c r="AV356" s="29" t="n">
        <v>1</v>
      </c>
      <c r="AW356" s="29" t="inlineStr">
        <is>
          <t>LIKELY_FINANCIAL_BY_NAME PARTIAL_DOC_CLASS_III_RECONCILED ROWS:p2r33</t>
        </is>
      </c>
    </row>
    <row r="357">
      <c r="A357" s="15" t="inlineStr">
        <is>
          <t>LUIZ HENRIQUE RICCIARELLI PARTICIPACOES LTDA</t>
        </is>
      </c>
      <c r="B357" s="16" t="n">
        <v>518978.46</v>
      </c>
      <c r="C357" s="17" t="inlineStr">
        <is>
          <t>BIGOLIN MATERIAIS DE CONSTRUCAO LTDA</t>
        </is>
      </c>
      <c r="D357" s="18" t="inlineStr">
        <is>
          <t>NEW</t>
        </is>
      </c>
      <c r="E357" s="19" t="inlineStr"/>
      <c r="F357" s="18" t="inlineStr"/>
      <c r="G357" s="19" t="inlineStr"/>
      <c r="H357" s="18" t="inlineStr"/>
      <c r="I357" s="20" t="inlineStr">
        <is>
          <t>LUIZ HENRIQUE CABRAL RICCIARELLI</t>
        </is>
      </c>
      <c r="J357" s="20" t="inlineStr">
        <is>
          <t>Sócio-Administrador</t>
        </is>
      </c>
      <c r="K357" s="20" t="inlineStr">
        <is>
          <t>(11) 2365-1427</t>
        </is>
      </c>
      <c r="L357" s="20" t="inlineStr"/>
      <c r="M357" s="20" t="inlineStr"/>
      <c r="N357" s="20" t="inlineStr"/>
      <c r="O357" s="20" t="inlineStr"/>
      <c r="P357" s="20" t="inlineStr"/>
      <c r="Q357" s="20" t="inlineStr"/>
      <c r="R357" s="20" t="inlineStr"/>
      <c r="S357" s="20" t="inlineStr"/>
      <c r="T357" s="21" t="n">
        <v>518978.46</v>
      </c>
      <c r="U357" s="22" t="inlineStr">
        <is>
          <t>B</t>
        </is>
      </c>
      <c r="V357" s="23">
        <f>IFERROR(VLOOKUP(U357,Assumptions!$A$7:$D$11,2,FALSE),0)</f>
        <v/>
      </c>
      <c r="W357" s="24">
        <f>MAX(0.5,IFERROR(VLOOKUP(U357,Assumptions!$A$7:$D$11,3,FALSE),3)+IFERROR(VLOOKUP(U357,Assumptions!$A$7:$D$11,4,FALSE),8)/2-IF(AN357="",0,YEAR(TODAY())-AN357))</f>
        <v/>
      </c>
      <c r="X357" s="21">
        <f>T357*V357/(1+Assumptions!$B$3)^W357</f>
        <v/>
      </c>
      <c r="Y357" s="25">
        <f>IF(T357=0,"",ROUND(X357/T357*100,1))</f>
        <v/>
      </c>
      <c r="Z357" s="26">
        <f>X357*Assumptions!$B$4</f>
        <v/>
      </c>
      <c r="AA357" s="25">
        <f>IF(T357=0,"",ROUND(Z357/T357*100,1))</f>
        <v/>
      </c>
      <c r="AB357" s="26">
        <f>X357-Z357</f>
        <v/>
      </c>
      <c r="AC357" s="25">
        <f>IF(T357=0,"",ROUND((X357-Z357)/T357*100,1))</f>
        <v/>
      </c>
      <c r="AD357" s="27" t="inlineStr">
        <is>
          <t>ESTIMATED</t>
        </is>
      </c>
      <c r="AE357" s="28" t="inlineStr">
        <is>
          <t>https://ativosajce.com.br/admin/download.php?file=files/processo_documento/processo_documento16022716122025_1_.pdf&amp;nome=Relação de credores - art. 52, §1º da Lei 11.101/05 - 15/12/2025</t>
        </is>
      </c>
      <c r="AF357" s="27" t="inlineStr">
        <is>
          <t>p3 r51</t>
        </is>
      </c>
      <c r="AG357" s="27" t="inlineStr">
        <is>
          <t>p3: R$ 518.978,46</t>
        </is>
      </c>
      <c r="AH357" s="27" t="inlineStr">
        <is>
          <t>UNKNOWN</t>
        </is>
      </c>
      <c r="AI357" s="27" t="inlineStr"/>
      <c r="AJ357" s="27" t="inlineStr">
        <is>
          <t>OK_NO_TOTALS</t>
        </is>
      </c>
      <c r="AK357" s="29" t="inlineStr">
        <is>
          <t>4054599-35.2025.8.26.0100</t>
        </is>
      </c>
      <c r="AL357" s="29" t="inlineStr">
        <is>
          <t>TJSP</t>
        </is>
      </c>
      <c r="AM357" s="29" t="inlineStr">
        <is>
          <t>ACTIVE</t>
        </is>
      </c>
      <c r="AN357" s="29" t="n">
        <v>2025</v>
      </c>
      <c r="AO357" s="29" t="inlineStr">
        <is>
          <t>live case, no plan document yet</t>
        </is>
      </c>
      <c r="AP357" s="29" t="inlineStr">
        <is>
          <t>SAO PAULO</t>
        </is>
      </c>
      <c r="AQ357" s="29" t="inlineStr">
        <is>
          <t>SP</t>
        </is>
      </c>
      <c r="AR357" s="29" t="inlineStr">
        <is>
          <t>Outras sociedades de participação, exceto holdings</t>
        </is>
      </c>
      <c r="AS357" s="29" t="inlineStr">
        <is>
          <t>DEMAIS</t>
        </is>
      </c>
      <c r="AT357" s="29" t="inlineStr">
        <is>
          <t>MID-MARKET</t>
        </is>
      </c>
      <c r="AU357" s="29" t="inlineStr">
        <is>
          <t>51145521</t>
        </is>
      </c>
      <c r="AV357" s="29" t="n">
        <v>1</v>
      </c>
      <c r="AW357" s="29" t="inlineStr">
        <is>
          <t>ROWS:p3r51 UNRECONCILED_SOURCE</t>
        </is>
      </c>
    </row>
    <row r="358">
      <c r="A358" s="15" t="inlineStr">
        <is>
          <t>BANCO COOPERATIVO SICOOB S.A.</t>
        </is>
      </c>
      <c r="B358" s="16" t="n">
        <v>415021.85</v>
      </c>
      <c r="C358" s="17" t="inlineStr">
        <is>
          <t>DIVINA INDUSTRIA DE COURO LTDA - EM RECUPERACAO JUDICIAL</t>
        </is>
      </c>
      <c r="D358" s="18" t="inlineStr">
        <is>
          <t>NEW</t>
        </is>
      </c>
      <c r="E358" s="19" t="inlineStr"/>
      <c r="F358" s="18" t="inlineStr"/>
      <c r="G358" s="19" t="inlineStr"/>
      <c r="H358" s="18" t="inlineStr"/>
      <c r="I358" s="20" t="inlineStr">
        <is>
          <t>MARCO AURELIO BORGES DE ALMADA ABREU</t>
        </is>
      </c>
      <c r="J358" s="20" t="inlineStr">
        <is>
          <t>Presidente</t>
        </is>
      </c>
      <c r="K358" s="20" t="inlineStr">
        <is>
          <t>(61) 3217-5200</t>
        </is>
      </c>
      <c r="L358" s="20" t="inlineStr"/>
      <c r="M358" s="20" t="inlineStr"/>
      <c r="N358" s="20" t="inlineStr"/>
      <c r="O358" s="20" t="inlineStr"/>
      <c r="P358" s="20" t="inlineStr">
        <is>
          <t>ANTONIO CANDIDO VILACA JUNIOR</t>
        </is>
      </c>
      <c r="Q358" s="20" t="inlineStr">
        <is>
          <t>Diretor</t>
        </is>
      </c>
      <c r="R358" s="20" t="inlineStr">
        <is>
          <t>(61) 3217-5200</t>
        </is>
      </c>
      <c r="S358" s="20" t="inlineStr"/>
      <c r="T358" s="21" t="n">
        <v>415021.85</v>
      </c>
      <c r="U358" s="22" t="inlineStr">
        <is>
          <t>B</t>
        </is>
      </c>
      <c r="V358" s="23">
        <f>IFERROR(VLOOKUP(U358,Assumptions!$A$7:$D$11,2,FALSE),0)</f>
        <v/>
      </c>
      <c r="W358" s="24">
        <f>MAX(0.5,IFERROR(VLOOKUP(U358,Assumptions!$A$7:$D$11,3,FALSE),3)+IFERROR(VLOOKUP(U358,Assumptions!$A$7:$D$11,4,FALSE),8)/2-IF(AN358="",0,YEAR(TODAY())-AN358))</f>
        <v/>
      </c>
      <c r="X358" s="21">
        <f>T358*V358/(1+Assumptions!$B$3)^W358</f>
        <v/>
      </c>
      <c r="Y358" s="25">
        <f>IF(T358=0,"",ROUND(X358/T358*100,1))</f>
        <v/>
      </c>
      <c r="Z358" s="26">
        <f>X358*Assumptions!$B$4</f>
        <v/>
      </c>
      <c r="AA358" s="25">
        <f>IF(T358=0,"",ROUND(Z358/T358*100,1))</f>
        <v/>
      </c>
      <c r="AB358" s="26">
        <f>X358-Z358</f>
        <v/>
      </c>
      <c r="AC358" s="25">
        <f>IF(T358=0,"",ROUND((X358-Z358)/T358*100,1))</f>
        <v/>
      </c>
      <c r="AD358" s="27" t="inlineStr">
        <is>
          <t>ESTIMATED</t>
        </is>
      </c>
      <c r="AE358" s="28" t="inlineStr">
        <is>
          <t>https://lrflideres.com.br/wp-content/plugins/download-attachments/includes/download.php?id=6252</t>
        </is>
      </c>
      <c r="AF358" s="27" t="inlineStr">
        <is>
          <t>p2 r17</t>
        </is>
      </c>
      <c r="AG358" s="27" t="inlineStr">
        <is>
          <t>p2: R$ 415.021,85</t>
        </is>
      </c>
      <c r="AH358" s="27" t="inlineStr">
        <is>
          <t>AJ_LIST</t>
        </is>
      </c>
      <c r="AI358" s="27" t="inlineStr">
        <is>
          <t>2024-11-27</t>
        </is>
      </c>
      <c r="AJ358" s="27" t="inlineStr">
        <is>
          <t>QUARANTINED</t>
        </is>
      </c>
      <c r="AK358" s="29" t="inlineStr">
        <is>
          <t>0000721-61.2024.8.17.2620</t>
        </is>
      </c>
      <c r="AL358" s="29" t="inlineStr">
        <is>
          <t>TJPE</t>
        </is>
      </c>
      <c r="AM358" s="29" t="inlineStr">
        <is>
          <t>ACTIVE</t>
        </is>
      </c>
      <c r="AN358" s="29" t="n">
        <v>2024</v>
      </c>
      <c r="AO358" s="29" t="inlineStr">
        <is>
          <t>live case, no plan document yet</t>
        </is>
      </c>
      <c r="AP358" s="29" t="inlineStr">
        <is>
          <t>BRASILIA</t>
        </is>
      </c>
      <c r="AQ358" s="29" t="inlineStr">
        <is>
          <t>DF</t>
        </is>
      </c>
      <c r="AR358" s="29" t="inlineStr">
        <is>
          <t>Bancos cooperativos</t>
        </is>
      </c>
      <c r="AS358" s="29" t="inlineStr">
        <is>
          <t>DEMAIS</t>
        </is>
      </c>
      <c r="AT358" s="29" t="inlineStr">
        <is>
          <t>LARGE CORP</t>
        </is>
      </c>
      <c r="AU358" s="29" t="inlineStr">
        <is>
          <t>02038232</t>
        </is>
      </c>
      <c r="AV358" s="29" t="n">
        <v>1</v>
      </c>
      <c r="AW358" s="29" t="inlineStr">
        <is>
          <t>PARTIAL_DOC_CLASS_III_RECONCILED ROWS:p2r17</t>
        </is>
      </c>
    </row>
    <row r="359">
      <c r="A359" s="15" t="inlineStr">
        <is>
          <t>TAIPATSB FUNDO DE INVESTIMENTO EM DIREITOS CREDITORIOS MULTISSETORIAL</t>
        </is>
      </c>
      <c r="B359" s="16" t="n">
        <v>499970.87</v>
      </c>
      <c r="C359" s="17" t="inlineStr">
        <is>
          <t>BIGOLIN MATERIAIS DE CONSTRUCAO LTDA</t>
        </is>
      </c>
      <c r="D359" s="18" t="inlineStr">
        <is>
          <t>NEW</t>
        </is>
      </c>
      <c r="E359" s="19" t="inlineStr"/>
      <c r="F359" s="18" t="inlineStr"/>
      <c r="G359" s="19" t="inlineStr"/>
      <c r="H359" s="18" t="inlineStr"/>
      <c r="I359" s="20" t="inlineStr"/>
      <c r="J359" s="20" t="inlineStr"/>
      <c r="K359" s="20" t="inlineStr">
        <is>
          <t>(11) 2827-3500</t>
        </is>
      </c>
      <c r="L359" s="20" t="inlineStr"/>
      <c r="M359" s="20" t="inlineStr"/>
      <c r="N359" s="20" t="inlineStr"/>
      <c r="O359" s="20" t="inlineStr"/>
      <c r="P359" s="20" t="inlineStr"/>
      <c r="Q359" s="20" t="inlineStr"/>
      <c r="R359" s="20" t="inlineStr"/>
      <c r="S359" s="20" t="inlineStr"/>
      <c r="T359" s="21" t="n">
        <v>499970.87</v>
      </c>
      <c r="U359" s="22" t="inlineStr">
        <is>
          <t>B</t>
        </is>
      </c>
      <c r="V359" s="23">
        <f>IFERROR(VLOOKUP(U359,Assumptions!$A$7:$D$11,2,FALSE),0)</f>
        <v/>
      </c>
      <c r="W359" s="24">
        <f>MAX(0.5,IFERROR(VLOOKUP(U359,Assumptions!$A$7:$D$11,3,FALSE),3)+IFERROR(VLOOKUP(U359,Assumptions!$A$7:$D$11,4,FALSE),8)/2-IF(AN359="",0,YEAR(TODAY())-AN359))</f>
        <v/>
      </c>
      <c r="X359" s="21">
        <f>T359*V359/(1+Assumptions!$B$3)^W359</f>
        <v/>
      </c>
      <c r="Y359" s="25">
        <f>IF(T359=0,"",ROUND(X359/T359*100,1))</f>
        <v/>
      </c>
      <c r="Z359" s="26">
        <f>X359*Assumptions!$B$4</f>
        <v/>
      </c>
      <c r="AA359" s="25">
        <f>IF(T359=0,"",ROUND(Z359/T359*100,1))</f>
        <v/>
      </c>
      <c r="AB359" s="26">
        <f>X359-Z359</f>
        <v/>
      </c>
      <c r="AC359" s="25">
        <f>IF(T359=0,"",ROUND((X359-Z359)/T359*100,1))</f>
        <v/>
      </c>
      <c r="AD359" s="27" t="inlineStr">
        <is>
          <t>ESTIMATED</t>
        </is>
      </c>
      <c r="AE359" s="28" t="inlineStr">
        <is>
          <t>https://ativosajce.com.br/admin/download.php?file=files/processo_documento/processo_documento16022716122025_1_.pdf&amp;nome=Relação de credores - art. 52, §1º da Lei 11.101/05 - 15/12/2025</t>
        </is>
      </c>
      <c r="AF359" s="27" t="inlineStr">
        <is>
          <t>p4 r56</t>
        </is>
      </c>
      <c r="AG359" s="27" t="inlineStr">
        <is>
          <t>p4: R$ 499.970,87</t>
        </is>
      </c>
      <c r="AH359" s="27" t="inlineStr">
        <is>
          <t>UNKNOWN</t>
        </is>
      </c>
      <c r="AI359" s="27" t="inlineStr"/>
      <c r="AJ359" s="27" t="inlineStr">
        <is>
          <t>OK_NO_TOTALS</t>
        </is>
      </c>
      <c r="AK359" s="29" t="inlineStr">
        <is>
          <t>4054599-35.2025.8.26.0100</t>
        </is>
      </c>
      <c r="AL359" s="29" t="inlineStr">
        <is>
          <t>TJSP</t>
        </is>
      </c>
      <c r="AM359" s="29" t="inlineStr">
        <is>
          <t>ACTIVE</t>
        </is>
      </c>
      <c r="AN359" s="29" t="n">
        <v>2025</v>
      </c>
      <c r="AO359" s="29" t="inlineStr">
        <is>
          <t>live case, no plan document yet</t>
        </is>
      </c>
      <c r="AP359" s="29" t="inlineStr">
        <is>
          <t>SAO PAULO</t>
        </is>
      </c>
      <c r="AQ359" s="29" t="inlineStr">
        <is>
          <t>SP</t>
        </is>
      </c>
      <c r="AR359" s="29" t="inlineStr">
        <is>
          <t>Fundos de investimento, exceto previdenciários e imobiliários</t>
        </is>
      </c>
      <c r="AS359" s="29" t="inlineStr">
        <is>
          <t>DEMAIS</t>
        </is>
      </c>
      <c r="AT359" s="29" t="inlineStr">
        <is>
          <t>MID-MARKET</t>
        </is>
      </c>
      <c r="AU359" s="29" t="inlineStr">
        <is>
          <t>21081976</t>
        </is>
      </c>
      <c r="AV359" s="29" t="n">
        <v>1</v>
      </c>
      <c r="AW359" s="29" t="inlineStr">
        <is>
          <t>ROWS:p4r56 UNRECONCILED_SOURCE</t>
        </is>
      </c>
    </row>
    <row r="360">
      <c r="A360" s="15" t="inlineStr">
        <is>
          <t>BANCO BRADESCO S.A.</t>
        </is>
      </c>
      <c r="B360" s="16" t="n">
        <v>313593.84</v>
      </c>
      <c r="C360" s="17" t="inlineStr">
        <is>
          <t>ADVOCACIA WANDERLEI DE PAULA BARRETO</t>
        </is>
      </c>
      <c r="D360" s="18" t="inlineStr">
        <is>
          <t>NEW</t>
        </is>
      </c>
      <c r="E360" s="19" t="inlineStr"/>
      <c r="F360" s="18" t="inlineStr"/>
      <c r="G360" s="19" t="inlineStr"/>
      <c r="H360" s="18" t="inlineStr"/>
      <c r="I360" s="20" t="inlineStr">
        <is>
          <t>MARCELO DE ARAUJO NORONHA</t>
        </is>
      </c>
      <c r="J360" s="20" t="inlineStr">
        <is>
          <t>Presidente</t>
        </is>
      </c>
      <c r="K360" s="20" t="inlineStr">
        <is>
          <t>(11) 3684-5122</t>
        </is>
      </c>
      <c r="L360" s="20" t="inlineStr"/>
      <c r="M360" s="20" t="inlineStr"/>
      <c r="N360" s="20" t="inlineStr"/>
      <c r="O360" s="20" t="inlineStr"/>
      <c r="P360" s="20" t="inlineStr">
        <is>
          <t>AFRANIO CARLOS CAMARGO DANTZGER</t>
        </is>
      </c>
      <c r="Q360" s="20" t="inlineStr">
        <is>
          <t>Diretor</t>
        </is>
      </c>
      <c r="R360" s="20" t="inlineStr">
        <is>
          <t>(11) 3684-5122</t>
        </is>
      </c>
      <c r="S360" s="20" t="inlineStr"/>
      <c r="T360" s="21" t="n">
        <v>313593.84</v>
      </c>
      <c r="U360" s="22" t="inlineStr">
        <is>
          <t>B</t>
        </is>
      </c>
      <c r="V360" s="23">
        <f>IFERROR(VLOOKUP(U360,Assumptions!$A$7:$D$11,2,FALSE),0)</f>
        <v/>
      </c>
      <c r="W360" s="24">
        <f>MAX(0.5,IFERROR(VLOOKUP(U360,Assumptions!$A$7:$D$11,3,FALSE),3)+IFERROR(VLOOKUP(U360,Assumptions!$A$7:$D$11,4,FALSE),8)/2-IF(AN360="",0,YEAR(TODAY())-AN360))</f>
        <v/>
      </c>
      <c r="X360" s="21">
        <f>T360*V360/(1+Assumptions!$B$3)^W360</f>
        <v/>
      </c>
      <c r="Y360" s="25">
        <f>IF(T360=0,"",ROUND(X360/T360*100,1))</f>
        <v/>
      </c>
      <c r="Z360" s="26">
        <f>X360*Assumptions!$B$4</f>
        <v/>
      </c>
      <c r="AA360" s="25">
        <f>IF(T360=0,"",ROUND(Z360/T360*100,1))</f>
        <v/>
      </c>
      <c r="AB360" s="26">
        <f>X360-Z360</f>
        <v/>
      </c>
      <c r="AC360" s="25">
        <f>IF(T360=0,"",ROUND((X360-Z360)/T360*100,1))</f>
        <v/>
      </c>
      <c r="AD360" s="27" t="inlineStr">
        <is>
          <t>ESTIMATED</t>
        </is>
      </c>
      <c r="AE360" s="28" t="inlineStr">
        <is>
          <t>https://marquesadmjudicial.com.br/sgc/download.php?file=files/processo_documento/processo_documento17040729052024_1_.pdf&amp;nome=Relação Nominal de Credores AJ-Sintética</t>
        </is>
      </c>
      <c r="AF360" s="27" t="inlineStr">
        <is>
          <t>p9 r16</t>
        </is>
      </c>
      <c r="AG360" s="27" t="inlineStr">
        <is>
          <t>p9: R$ 313.593,84</t>
        </is>
      </c>
      <c r="AH360" s="27" t="inlineStr">
        <is>
          <t>AJ_LIST</t>
        </is>
      </c>
      <c r="AI360" s="27" t="inlineStr">
        <is>
          <t>2024-05-27</t>
        </is>
      </c>
      <c r="AJ360" s="27" t="inlineStr">
        <is>
          <t>QUARANTINED</t>
        </is>
      </c>
      <c r="AK360" s="29" t="inlineStr">
        <is>
          <t>0003971-03.2023.8.16.0119</t>
        </is>
      </c>
      <c r="AL360" s="29" t="inlineStr">
        <is>
          <t>TJPR</t>
        </is>
      </c>
      <c r="AM360" s="29" t="inlineStr">
        <is>
          <t>ACTIVE</t>
        </is>
      </c>
      <c r="AN360" s="29" t="n">
        <v>2023</v>
      </c>
      <c r="AO360" s="29" t="inlineStr">
        <is>
          <t>live case, no plan document yet</t>
        </is>
      </c>
      <c r="AP360" s="29" t="inlineStr">
        <is>
          <t>OSASCO</t>
        </is>
      </c>
      <c r="AQ360" s="29" t="inlineStr">
        <is>
          <t>SP</t>
        </is>
      </c>
      <c r="AR360" s="29" t="inlineStr">
        <is>
          <t>Bancos múltiplos, com carteira comercial</t>
        </is>
      </c>
      <c r="AS360" s="29" t="inlineStr">
        <is>
          <t>DEMAIS</t>
        </is>
      </c>
      <c r="AT360" s="29" t="inlineStr">
        <is>
          <t>LARGE CORP</t>
        </is>
      </c>
      <c r="AU360" s="29" t="inlineStr">
        <is>
          <t>60746948</t>
        </is>
      </c>
      <c r="AV360" s="29" t="n">
        <v>1</v>
      </c>
      <c r="AW360" s="29" t="inlineStr">
        <is>
          <t>LIKELY_FINANCIAL_BY_NAME PARTIAL_DOC_CLASS_III_RECONCILED ROWS:p9r16</t>
        </is>
      </c>
    </row>
    <row r="361">
      <c r="A361" s="15" t="inlineStr">
        <is>
          <t>CAIXA ECONOMICA FEDERAL</t>
        </is>
      </c>
      <c r="B361" s="16" t="n">
        <v>499697.6</v>
      </c>
      <c r="C361" s="17" t="inlineStr">
        <is>
          <t>AUTO POSTO FREITAS &amp; MAIA LTDA</t>
        </is>
      </c>
      <c r="D361" s="18" t="inlineStr">
        <is>
          <t>NEW</t>
        </is>
      </c>
      <c r="E361" s="19" t="inlineStr"/>
      <c r="F361" s="18" t="inlineStr"/>
      <c r="G361" s="19" t="inlineStr"/>
      <c r="H361" s="18" t="inlineStr"/>
      <c r="I361" s="20" t="inlineStr">
        <is>
          <t>ADRIANO ASSIS MATIAS</t>
        </is>
      </c>
      <c r="J361" s="20" t="inlineStr">
        <is>
          <t>Administrador</t>
        </is>
      </c>
      <c r="K361" s="20" t="inlineStr">
        <is>
          <t>(00) 4004-0104</t>
        </is>
      </c>
      <c r="L361" s="20" t="inlineStr"/>
      <c r="M361" s="20" t="inlineStr"/>
      <c r="N361" s="20" t="inlineStr"/>
      <c r="O361" s="20" t="inlineStr"/>
      <c r="P361" s="20" t="inlineStr">
        <is>
          <t>HENRIETE ALEXANDRA SARTORI BERNABE</t>
        </is>
      </c>
      <c r="Q361" s="20" t="inlineStr">
        <is>
          <t>Administrador</t>
        </is>
      </c>
      <c r="R361" s="20" t="inlineStr">
        <is>
          <t>(00) 4004-0104</t>
        </is>
      </c>
      <c r="S361" s="20" t="inlineStr"/>
      <c r="T361" s="21" t="n">
        <v>499697.6</v>
      </c>
      <c r="U361" s="31" t="inlineStr">
        <is>
          <t>C</t>
        </is>
      </c>
      <c r="V361" s="23">
        <f>IFERROR(VLOOKUP(U361,Assumptions!$A$7:$D$11,2,FALSE),0)</f>
        <v/>
      </c>
      <c r="W361" s="24">
        <f>MAX(0.5,IFERROR(VLOOKUP(U361,Assumptions!$A$7:$D$11,3,FALSE),3)+IFERROR(VLOOKUP(U361,Assumptions!$A$7:$D$11,4,FALSE),8)/2-IF(AN361="",0,YEAR(TODAY())-AN361))</f>
        <v/>
      </c>
      <c r="X361" s="21">
        <f>T361*V361/(1+Assumptions!$B$3)^W361</f>
        <v/>
      </c>
      <c r="Y361" s="25">
        <f>IF(T361=0,"",ROUND(X361/T361*100,1))</f>
        <v/>
      </c>
      <c r="Z361" s="26">
        <f>X361*Assumptions!$B$4</f>
        <v/>
      </c>
      <c r="AA361" s="25">
        <f>IF(T361=0,"",ROUND(Z361/T361*100,1))</f>
        <v/>
      </c>
      <c r="AB361" s="26">
        <f>X361-Z361</f>
        <v/>
      </c>
      <c r="AC361" s="25">
        <f>IF(T361=0,"",ROUND((X361-Z361)/T361*100,1))</f>
        <v/>
      </c>
      <c r="AD361" s="27" t="inlineStr">
        <is>
          <t>ESTIMATED</t>
        </is>
      </c>
      <c r="AE361" s="28" t="inlineStr">
        <is>
          <t>https://recuperacaojudicial.squarespace.com/s/LISTA-DE-CREDORES-CONSOLIDADA-EM-11072025_6419.pdf</t>
        </is>
      </c>
      <c r="AF361" s="27" t="inlineStr">
        <is>
          <t>p4 r4</t>
        </is>
      </c>
      <c r="AG361" s="27" t="inlineStr">
        <is>
          <t>p4: R$ 499.697,60</t>
        </is>
      </c>
      <c r="AH361" s="27" t="inlineStr">
        <is>
          <t>AJ_LIST</t>
        </is>
      </c>
      <c r="AI361" s="27" t="inlineStr">
        <is>
          <t>2025-07-15</t>
        </is>
      </c>
      <c r="AJ361" s="27" t="inlineStr">
        <is>
          <t>OK</t>
        </is>
      </c>
      <c r="AK361" s="29" t="inlineStr">
        <is>
          <t>0700087-51.2020.8.02.0043</t>
        </is>
      </c>
      <c r="AL361" s="29" t="inlineStr">
        <is>
          <t>TJAL</t>
        </is>
      </c>
      <c r="AM361" s="29" t="inlineStr">
        <is>
          <t>ACTIVE</t>
        </is>
      </c>
      <c r="AN361" s="29" t="n">
        <v>2020</v>
      </c>
      <c r="AO361" s="29" t="inlineStr">
        <is>
          <t>6y since filing, no plan document</t>
        </is>
      </c>
      <c r="AP361" s="29" t="inlineStr">
        <is>
          <t>BRASILIA</t>
        </is>
      </c>
      <c r="AQ361" s="29" t="inlineStr">
        <is>
          <t>DF</t>
        </is>
      </c>
      <c r="AR361" s="29" t="inlineStr">
        <is>
          <t>Caixas econômicas</t>
        </is>
      </c>
      <c r="AS361" s="29" t="inlineStr">
        <is>
          <t>DEMAIS</t>
        </is>
      </c>
      <c r="AT361" s="29" t="inlineStr">
        <is>
          <t>LARGE CORP</t>
        </is>
      </c>
      <c r="AU361" s="29" t="inlineStr">
        <is>
          <t>00360305</t>
        </is>
      </c>
      <c r="AV361" s="29" t="n">
        <v>1</v>
      </c>
      <c r="AW361" s="29" t="inlineStr">
        <is>
          <t>LIKELY_FINANCIAL_BY_NAME ROWS:p4r4 VALUE_COL:Valor_Do_Crédito</t>
        </is>
      </c>
    </row>
    <row r="362">
      <c r="A362" s="15" t="inlineStr">
        <is>
          <t>COOPERATIVA DE CREDITO DE LIVRE ADMISSAO DE CERES E RIALMA LTDA</t>
        </is>
      </c>
      <c r="B362" s="16" t="n">
        <v>487838.68</v>
      </c>
      <c r="C362" s="17" t="inlineStr">
        <is>
          <t>BOI VERDE LEILOES LTDA</t>
        </is>
      </c>
      <c r="D362" s="18" t="inlineStr">
        <is>
          <t>NEW</t>
        </is>
      </c>
      <c r="E362" s="19" t="inlineStr"/>
      <c r="F362" s="18" t="inlineStr"/>
      <c r="G362" s="19" t="inlineStr"/>
      <c r="H362" s="18" t="inlineStr"/>
      <c r="I362" s="20" t="inlineStr">
        <is>
          <t>JOSE MAURICIO DE OLIVEIRA</t>
        </is>
      </c>
      <c r="J362" s="20" t="inlineStr">
        <is>
          <t>Presidente</t>
        </is>
      </c>
      <c r="K362" s="20" t="inlineStr">
        <is>
          <t>(62) 8421-4097</t>
        </is>
      </c>
      <c r="L362" s="20" t="inlineStr"/>
      <c r="M362" s="20" t="inlineStr"/>
      <c r="N362" s="20" t="inlineStr"/>
      <c r="O362" s="20" t="inlineStr"/>
      <c r="P362" s="20" t="inlineStr">
        <is>
          <t>GESSICA CUBA DE OLIVEIRA</t>
        </is>
      </c>
      <c r="Q362" s="20" t="inlineStr">
        <is>
          <t>Diretor</t>
        </is>
      </c>
      <c r="R362" s="20" t="inlineStr">
        <is>
          <t>(62) 8421-4097</t>
        </is>
      </c>
      <c r="S362" s="20" t="inlineStr"/>
      <c r="T362" s="21" t="n">
        <v>487838.68</v>
      </c>
      <c r="U362" s="22" t="inlineStr">
        <is>
          <t>B</t>
        </is>
      </c>
      <c r="V362" s="23">
        <f>IFERROR(VLOOKUP(U362,Assumptions!$A$7:$D$11,2,FALSE),0)</f>
        <v/>
      </c>
      <c r="W362" s="24">
        <f>MAX(0.5,IFERROR(VLOOKUP(U362,Assumptions!$A$7:$D$11,3,FALSE),3)+IFERROR(VLOOKUP(U362,Assumptions!$A$7:$D$11,4,FALSE),8)/2-IF(AN362="",0,YEAR(TODAY())-AN362))</f>
        <v/>
      </c>
      <c r="X362" s="21">
        <f>T362*V362/(1+Assumptions!$B$3)^W362</f>
        <v/>
      </c>
      <c r="Y362" s="25">
        <f>IF(T362=0,"",ROUND(X362/T362*100,1))</f>
        <v/>
      </c>
      <c r="Z362" s="26">
        <f>X362*Assumptions!$B$4</f>
        <v/>
      </c>
      <c r="AA362" s="25">
        <f>IF(T362=0,"",ROUND(Z362/T362*100,1))</f>
        <v/>
      </c>
      <c r="AB362" s="26">
        <f>X362-Z362</f>
        <v/>
      </c>
      <c r="AC362" s="25">
        <f>IF(T362=0,"",ROUND((X362-Z362)/T362*100,1))</f>
        <v/>
      </c>
      <c r="AD362" s="27" t="inlineStr">
        <is>
          <t>ESTIMATED</t>
        </is>
      </c>
      <c r="AE362" s="28" t="inlineStr">
        <is>
          <t>https://stenius.com.br/wp-content/uploads/2026/06/EDITAL-GRUPO-FAEL.pdf</t>
        </is>
      </c>
      <c r="AF362" s="27" t="inlineStr">
        <is>
          <t>p2 r1</t>
        </is>
      </c>
      <c r="AG362" s="27" t="inlineStr">
        <is>
          <t>p2: R$ 487.838,68</t>
        </is>
      </c>
      <c r="AH362" s="27" t="inlineStr">
        <is>
          <t>AJ_LIST</t>
        </is>
      </c>
      <c r="AI362" s="27" t="inlineStr">
        <is>
          <t>2026-06-30</t>
        </is>
      </c>
      <c r="AJ362" s="27" t="inlineStr">
        <is>
          <t>OK_NO_TOTALS</t>
        </is>
      </c>
      <c r="AK362" s="29" t="inlineStr">
        <is>
          <t>5264228-81.2025.8.09.0172</t>
        </is>
      </c>
      <c r="AL362" s="29" t="inlineStr">
        <is>
          <t>TJGO</t>
        </is>
      </c>
      <c r="AM362" s="29" t="inlineStr">
        <is>
          <t>ACTIVE</t>
        </is>
      </c>
      <c r="AN362" s="29" t="n">
        <v>2025</v>
      </c>
      <c r="AO362" s="29" t="inlineStr">
        <is>
          <t>live case, no plan document yet</t>
        </is>
      </c>
      <c r="AP362" s="29" t="inlineStr">
        <is>
          <t>CERES</t>
        </is>
      </c>
      <c r="AQ362" s="29" t="inlineStr">
        <is>
          <t>GO</t>
        </is>
      </c>
      <c r="AR362" s="29" t="inlineStr">
        <is>
          <t>Cooperativas de crédito mútuo</t>
        </is>
      </c>
      <c r="AS362" s="29" t="inlineStr">
        <is>
          <t>DEMAIS</t>
        </is>
      </c>
      <c r="AT362" s="29" t="inlineStr">
        <is>
          <t>MID-MARKET</t>
        </is>
      </c>
      <c r="AU362" s="29" t="inlineStr">
        <is>
          <t>09576849</t>
        </is>
      </c>
      <c r="AV362" s="29" t="n">
        <v>1</v>
      </c>
      <c r="AW362" s="29" t="inlineStr">
        <is>
          <t>ROWS:p2r1 UNRECONCILED_SOURCE VALUE_COL:Valor_Do_Crédito</t>
        </is>
      </c>
    </row>
    <row r="363">
      <c r="A363" s="15" t="inlineStr">
        <is>
          <t>BANCO SANTANDER (BRASIL) S.A.</t>
        </is>
      </c>
      <c r="B363" s="16" t="n">
        <v>496312.38</v>
      </c>
      <c r="C363" s="17" t="inlineStr"/>
      <c r="D363" s="18" t="inlineStr">
        <is>
          <t>NEW</t>
        </is>
      </c>
      <c r="E363" s="19" t="inlineStr"/>
      <c r="F363" s="18" t="inlineStr"/>
      <c r="G363" s="19" t="inlineStr"/>
      <c r="H363" s="18" t="inlineStr"/>
      <c r="I363" s="20" t="inlineStr">
        <is>
          <t>GILSON FINKELSZTAIN</t>
        </is>
      </c>
      <c r="J363" s="20" t="inlineStr">
        <is>
          <t>Presidente</t>
        </is>
      </c>
      <c r="K363" s="20" t="inlineStr">
        <is>
          <t>(11) 4004-3535</t>
        </is>
      </c>
      <c r="L363" s="20" t="inlineStr"/>
      <c r="M363" s="20" t="inlineStr"/>
      <c r="N363" s="20" t="inlineStr"/>
      <c r="O363" s="20" t="inlineStr"/>
      <c r="P363" s="20" t="inlineStr">
        <is>
          <t>ALESSANDRO CHAGAS FARIAS</t>
        </is>
      </c>
      <c r="Q363" s="20" t="inlineStr">
        <is>
          <t>Diretor</t>
        </is>
      </c>
      <c r="R363" s="20" t="inlineStr">
        <is>
          <t>(11) 4004-3535</t>
        </is>
      </c>
      <c r="S363" s="20" t="inlineStr"/>
      <c r="T363" s="21" t="n">
        <v>496312.38</v>
      </c>
      <c r="U363" s="31" t="inlineStr">
        <is>
          <t>C</t>
        </is>
      </c>
      <c r="V363" s="23">
        <f>IFERROR(VLOOKUP(U363,Assumptions!$A$7:$D$11,2,FALSE),0)</f>
        <v/>
      </c>
      <c r="W363" s="24">
        <f>MAX(0.5,IFERROR(VLOOKUP(U363,Assumptions!$A$7:$D$11,3,FALSE),3)+IFERROR(VLOOKUP(U363,Assumptions!$A$7:$D$11,4,FALSE),8)/2-IF(AN363="",0,YEAR(TODAY())-AN363))</f>
        <v/>
      </c>
      <c r="X363" s="21">
        <f>T363*V363/(1+Assumptions!$B$3)^W363</f>
        <v/>
      </c>
      <c r="Y363" s="25">
        <f>IF(T363=0,"",ROUND(X363/T363*100,1))</f>
        <v/>
      </c>
      <c r="Z363" s="26">
        <f>X363*Assumptions!$B$4</f>
        <v/>
      </c>
      <c r="AA363" s="25">
        <f>IF(T363=0,"",ROUND(Z363/T363*100,1))</f>
        <v/>
      </c>
      <c r="AB363" s="26">
        <f>X363-Z363</f>
        <v/>
      </c>
      <c r="AC363" s="25">
        <f>IF(T363=0,"",ROUND((X363-Z363)/T363*100,1))</f>
        <v/>
      </c>
      <c r="AD363" s="27" t="inlineStr">
        <is>
          <t>UNKNOWN</t>
        </is>
      </c>
      <c r="AE363" s="28" t="inlineStr">
        <is>
          <t>https://administradorajudicialgs.com.br/wp-content/uploads/2023/08/relacao-de-credores-da-recuperanda-2.pdf</t>
        </is>
      </c>
      <c r="AF363" s="27" t="inlineStr">
        <is>
          <t>p3 r11; p3 r12</t>
        </is>
      </c>
      <c r="AG363" s="27" t="inlineStr">
        <is>
          <t>p3: R$ 324.366,11; p3: R$ 171.946,27</t>
        </is>
      </c>
      <c r="AH363" s="27" t="inlineStr">
        <is>
          <t>UNKNOWN</t>
        </is>
      </c>
      <c r="AI363" s="27" t="inlineStr">
        <is>
          <t>2019-11-11</t>
        </is>
      </c>
      <c r="AJ363" s="27" t="inlineStr">
        <is>
          <t>OK_NO_TOTALS</t>
        </is>
      </c>
      <c r="AK363" s="29" t="inlineStr">
        <is>
          <t>5003439-20.2020.8.24.0282</t>
        </is>
      </c>
      <c r="AL363" s="29" t="inlineStr">
        <is>
          <t>TJ</t>
        </is>
      </c>
      <c r="AM363" s="29" t="inlineStr"/>
      <c r="AN363" s="29" t="n">
        <v>2020</v>
      </c>
      <c r="AO363" s="29" t="inlineStr">
        <is>
          <t>6y since filing, no plan document</t>
        </is>
      </c>
      <c r="AP363" s="29" t="inlineStr">
        <is>
          <t>SAO PAULO</t>
        </is>
      </c>
      <c r="AQ363" s="29" t="inlineStr">
        <is>
          <t>SP</t>
        </is>
      </c>
      <c r="AR363" s="29" t="inlineStr">
        <is>
          <t>Bancos múltiplos, com carteira comercial</t>
        </is>
      </c>
      <c r="AS363" s="29" t="inlineStr">
        <is>
          <t>DEMAIS</t>
        </is>
      </c>
      <c r="AT363" s="29" t="inlineStr">
        <is>
          <t>LARGE CORP</t>
        </is>
      </c>
      <c r="AU363" s="29" t="inlineStr">
        <is>
          <t>90400888</t>
        </is>
      </c>
      <c r="AV363" s="29" t="n">
        <v>2</v>
      </c>
      <c r="AW363" s="29" t="inlineStr">
        <is>
          <t>ROWS:p3r11,p3r12 UNRECONCILED_SOURCE</t>
        </is>
      </c>
    </row>
    <row r="364">
      <c r="A364" s="15" t="inlineStr">
        <is>
          <t>NOVA CAPITAL FUNDO DE INVESTIMENTO EM DIREITOS CREDITO</t>
        </is>
      </c>
      <c r="B364" s="16" t="n">
        <v>387460.38</v>
      </c>
      <c r="C364" s="17" t="inlineStr">
        <is>
          <t>DIVINA INDUSTRIA DE COURO LTDA - EM RECUPERACAO JUDICIAL</t>
        </is>
      </c>
      <c r="D364" s="18" t="inlineStr">
        <is>
          <t>NEW</t>
        </is>
      </c>
      <c r="E364" s="19" t="inlineStr"/>
      <c r="F364" s="18" t="inlineStr"/>
      <c r="G364" s="19" t="inlineStr"/>
      <c r="H364" s="18" t="inlineStr"/>
      <c r="I364" s="20" t="inlineStr"/>
      <c r="J364" s="20" t="inlineStr"/>
      <c r="K364" s="20" t="inlineStr"/>
      <c r="L364" s="20" t="inlineStr"/>
      <c r="M364" s="20" t="inlineStr"/>
      <c r="N364" s="20" t="inlineStr"/>
      <c r="O364" s="20" t="inlineStr"/>
      <c r="P364" s="20" t="inlineStr"/>
      <c r="Q364" s="20" t="inlineStr"/>
      <c r="R364" s="20" t="inlineStr"/>
      <c r="S364" s="20" t="inlineStr"/>
      <c r="T364" s="21" t="n">
        <v>387460.38</v>
      </c>
      <c r="U364" s="22" t="inlineStr">
        <is>
          <t>B</t>
        </is>
      </c>
      <c r="V364" s="23">
        <f>IFERROR(VLOOKUP(U364,Assumptions!$A$7:$D$11,2,FALSE),0)</f>
        <v/>
      </c>
      <c r="W364" s="24">
        <f>MAX(0.5,IFERROR(VLOOKUP(U364,Assumptions!$A$7:$D$11,3,FALSE),3)+IFERROR(VLOOKUP(U364,Assumptions!$A$7:$D$11,4,FALSE),8)/2-IF(AN364="",0,YEAR(TODAY())-AN364))</f>
        <v/>
      </c>
      <c r="X364" s="21">
        <f>T364*V364/(1+Assumptions!$B$3)^W364</f>
        <v/>
      </c>
      <c r="Y364" s="25">
        <f>IF(T364=0,"",ROUND(X364/T364*100,1))</f>
        <v/>
      </c>
      <c r="Z364" s="26">
        <f>X364*Assumptions!$B$4</f>
        <v/>
      </c>
      <c r="AA364" s="25">
        <f>IF(T364=0,"",ROUND(Z364/T364*100,1))</f>
        <v/>
      </c>
      <c r="AB364" s="26">
        <f>X364-Z364</f>
        <v/>
      </c>
      <c r="AC364" s="25">
        <f>IF(T364=0,"",ROUND((X364-Z364)/T364*100,1))</f>
        <v/>
      </c>
      <c r="AD364" s="27" t="inlineStr">
        <is>
          <t>ESTIMATED</t>
        </is>
      </c>
      <c r="AE364" s="28" t="inlineStr">
        <is>
          <t>https://lrflideres.com.br/wp-content/plugins/download-attachments/includes/download.php?id=6252</t>
        </is>
      </c>
      <c r="AF364" s="27" t="inlineStr">
        <is>
          <t>p2 r64</t>
        </is>
      </c>
      <c r="AG364" s="27" t="inlineStr">
        <is>
          <t>p2: R$ 387.460,38</t>
        </is>
      </c>
      <c r="AH364" s="27" t="inlineStr">
        <is>
          <t>AJ_LIST</t>
        </is>
      </c>
      <c r="AI364" s="27" t="inlineStr">
        <is>
          <t>2024-11-27</t>
        </is>
      </c>
      <c r="AJ364" s="27" t="inlineStr">
        <is>
          <t>QUARANTINED</t>
        </is>
      </c>
      <c r="AK364" s="29" t="inlineStr">
        <is>
          <t>0000721-61.2024.8.17.2620</t>
        </is>
      </c>
      <c r="AL364" s="29" t="inlineStr">
        <is>
          <t>TJPE</t>
        </is>
      </c>
      <c r="AM364" s="29" t="inlineStr">
        <is>
          <t>ACTIVE</t>
        </is>
      </c>
      <c r="AN364" s="29" t="n">
        <v>2024</v>
      </c>
      <c r="AO364" s="29" t="inlineStr">
        <is>
          <t>live case, no plan document yet</t>
        </is>
      </c>
      <c r="AP364" s="29" t="inlineStr"/>
      <c r="AQ364" s="29" t="inlineStr"/>
      <c r="AR364" s="29" t="inlineStr"/>
      <c r="AS364" s="29" t="inlineStr"/>
      <c r="AT364" s="29" t="inlineStr">
        <is>
          <t>MID-MARKET</t>
        </is>
      </c>
      <c r="AU364" s="29" t="inlineStr">
        <is>
          <t>33289359</t>
        </is>
      </c>
      <c r="AV364" s="29" t="n">
        <v>1</v>
      </c>
      <c r="AW364" s="29" t="inlineStr">
        <is>
          <t>LIKELY_FINANCIAL_BY_NAME PARTIAL_DOC_CLASS_III_RECONCILED ROWS:p2r64</t>
        </is>
      </c>
    </row>
    <row r="365">
      <c r="A365" s="15" t="inlineStr">
        <is>
          <t>BANCO SICOOB</t>
        </is>
      </c>
      <c r="B365" s="16" t="n">
        <v>599165.83</v>
      </c>
      <c r="C365" s="17" t="inlineStr">
        <is>
          <t>TENDAS E COMPANHIA LTDA</t>
        </is>
      </c>
      <c r="D365" s="18" t="inlineStr">
        <is>
          <t>NEW</t>
        </is>
      </c>
      <c r="E365" s="19" t="inlineStr"/>
      <c r="F365" s="18" t="inlineStr"/>
      <c r="G365" s="19" t="inlineStr"/>
      <c r="H365" s="18" t="inlineStr"/>
      <c r="I365" s="20" t="inlineStr"/>
      <c r="J365" s="20" t="inlineStr"/>
      <c r="K365" s="20" t="inlineStr"/>
      <c r="L365" s="20" t="inlineStr"/>
      <c r="M365" s="20" t="inlineStr"/>
      <c r="N365" s="20" t="inlineStr"/>
      <c r="O365" s="20" t="inlineStr"/>
      <c r="P365" s="20" t="inlineStr"/>
      <c r="Q365" s="20" t="inlineStr"/>
      <c r="R365" s="20" t="inlineStr"/>
      <c r="S365" s="20" t="inlineStr"/>
      <c r="T365" s="21" t="n">
        <v>599165.83</v>
      </c>
      <c r="U365" s="22" t="inlineStr">
        <is>
          <t>B</t>
        </is>
      </c>
      <c r="V365" s="23">
        <f>IFERROR(VLOOKUP(U365,Assumptions!$A$7:$D$11,2,FALSE),0)</f>
        <v/>
      </c>
      <c r="W365" s="24">
        <f>MAX(0.5,IFERROR(VLOOKUP(U365,Assumptions!$A$7:$D$11,3,FALSE),3)+IFERROR(VLOOKUP(U365,Assumptions!$A$7:$D$11,4,FALSE),8)/2-IF(AN365="",0,YEAR(TODAY())-AN365))</f>
        <v/>
      </c>
      <c r="X365" s="21">
        <f>T365*V365/(1+Assumptions!$B$3)^W365</f>
        <v/>
      </c>
      <c r="Y365" s="25">
        <f>IF(T365=0,"",ROUND(X365/T365*100,1))</f>
        <v/>
      </c>
      <c r="Z365" s="26">
        <f>X365*Assumptions!$B$4</f>
        <v/>
      </c>
      <c r="AA365" s="25">
        <f>IF(T365=0,"",ROUND(Z365/T365*100,1))</f>
        <v/>
      </c>
      <c r="AB365" s="26">
        <f>X365-Z365</f>
        <v/>
      </c>
      <c r="AC365" s="25">
        <f>IF(T365=0,"",ROUND((X365-Z365)/T365*100,1))</f>
        <v/>
      </c>
      <c r="AD365" s="27" t="inlineStr">
        <is>
          <t>ESTIMATED</t>
        </is>
      </c>
      <c r="AE365" s="28" t="inlineStr">
        <is>
          <t>https://stenius.com.br/wp-content/uploads/2026/08/1°-EDITAL-GRUPO-TENDAS.pdf</t>
        </is>
      </c>
      <c r="AF365" s="27" t="inlineStr">
        <is>
          <t>p5 r21; p5 r29</t>
        </is>
      </c>
      <c r="AG365" s="27" t="inlineStr">
        <is>
          <t>p5: R$ 580.165,83; p5: R$ 19.000,00</t>
        </is>
      </c>
      <c r="AH365" s="27" t="inlineStr">
        <is>
          <t>AJ_LIST</t>
        </is>
      </c>
      <c r="AI365" s="27" t="inlineStr">
        <is>
          <t>2026-08-13</t>
        </is>
      </c>
      <c r="AJ365" s="27" t="inlineStr">
        <is>
          <t>OK_NO_TOTALS</t>
        </is>
      </c>
      <c r="AK365" s="29" t="inlineStr">
        <is>
          <t>5401053-70.2026.8.09.0051</t>
        </is>
      </c>
      <c r="AL365" s="29" t="inlineStr">
        <is>
          <t>TJGO</t>
        </is>
      </c>
      <c r="AM365" s="29" t="inlineStr">
        <is>
          <t>ACTIVE</t>
        </is>
      </c>
      <c r="AN365" s="29" t="n">
        <v>2026</v>
      </c>
      <c r="AO365" s="29" t="inlineStr">
        <is>
          <t>live case, no plan document yet</t>
        </is>
      </c>
      <c r="AP365" s="29" t="inlineStr"/>
      <c r="AQ365" s="29" t="inlineStr"/>
      <c r="AR365" s="29" t="inlineStr"/>
      <c r="AS365" s="29" t="inlineStr"/>
      <c r="AT365" s="29" t="inlineStr">
        <is>
          <t>MID-MARKET</t>
        </is>
      </c>
      <c r="AU365" s="29" t="inlineStr">
        <is>
          <t>07599206</t>
        </is>
      </c>
      <c r="AV365" s="29" t="n">
        <v>2</v>
      </c>
      <c r="AW365" s="29" t="inlineStr">
        <is>
          <t>LIKELY_FINANCIAL_BY_NAME ROWS:p5r21,p5r29 UNRECONCILED_SOURCE VALUE_COL:Valor</t>
        </is>
      </c>
    </row>
    <row r="366">
      <c r="A366" s="15" t="inlineStr">
        <is>
          <t>ITAU UNIBANCO S.A.</t>
        </is>
      </c>
      <c r="B366" s="16" t="n">
        <v>478222.08</v>
      </c>
      <c r="C366" s="17" t="inlineStr">
        <is>
          <t>ATIVOS ADMINISTRAÇÃO JUDICIA</t>
        </is>
      </c>
      <c r="D366" s="18" t="inlineStr">
        <is>
          <t>NEW</t>
        </is>
      </c>
      <c r="E366" s="19" t="inlineStr"/>
      <c r="F366" s="18" t="inlineStr"/>
      <c r="G366" s="19" t="inlineStr"/>
      <c r="H366" s="18" t="inlineStr"/>
      <c r="I366" s="20" t="inlineStr">
        <is>
          <t>FELIPE SAMPAIO NABUCO</t>
        </is>
      </c>
      <c r="J366" s="20" t="inlineStr">
        <is>
          <t>Administrador</t>
        </is>
      </c>
      <c r="K366" s="20" t="inlineStr">
        <is>
          <t>(11) 3003-4828</t>
        </is>
      </c>
      <c r="L366" s="20" t="inlineStr"/>
      <c r="M366" s="20" t="inlineStr"/>
      <c r="N366" s="20" t="inlineStr"/>
      <c r="O366" s="20" t="inlineStr"/>
      <c r="P366" s="20" t="inlineStr">
        <is>
          <t>MILTON MALUHY FILHO</t>
        </is>
      </c>
      <c r="Q366" s="20" t="inlineStr">
        <is>
          <t>Presidente</t>
        </is>
      </c>
      <c r="R366" s="20" t="inlineStr">
        <is>
          <t>(11) 3003-4828</t>
        </is>
      </c>
      <c r="S366" s="20" t="inlineStr"/>
      <c r="T366" s="21" t="n">
        <v>478222.08</v>
      </c>
      <c r="U366" s="22" t="inlineStr">
        <is>
          <t>B</t>
        </is>
      </c>
      <c r="V366" s="23">
        <f>IFERROR(VLOOKUP(U366,Assumptions!$A$7:$D$11,2,FALSE),0)</f>
        <v/>
      </c>
      <c r="W366" s="24">
        <f>MAX(0.5,IFERROR(VLOOKUP(U366,Assumptions!$A$7:$D$11,3,FALSE),3)+IFERROR(VLOOKUP(U366,Assumptions!$A$7:$D$11,4,FALSE),8)/2-IF(AN366="",0,YEAR(TODAY())-AN366))</f>
        <v/>
      </c>
      <c r="X366" s="21">
        <f>T366*V366/(1+Assumptions!$B$3)^W366</f>
        <v/>
      </c>
      <c r="Y366" s="25">
        <f>IF(T366=0,"",ROUND(X366/T366*100,1))</f>
        <v/>
      </c>
      <c r="Z366" s="26">
        <f>X366*Assumptions!$B$4</f>
        <v/>
      </c>
      <c r="AA366" s="25">
        <f>IF(T366=0,"",ROUND(Z366/T366*100,1))</f>
        <v/>
      </c>
      <c r="AB366" s="26">
        <f>X366-Z366</f>
        <v/>
      </c>
      <c r="AC366" s="25">
        <f>IF(T366=0,"",ROUND((X366-Z366)/T366*100,1))</f>
        <v/>
      </c>
      <c r="AD366" s="27" t="inlineStr">
        <is>
          <t>ESTIMATED</t>
        </is>
      </c>
      <c r="AE366" s="28" t="inlineStr">
        <is>
          <t>https://ativosajce.com.br/admin/download.php?file=files/processo_documento/processo_documento13422625032025_1_.pdf&amp;nome=Relação de Credores - Art. 52º § 1º, da Lei nº 11.101/2005 - 25/02/2025</t>
        </is>
      </c>
      <c r="AF366" s="27" t="inlineStr">
        <is>
          <t>p4 r36; p4 r37</t>
        </is>
      </c>
      <c r="AG366" s="27" t="inlineStr">
        <is>
          <t>p4: R$ 237.996,72; p4: R$ 240.225,36</t>
        </is>
      </c>
      <c r="AH366" s="27" t="inlineStr">
        <is>
          <t>UNKNOWN</t>
        </is>
      </c>
      <c r="AI366" s="27" t="inlineStr">
        <is>
          <t>2025-02-28</t>
        </is>
      </c>
      <c r="AJ366" s="27" t="inlineStr">
        <is>
          <t>OK_NO_TOTALS</t>
        </is>
      </c>
      <c r="AK366" s="29" t="inlineStr">
        <is>
          <t>1000119-75.2025.8.26.0354</t>
        </is>
      </c>
      <c r="AL366" s="29" t="inlineStr">
        <is>
          <t>TJSP</t>
        </is>
      </c>
      <c r="AM366" s="29" t="inlineStr">
        <is>
          <t>ACTIVE</t>
        </is>
      </c>
      <c r="AN366" s="29" t="n">
        <v>2025</v>
      </c>
      <c r="AO366" s="29" t="inlineStr">
        <is>
          <t>live case, no plan document yet</t>
        </is>
      </c>
      <c r="AP366" s="29" t="inlineStr">
        <is>
          <t>SAO PAULO</t>
        </is>
      </c>
      <c r="AQ366" s="29" t="inlineStr">
        <is>
          <t>SP</t>
        </is>
      </c>
      <c r="AR366" s="29" t="inlineStr">
        <is>
          <t>Bancos comerciais</t>
        </is>
      </c>
      <c r="AS366" s="29" t="inlineStr">
        <is>
          <t>DEMAIS</t>
        </is>
      </c>
      <c r="AT366" s="29" t="inlineStr">
        <is>
          <t>LARGE CORP</t>
        </is>
      </c>
      <c r="AU366" s="29" t="inlineStr">
        <is>
          <t>60701190</t>
        </is>
      </c>
      <c r="AV366" s="29" t="n">
        <v>2</v>
      </c>
      <c r="AW366" s="29" t="inlineStr">
        <is>
          <t>LIKELY_FINANCIAL_BY_NAME ROWS:p4r36,p4r37 UNRECONCILED_SOURCE</t>
        </is>
      </c>
    </row>
    <row r="367">
      <c r="A367" s="15" t="inlineStr">
        <is>
          <t>Fundo De Investimento Em Direitos Creditorios - Não Padronizados Daniele</t>
        </is>
      </c>
      <c r="B367" s="16" t="n">
        <v>301000</v>
      </c>
      <c r="C367" s="17" t="inlineStr">
        <is>
          <t>ADVOCACIA WANDERLEI DE PAULA BARRETO</t>
        </is>
      </c>
      <c r="D367" s="18" t="inlineStr">
        <is>
          <t>NEW</t>
        </is>
      </c>
      <c r="E367" s="19" t="inlineStr"/>
      <c r="F367" s="18" t="inlineStr"/>
      <c r="G367" s="19" t="inlineStr"/>
      <c r="H367" s="18" t="inlineStr"/>
      <c r="I367" s="20" t="inlineStr"/>
      <c r="J367" s="20" t="inlineStr"/>
      <c r="K367" s="20" t="inlineStr"/>
      <c r="L367" s="20" t="inlineStr"/>
      <c r="M367" s="20" t="inlineStr"/>
      <c r="N367" s="20" t="inlineStr"/>
      <c r="O367" s="20" t="inlineStr"/>
      <c r="P367" s="20" t="inlineStr"/>
      <c r="Q367" s="20" t="inlineStr"/>
      <c r="R367" s="20" t="inlineStr"/>
      <c r="S367" s="20" t="inlineStr"/>
      <c r="T367" s="21" t="n">
        <v>301000</v>
      </c>
      <c r="U367" s="22" t="inlineStr">
        <is>
          <t>B</t>
        </is>
      </c>
      <c r="V367" s="23">
        <f>IFERROR(VLOOKUP(U367,Assumptions!$A$7:$D$11,2,FALSE),0)</f>
        <v/>
      </c>
      <c r="W367" s="24">
        <f>MAX(0.5,IFERROR(VLOOKUP(U367,Assumptions!$A$7:$D$11,3,FALSE),3)+IFERROR(VLOOKUP(U367,Assumptions!$A$7:$D$11,4,FALSE),8)/2-IF(AN367="",0,YEAR(TODAY())-AN367))</f>
        <v/>
      </c>
      <c r="X367" s="21">
        <f>T367*V367/(1+Assumptions!$B$3)^W367</f>
        <v/>
      </c>
      <c r="Y367" s="25">
        <f>IF(T367=0,"",ROUND(X367/T367*100,1))</f>
        <v/>
      </c>
      <c r="Z367" s="26">
        <f>X367*Assumptions!$B$4</f>
        <v/>
      </c>
      <c r="AA367" s="25">
        <f>IF(T367=0,"",ROUND(Z367/T367*100,1))</f>
        <v/>
      </c>
      <c r="AB367" s="26">
        <f>X367-Z367</f>
        <v/>
      </c>
      <c r="AC367" s="25">
        <f>IF(T367=0,"",ROUND((X367-Z367)/T367*100,1))</f>
        <v/>
      </c>
      <c r="AD367" s="27" t="inlineStr">
        <is>
          <t>ESTIMATED</t>
        </is>
      </c>
      <c r="AE367" s="28" t="inlineStr">
        <is>
          <t>https://marquesadmjudicial.com.br/sgc/download.php?file=files/processo_documento/processo_documento17040729052024_1_.pdf&amp;nome=Relação Nominal de Credores AJ-Sintética</t>
        </is>
      </c>
      <c r="AF367" s="27" t="inlineStr">
        <is>
          <t>p11 r8</t>
        </is>
      </c>
      <c r="AG367" s="27" t="inlineStr">
        <is>
          <t>p11: R$ 301.000,00</t>
        </is>
      </c>
      <c r="AH367" s="27" t="inlineStr">
        <is>
          <t>AJ_LIST</t>
        </is>
      </c>
      <c r="AI367" s="27" t="inlineStr">
        <is>
          <t>2024-05-27</t>
        </is>
      </c>
      <c r="AJ367" s="27" t="inlineStr">
        <is>
          <t>QUARANTINED</t>
        </is>
      </c>
      <c r="AK367" s="29" t="inlineStr">
        <is>
          <t>0003971-03.2023.8.16.0119</t>
        </is>
      </c>
      <c r="AL367" s="29" t="inlineStr">
        <is>
          <t>TJPR</t>
        </is>
      </c>
      <c r="AM367" s="29" t="inlineStr">
        <is>
          <t>ACTIVE</t>
        </is>
      </c>
      <c r="AN367" s="29" t="n">
        <v>2023</v>
      </c>
      <c r="AO367" s="29" t="inlineStr">
        <is>
          <t>live case, no plan document yet</t>
        </is>
      </c>
      <c r="AP367" s="29" t="inlineStr"/>
      <c r="AQ367" s="29" t="inlineStr"/>
      <c r="AR367" s="29" t="inlineStr"/>
      <c r="AS367" s="29" t="inlineStr"/>
      <c r="AT367" s="29" t="inlineStr">
        <is>
          <t>MID-MARKET</t>
        </is>
      </c>
      <c r="AU367" s="29" t="inlineStr">
        <is>
          <t>11491061</t>
        </is>
      </c>
      <c r="AV367" s="29" t="n">
        <v>1</v>
      </c>
      <c r="AW367" s="29" t="inlineStr">
        <is>
          <t>LIKELY_FINANCIAL_BY_NAME PARTIAL_DOC_CLASS_III_RECONCILED ROWS:p11r8</t>
        </is>
      </c>
    </row>
    <row r="368">
      <c r="A368" s="15" t="inlineStr">
        <is>
          <t>BANCO BRADESCO S.A.</t>
        </is>
      </c>
      <c r="B368" s="16" t="n">
        <v>470302.13</v>
      </c>
      <c r="C368" s="17" t="inlineStr">
        <is>
          <t>ARRUDA &amp; MELO COMERCIO E DISTRIBUICAO DE ALIMENTOS E BEBIDAS LTDA</t>
        </is>
      </c>
      <c r="D368" s="18" t="inlineStr">
        <is>
          <t>NEW</t>
        </is>
      </c>
      <c r="E368" s="19" t="inlineStr"/>
      <c r="F368" s="18" t="inlineStr"/>
      <c r="G368" s="19" t="inlineStr"/>
      <c r="H368" s="18" t="inlineStr"/>
      <c r="I368" s="20" t="inlineStr">
        <is>
          <t>MARCELO DE ARAUJO NORONHA</t>
        </is>
      </c>
      <c r="J368" s="20" t="inlineStr">
        <is>
          <t>Presidente</t>
        </is>
      </c>
      <c r="K368" s="20" t="inlineStr">
        <is>
          <t>(11) 3684-5122</t>
        </is>
      </c>
      <c r="L368" s="20" t="inlineStr"/>
      <c r="M368" s="20" t="inlineStr"/>
      <c r="N368" s="20" t="inlineStr"/>
      <c r="O368" s="20" t="inlineStr"/>
      <c r="P368" s="20" t="inlineStr">
        <is>
          <t>AFRANIO CARLOS CAMARGO DANTZGER</t>
        </is>
      </c>
      <c r="Q368" s="20" t="inlineStr">
        <is>
          <t>Diretor</t>
        </is>
      </c>
      <c r="R368" s="20" t="inlineStr">
        <is>
          <t>(11) 3684-5122</t>
        </is>
      </c>
      <c r="S368" s="20" t="inlineStr"/>
      <c r="T368" s="21" t="n">
        <v>470302.13</v>
      </c>
      <c r="U368" s="22" t="inlineStr">
        <is>
          <t>B</t>
        </is>
      </c>
      <c r="V368" s="23">
        <f>IFERROR(VLOOKUP(U368,Assumptions!$A$7:$D$11,2,FALSE),0)</f>
        <v/>
      </c>
      <c r="W368" s="24">
        <f>MAX(0.5,IFERROR(VLOOKUP(U368,Assumptions!$A$7:$D$11,3,FALSE),3)+IFERROR(VLOOKUP(U368,Assumptions!$A$7:$D$11,4,FALSE),8)/2-IF(AN368="",0,YEAR(TODAY())-AN368))</f>
        <v/>
      </c>
      <c r="X368" s="21">
        <f>T368*V368/(1+Assumptions!$B$3)^W368</f>
        <v/>
      </c>
      <c r="Y368" s="25">
        <f>IF(T368=0,"",ROUND(X368/T368*100,1))</f>
        <v/>
      </c>
      <c r="Z368" s="26">
        <f>X368*Assumptions!$B$4</f>
        <v/>
      </c>
      <c r="AA368" s="25">
        <f>IF(T368=0,"",ROUND(Z368/T368*100,1))</f>
        <v/>
      </c>
      <c r="AB368" s="26">
        <f>X368-Z368</f>
        <v/>
      </c>
      <c r="AC368" s="25">
        <f>IF(T368=0,"",ROUND((X368-Z368)/T368*100,1))</f>
        <v/>
      </c>
      <c r="AD368" s="27" t="inlineStr">
        <is>
          <t>ESTIMATED</t>
        </is>
      </c>
      <c r="AE368" s="28" t="inlineStr">
        <is>
          <t>https://diligence.adm.br/wp-content/uploads/2025/06/Edital-1a-Lista-de-Credores.pdf</t>
        </is>
      </c>
      <c r="AF368" s="27" t="inlineStr">
        <is>
          <t>p5 r49</t>
        </is>
      </c>
      <c r="AG368" s="27" t="inlineStr">
        <is>
          <t>p5: R$ 470.302,13</t>
        </is>
      </c>
      <c r="AH368" s="27" t="inlineStr">
        <is>
          <t>DEBTOR_LIST</t>
        </is>
      </c>
      <c r="AI368" s="27" t="inlineStr">
        <is>
          <t>2025-06-10</t>
        </is>
      </c>
      <c r="AJ368" s="27" t="inlineStr">
        <is>
          <t>OK</t>
        </is>
      </c>
      <c r="AK368" s="29" t="inlineStr">
        <is>
          <t>0008526-45.2025.8.17.2001</t>
        </is>
      </c>
      <c r="AL368" s="29" t="inlineStr">
        <is>
          <t>TJPE</t>
        </is>
      </c>
      <c r="AM368" s="29" t="inlineStr">
        <is>
          <t>ACTIVE</t>
        </is>
      </c>
      <c r="AN368" s="29" t="n">
        <v>2025</v>
      </c>
      <c r="AO368" s="29" t="inlineStr">
        <is>
          <t>live case, no plan document yet</t>
        </is>
      </c>
      <c r="AP368" s="29" t="inlineStr">
        <is>
          <t>OSASCO</t>
        </is>
      </c>
      <c r="AQ368" s="29" t="inlineStr">
        <is>
          <t>SP</t>
        </is>
      </c>
      <c r="AR368" s="29" t="inlineStr">
        <is>
          <t>Bancos múltiplos, com carteira comercial</t>
        </is>
      </c>
      <c r="AS368" s="29" t="inlineStr">
        <is>
          <t>DEMAIS</t>
        </is>
      </c>
      <c r="AT368" s="29" t="inlineStr">
        <is>
          <t>LARGE CORP</t>
        </is>
      </c>
      <c r="AU368" s="29" t="inlineStr">
        <is>
          <t>60746948</t>
        </is>
      </c>
      <c r="AV368" s="29" t="n">
        <v>1</v>
      </c>
      <c r="AW368" s="29" t="inlineStr">
        <is>
          <t>LIKELY_FINANCIAL_BY_NAME ROWS:p5r49</t>
        </is>
      </c>
    </row>
    <row r="369">
      <c r="A369" s="15" t="inlineStr">
        <is>
          <t>BR CONSORCIOS ADMINISTRADORA DE CONSORCIOS LTDA</t>
        </is>
      </c>
      <c r="B369" s="16" t="n">
        <v>432821.52</v>
      </c>
      <c r="C369" s="17" t="inlineStr">
        <is>
          <t>COMERCIO RACOES BEM BOM LTDA</t>
        </is>
      </c>
      <c r="D369" s="18" t="inlineStr">
        <is>
          <t>NEW</t>
        </is>
      </c>
      <c r="E369" s="19" t="inlineStr"/>
      <c r="F369" s="18" t="inlineStr"/>
      <c r="G369" s="19" t="inlineStr"/>
      <c r="H369" s="18" t="inlineStr"/>
      <c r="I369" s="20" t="inlineStr">
        <is>
          <t>HUMBERTO BARTOL MAZZOTTI</t>
        </is>
      </c>
      <c r="J369" s="20" t="inlineStr">
        <is>
          <t>Administrador</t>
        </is>
      </c>
      <c r="K369" s="20" t="inlineStr">
        <is>
          <t>(43) 3377-7400</t>
        </is>
      </c>
      <c r="L369" s="20" t="inlineStr"/>
      <c r="M369" s="20" t="inlineStr"/>
      <c r="N369" s="20" t="inlineStr"/>
      <c r="O369" s="20" t="inlineStr"/>
      <c r="P369" s="20" t="inlineStr">
        <is>
          <t>RODOLFO GARCIA MONTOSA</t>
        </is>
      </c>
      <c r="Q369" s="20" t="inlineStr">
        <is>
          <t>Administrador</t>
        </is>
      </c>
      <c r="R369" s="20" t="inlineStr">
        <is>
          <t>(43) 3377-7400</t>
        </is>
      </c>
      <c r="S369" s="20" t="inlineStr"/>
      <c r="T369" s="21" t="n">
        <v>432821.52</v>
      </c>
      <c r="U369" s="32" t="inlineStr">
        <is>
          <t>A</t>
        </is>
      </c>
      <c r="V369" s="23">
        <f>IFERROR(VLOOKUP(U369,Assumptions!$A$7:$D$11,2,FALSE),0)</f>
        <v/>
      </c>
      <c r="W369" s="24">
        <f>MAX(0.5,IFERROR(VLOOKUP(U369,Assumptions!$A$7:$D$11,3,FALSE),3)+IFERROR(VLOOKUP(U369,Assumptions!$A$7:$D$11,4,FALSE),8)/2-IF(AN369="",0,YEAR(TODAY())-AN369))</f>
        <v/>
      </c>
      <c r="X369" s="21">
        <f>T369*V369/(1+Assumptions!$B$3)^W369</f>
        <v/>
      </c>
      <c r="Y369" s="25">
        <f>IF(T369=0,"",ROUND(X369/T369*100,1))</f>
        <v/>
      </c>
      <c r="Z369" s="26">
        <f>X369*Assumptions!$B$4</f>
        <v/>
      </c>
      <c r="AA369" s="25">
        <f>IF(T369=0,"",ROUND(Z369/T369*100,1))</f>
        <v/>
      </c>
      <c r="AB369" s="26">
        <f>X369-Z369</f>
        <v/>
      </c>
      <c r="AC369" s="25">
        <f>IF(T369=0,"",ROUND((X369-Z369)/T369*100,1))</f>
        <v/>
      </c>
      <c r="AD369" s="27" t="inlineStr">
        <is>
          <t>CONFIRMED</t>
        </is>
      </c>
      <c r="AE369" s="28" t="inlineStr">
        <is>
          <t>https://stenius.com.br/wp-content/uploads/2026/06/EDITAL-GRUPO-3E.pdf</t>
        </is>
      </c>
      <c r="AF369" s="27" t="inlineStr">
        <is>
          <t>p10 r71</t>
        </is>
      </c>
      <c r="AG369" s="27" t="inlineStr">
        <is>
          <t>p10: R$ 432.821,52</t>
        </is>
      </c>
      <c r="AH369" s="27" t="inlineStr">
        <is>
          <t>DEBTOR_LIST</t>
        </is>
      </c>
      <c r="AI369" s="27" t="inlineStr">
        <is>
          <t>2026-06-22</t>
        </is>
      </c>
      <c r="AJ369" s="27" t="inlineStr">
        <is>
          <t>OK_NO_TOTALS</t>
        </is>
      </c>
      <c r="AK369" s="29" t="inlineStr">
        <is>
          <t>5341375-33.2026.8.09.0049</t>
        </is>
      </c>
      <c r="AL369" s="29" t="inlineStr">
        <is>
          <t>TJGO</t>
        </is>
      </c>
      <c r="AM369" s="29" t="inlineStr">
        <is>
          <t>ACTIVE</t>
        </is>
      </c>
      <c r="AN369" s="29" t="n">
        <v>2026</v>
      </c>
      <c r="AO369" s="29" t="inlineStr">
        <is>
          <t>plan/homologation document found</t>
        </is>
      </c>
      <c r="AP369" s="29" t="inlineStr">
        <is>
          <t>LONDRINA</t>
        </is>
      </c>
      <c r="AQ369" s="29" t="inlineStr">
        <is>
          <t>PR</t>
        </is>
      </c>
      <c r="AR369" s="29" t="inlineStr">
        <is>
          <t>Administração de consórcios para aquisição de bens e direitos</t>
        </is>
      </c>
      <c r="AS369" s="29" t="inlineStr">
        <is>
          <t>DEMAIS</t>
        </is>
      </c>
      <c r="AT369" s="29" t="inlineStr">
        <is>
          <t>MID-MARKET</t>
        </is>
      </c>
      <c r="AU369" s="29" t="inlineStr">
        <is>
          <t>14723388</t>
        </is>
      </c>
      <c r="AV369" s="29" t="n">
        <v>1</v>
      </c>
      <c r="AW369" s="29" t="inlineStr">
        <is>
          <t>ROWS:p10r71 UNRECONCILED_SOURCE</t>
        </is>
      </c>
    </row>
    <row r="370">
      <c r="A370" s="15" t="inlineStr">
        <is>
          <t>COOPERATIVA DE CREDITO E ECONOMIA COM INTERACAO SOLIDARIA DE CHAPECO - CRESOL CHAPECO (</t>
        </is>
      </c>
      <c r="B370" s="16" t="n">
        <v>295395.13</v>
      </c>
      <c r="C370" s="17" t="inlineStr">
        <is>
          <t>GAMAC IMPORTACAO E EXPORTACAO LTDA</t>
        </is>
      </c>
      <c r="D370" s="18" t="inlineStr">
        <is>
          <t>NEW</t>
        </is>
      </c>
      <c r="E370" s="19" t="inlineStr"/>
      <c r="F370" s="18" t="inlineStr"/>
      <c r="G370" s="19" t="inlineStr"/>
      <c r="H370" s="18" t="inlineStr"/>
      <c r="I370" s="20" t="inlineStr"/>
      <c r="J370" s="20" t="inlineStr"/>
      <c r="K370" s="20" t="inlineStr"/>
      <c r="L370" s="20" t="inlineStr"/>
      <c r="M370" s="20" t="inlineStr"/>
      <c r="N370" s="20" t="inlineStr"/>
      <c r="O370" s="20" t="inlineStr"/>
      <c r="P370" s="20" t="inlineStr"/>
      <c r="Q370" s="20" t="inlineStr"/>
      <c r="R370" s="20" t="inlineStr"/>
      <c r="S370" s="20" t="inlineStr"/>
      <c r="T370" s="21" t="n">
        <v>295395.13</v>
      </c>
      <c r="U370" s="22" t="inlineStr">
        <is>
          <t>B</t>
        </is>
      </c>
      <c r="V370" s="23">
        <f>IFERROR(VLOOKUP(U370,Assumptions!$A$7:$D$11,2,FALSE),0)</f>
        <v/>
      </c>
      <c r="W370" s="24">
        <f>MAX(0.5,IFERROR(VLOOKUP(U370,Assumptions!$A$7:$D$11,3,FALSE),3)+IFERROR(VLOOKUP(U370,Assumptions!$A$7:$D$11,4,FALSE),8)/2-IF(AN370="",0,YEAR(TODAY())-AN370))</f>
        <v/>
      </c>
      <c r="X370" s="21">
        <f>T370*V370/(1+Assumptions!$B$3)^W370</f>
        <v/>
      </c>
      <c r="Y370" s="25">
        <f>IF(T370=0,"",ROUND(X370/T370*100,1))</f>
        <v/>
      </c>
      <c r="Z370" s="26">
        <f>X370*Assumptions!$B$4</f>
        <v/>
      </c>
      <c r="AA370" s="25">
        <f>IF(T370=0,"",ROUND(Z370/T370*100,1))</f>
        <v/>
      </c>
      <c r="AB370" s="26">
        <f>X370-Z370</f>
        <v/>
      </c>
      <c r="AC370" s="25">
        <f>IF(T370=0,"",ROUND((X370-Z370)/T370*100,1))</f>
        <v/>
      </c>
      <c r="AD370" s="27" t="inlineStr">
        <is>
          <t>ESTIMATED</t>
        </is>
      </c>
      <c r="AE370" s="28" t="inlineStr">
        <is>
          <t>https://scalzilliaj.com.br/sgc/download.php?file=files/processo_documento/processo_documento10141405032024_1_.pdf&amp;nome=10 - Edital do art. 7º, §2º da Lei 11.101/2005 (segunda lista de credores)</t>
        </is>
      </c>
      <c r="AF370" s="27" t="inlineStr">
        <is>
          <t>p2 r3</t>
        </is>
      </c>
      <c r="AG370" s="27" t="inlineStr">
        <is>
          <t>p2: R$ 295.395,13</t>
        </is>
      </c>
      <c r="AH370" s="27" t="inlineStr">
        <is>
          <t>QGC</t>
        </is>
      </c>
      <c r="AI370" s="27" t="inlineStr">
        <is>
          <t>2024-03-05</t>
        </is>
      </c>
      <c r="AJ370" s="27" t="inlineStr">
        <is>
          <t>OK_NO_TOTALS</t>
        </is>
      </c>
      <c r="AK370" s="29" t="inlineStr">
        <is>
          <t>5012295-78.2023.8.24.0019</t>
        </is>
      </c>
      <c r="AL370" s="29" t="inlineStr">
        <is>
          <t>TJSC</t>
        </is>
      </c>
      <c r="AM370" s="29" t="inlineStr">
        <is>
          <t>ACTIVE</t>
        </is>
      </c>
      <c r="AN370" s="29" t="n">
        <v>2023</v>
      </c>
      <c r="AO370" s="29" t="inlineStr">
        <is>
          <t>live case, no plan document yet</t>
        </is>
      </c>
      <c r="AP370" s="29" t="inlineStr"/>
      <c r="AQ370" s="29" t="inlineStr"/>
      <c r="AR370" s="29" t="inlineStr"/>
      <c r="AS370" s="29" t="inlineStr"/>
      <c r="AT370" s="29" t="inlineStr">
        <is>
          <t>MID-MARKET</t>
        </is>
      </c>
      <c r="AU370" s="29" t="inlineStr">
        <is>
          <t>04281182</t>
        </is>
      </c>
      <c r="AV370" s="29" t="n">
        <v>1</v>
      </c>
      <c r="AW370" s="29" t="inlineStr">
        <is>
          <t>LIKELY_FINANCIAL_BY_NAME ROWS:p2r3 UNRECONCILED_SOURCE</t>
        </is>
      </c>
    </row>
    <row r="371">
      <c r="A371" s="15" t="inlineStr">
        <is>
          <t>COOPERATIVA DE CRÉDITO RURAL DO ALTO PAJEU LTDA.</t>
        </is>
      </c>
      <c r="B371" s="16" t="n">
        <v>334273.09</v>
      </c>
      <c r="C371" s="17" t="inlineStr">
        <is>
          <t>AGROPECUÁRIA SERROTE REDONDO – LRF Líderes em Recuperação Judicial e Falência</t>
        </is>
      </c>
      <c r="D371" s="18" t="inlineStr">
        <is>
          <t>NEW</t>
        </is>
      </c>
      <c r="E371" s="19" t="inlineStr"/>
      <c r="F371" s="18" t="inlineStr"/>
      <c r="G371" s="19" t="inlineStr"/>
      <c r="H371" s="18" t="inlineStr"/>
      <c r="I371" s="20" t="inlineStr"/>
      <c r="J371" s="20" t="inlineStr"/>
      <c r="K371" s="20" t="inlineStr"/>
      <c r="L371" s="20" t="inlineStr"/>
      <c r="M371" s="20" t="inlineStr"/>
      <c r="N371" s="20" t="inlineStr"/>
      <c r="O371" s="20" t="inlineStr"/>
      <c r="P371" s="20" t="inlineStr"/>
      <c r="Q371" s="20" t="inlineStr"/>
      <c r="R371" s="20" t="inlineStr"/>
      <c r="S371" s="20" t="inlineStr"/>
      <c r="T371" s="21" t="n">
        <v>334273.09</v>
      </c>
      <c r="U371" s="31" t="inlineStr">
        <is>
          <t>C</t>
        </is>
      </c>
      <c r="V371" s="23">
        <f>IFERROR(VLOOKUP(U371,Assumptions!$A$7:$D$11,2,FALSE),0)</f>
        <v/>
      </c>
      <c r="W371" s="24">
        <f>MAX(0.5,IFERROR(VLOOKUP(U371,Assumptions!$A$7:$D$11,3,FALSE),3)+IFERROR(VLOOKUP(U371,Assumptions!$A$7:$D$11,4,FALSE),8)/2-IF(AN371="",0,YEAR(TODAY())-AN371))</f>
        <v/>
      </c>
      <c r="X371" s="21">
        <f>T371*V371/(1+Assumptions!$B$3)^W371</f>
        <v/>
      </c>
      <c r="Y371" s="25">
        <f>IF(T371=0,"",ROUND(X371/T371*100,1))</f>
        <v/>
      </c>
      <c r="Z371" s="26">
        <f>X371*Assumptions!$B$4</f>
        <v/>
      </c>
      <c r="AA371" s="25">
        <f>IF(T371=0,"",ROUND(Z371/T371*100,1))</f>
        <v/>
      </c>
      <c r="AB371" s="26">
        <f>X371-Z371</f>
        <v/>
      </c>
      <c r="AC371" s="25">
        <f>IF(T371=0,"",ROUND((X371-Z371)/T371*100,1))</f>
        <v/>
      </c>
      <c r="AD371" s="27" t="inlineStr">
        <is>
          <t>UNKNOWN</t>
        </is>
      </c>
      <c r="AE371" s="28" t="inlineStr">
        <is>
          <t>https://lrflideres.com.br/wp-content/plugins/download-attachments/includes/download.php?id=5001</t>
        </is>
      </c>
      <c r="AF371" s="27" t="inlineStr">
        <is>
          <t>p1 r29</t>
        </is>
      </c>
      <c r="AG371" s="27" t="inlineStr">
        <is>
          <t>p1: R$ 334.273,09</t>
        </is>
      </c>
      <c r="AH371" s="27" t="inlineStr">
        <is>
          <t>UNKNOWN</t>
        </is>
      </c>
      <c r="AI371" s="27" t="inlineStr"/>
      <c r="AJ371" s="27" t="inlineStr">
        <is>
          <t>OK</t>
        </is>
      </c>
      <c r="AK371" s="29" t="inlineStr">
        <is>
          <t>0000206-69.2013.8.17.1340</t>
        </is>
      </c>
      <c r="AL371" s="29" t="inlineStr">
        <is>
          <t>TJ</t>
        </is>
      </c>
      <c r="AM371" s="29" t="inlineStr"/>
      <c r="AN371" s="29" t="n">
        <v>2013</v>
      </c>
      <c r="AO371" s="29" t="inlineStr">
        <is>
          <t>13y since filing, no plan document</t>
        </is>
      </c>
      <c r="AP371" s="29" t="inlineStr"/>
      <c r="AQ371" s="29" t="inlineStr"/>
      <c r="AR371" s="29" t="inlineStr"/>
      <c r="AS371" s="29" t="inlineStr"/>
      <c r="AT371" s="29" t="inlineStr">
        <is>
          <t>MID-MARKET</t>
        </is>
      </c>
      <c r="AU371" s="29" t="inlineStr">
        <is>
          <t>03732359</t>
        </is>
      </c>
      <c r="AV371" s="29" t="n">
        <v>1</v>
      </c>
      <c r="AW371" s="29" t="inlineStr">
        <is>
          <t>ALT_VALUE:334.273,09 LIKELY_FINANCIAL_BY_NAME ROWS:p1r29 VALUE_COL:Valor_Atualizado</t>
        </is>
      </c>
    </row>
    <row r="372">
      <c r="A372" s="15" t="inlineStr">
        <is>
          <t>FUNDO DE INVESTIMENTOS EM DIREITOS CREDITÓRIOS - EXODUS III</t>
        </is>
      </c>
      <c r="B372" s="16" t="n">
        <v>332680</v>
      </c>
      <c r="C372" s="17" t="inlineStr"/>
      <c r="D372" s="18" t="inlineStr">
        <is>
          <t>NEW</t>
        </is>
      </c>
      <c r="E372" s="19" t="inlineStr"/>
      <c r="F372" s="18" t="inlineStr"/>
      <c r="G372" s="19" t="inlineStr"/>
      <c r="H372" s="18" t="inlineStr"/>
      <c r="I372" s="20" t="inlineStr"/>
      <c r="J372" s="20" t="inlineStr"/>
      <c r="K372" s="20" t="inlineStr"/>
      <c r="L372" s="20" t="inlineStr"/>
      <c r="M372" s="20" t="inlineStr"/>
      <c r="N372" s="20" t="inlineStr"/>
      <c r="O372" s="20" t="inlineStr"/>
      <c r="P372" s="20" t="inlineStr"/>
      <c r="Q372" s="20" t="inlineStr"/>
      <c r="R372" s="20" t="inlineStr"/>
      <c r="S372" s="20" t="inlineStr"/>
      <c r="T372" s="21" t="n">
        <v>332680</v>
      </c>
      <c r="U372" s="31" t="inlineStr">
        <is>
          <t>C</t>
        </is>
      </c>
      <c r="V372" s="23">
        <f>IFERROR(VLOOKUP(U372,Assumptions!$A$7:$D$11,2,FALSE),0)</f>
        <v/>
      </c>
      <c r="W372" s="24">
        <f>MAX(0.5,IFERROR(VLOOKUP(U372,Assumptions!$A$7:$D$11,3,FALSE),3)+IFERROR(VLOOKUP(U372,Assumptions!$A$7:$D$11,4,FALSE),8)/2-IF(AN372="",0,YEAR(TODAY())-AN372))</f>
        <v/>
      </c>
      <c r="X372" s="21">
        <f>T372*V372/(1+Assumptions!$B$3)^W372</f>
        <v/>
      </c>
      <c r="Y372" s="25">
        <f>IF(T372=0,"",ROUND(X372/T372*100,1))</f>
        <v/>
      </c>
      <c r="Z372" s="26">
        <f>X372*Assumptions!$B$4</f>
        <v/>
      </c>
      <c r="AA372" s="25">
        <f>IF(T372=0,"",ROUND(Z372/T372*100,1))</f>
        <v/>
      </c>
      <c r="AB372" s="26">
        <f>X372-Z372</f>
        <v/>
      </c>
      <c r="AC372" s="25">
        <f>IF(T372=0,"",ROUND((X372-Z372)/T372*100,1))</f>
        <v/>
      </c>
      <c r="AD372" s="27" t="inlineStr">
        <is>
          <t>UNKNOWN</t>
        </is>
      </c>
      <c r="AE372" s="28" t="inlineStr">
        <is>
          <t>https://administradorajudicialgs.com.br/wp-content/uploads/2024/12/relacao-de-credores-da-falida.pdf</t>
        </is>
      </c>
      <c r="AF372" s="27" t="inlineStr">
        <is>
          <t>p14 r56</t>
        </is>
      </c>
      <c r="AG372" s="27" t="inlineStr">
        <is>
          <t>p14: R$ 332.680,00</t>
        </is>
      </c>
      <c r="AH372" s="27" t="inlineStr">
        <is>
          <t>UNKNOWN</t>
        </is>
      </c>
      <c r="AI372" s="27" t="inlineStr">
        <is>
          <t>2025-03-25</t>
        </is>
      </c>
      <c r="AJ372" s="27" t="inlineStr">
        <is>
          <t>OK_NO_TOTALS</t>
        </is>
      </c>
      <c r="AK372" s="29" t="inlineStr">
        <is>
          <t>0005010-50.2013.8.24.0026</t>
        </is>
      </c>
      <c r="AL372" s="29" t="inlineStr">
        <is>
          <t>TJ</t>
        </is>
      </c>
      <c r="AM372" s="29" t="inlineStr"/>
      <c r="AN372" s="29" t="n">
        <v>2013</v>
      </c>
      <c r="AO372" s="29" t="inlineStr">
        <is>
          <t>13y since filing, no plan document</t>
        </is>
      </c>
      <c r="AP372" s="29" t="inlineStr"/>
      <c r="AQ372" s="29" t="inlineStr"/>
      <c r="AR372" s="29" t="inlineStr"/>
      <c r="AS372" s="29" t="inlineStr"/>
      <c r="AT372" s="29" t="inlineStr">
        <is>
          <t>MID-MARKET</t>
        </is>
      </c>
      <c r="AU372" s="29" t="inlineStr">
        <is>
          <t>33918160</t>
        </is>
      </c>
      <c r="AV372" s="29" t="n">
        <v>1</v>
      </c>
      <c r="AW372" s="29" t="inlineStr">
        <is>
          <t>LIKELY_FINANCIAL_BY_NAME ROWS:p14r56 UNRECONCILED_SOURCE</t>
        </is>
      </c>
    </row>
    <row r="373">
      <c r="A373" s="15" t="inlineStr">
        <is>
          <t>BANCO DO BRASIL SA</t>
        </is>
      </c>
      <c r="B373" s="16" t="n">
        <v>324716.74</v>
      </c>
      <c r="C373" s="17" t="inlineStr">
        <is>
          <t>AGROPECUÁRIA SERROTE REDONDO – LRF Líderes em Recuperação Judicial e Falência</t>
        </is>
      </c>
      <c r="D373" s="18" t="inlineStr">
        <is>
          <t>NEW</t>
        </is>
      </c>
      <c r="E373" s="19" t="inlineStr"/>
      <c r="F373" s="18" t="inlineStr"/>
      <c r="G373" s="19" t="inlineStr"/>
      <c r="H373" s="18" t="inlineStr"/>
      <c r="I373" s="20" t="inlineStr">
        <is>
          <t>TARCIANA PAULA GOMES MEDEIROS</t>
        </is>
      </c>
      <c r="J373" s="20" t="inlineStr">
        <is>
          <t>Presidente</t>
        </is>
      </c>
      <c r="K373" s="20" t="inlineStr">
        <is>
          <t>(61) 3493-9002</t>
        </is>
      </c>
      <c r="L373" s="20" t="inlineStr"/>
      <c r="M373" s="20" t="inlineStr"/>
      <c r="N373" s="20" t="inlineStr"/>
      <c r="O373" s="20" t="inlineStr"/>
      <c r="P373" s="20" t="inlineStr">
        <is>
          <t>ALAN CARLOS GUEDES DE OLIVEIRA</t>
        </is>
      </c>
      <c r="Q373" s="20" t="inlineStr">
        <is>
          <t>Diretor</t>
        </is>
      </c>
      <c r="R373" s="20" t="inlineStr">
        <is>
          <t>(61) 3493-9002</t>
        </is>
      </c>
      <c r="S373" s="20" t="inlineStr"/>
      <c r="T373" s="21" t="n">
        <v>324716.74</v>
      </c>
      <c r="U373" s="31" t="inlineStr">
        <is>
          <t>C</t>
        </is>
      </c>
      <c r="V373" s="23">
        <f>IFERROR(VLOOKUP(U373,Assumptions!$A$7:$D$11,2,FALSE),0)</f>
        <v/>
      </c>
      <c r="W373" s="24">
        <f>MAX(0.5,IFERROR(VLOOKUP(U373,Assumptions!$A$7:$D$11,3,FALSE),3)+IFERROR(VLOOKUP(U373,Assumptions!$A$7:$D$11,4,FALSE),8)/2-IF(AN373="",0,YEAR(TODAY())-AN373))</f>
        <v/>
      </c>
      <c r="X373" s="21">
        <f>T373*V373/(1+Assumptions!$B$3)^W373</f>
        <v/>
      </c>
      <c r="Y373" s="25">
        <f>IF(T373=0,"",ROUND(X373/T373*100,1))</f>
        <v/>
      </c>
      <c r="Z373" s="26">
        <f>X373*Assumptions!$B$4</f>
        <v/>
      </c>
      <c r="AA373" s="25">
        <f>IF(T373=0,"",ROUND(Z373/T373*100,1))</f>
        <v/>
      </c>
      <c r="AB373" s="26">
        <f>X373-Z373</f>
        <v/>
      </c>
      <c r="AC373" s="25">
        <f>IF(T373=0,"",ROUND((X373-Z373)/T373*100,1))</f>
        <v/>
      </c>
      <c r="AD373" s="27" t="inlineStr">
        <is>
          <t>UNKNOWN</t>
        </is>
      </c>
      <c r="AE373" s="28" t="inlineStr">
        <is>
          <t>https://lrflideres.com.br/wp-content/plugins/download-attachments/includes/download.php?id=5001</t>
        </is>
      </c>
      <c r="AF373" s="27" t="inlineStr">
        <is>
          <t>p1 r13</t>
        </is>
      </c>
      <c r="AG373" s="27" t="inlineStr">
        <is>
          <t>p1: R$ 324.716,74</t>
        </is>
      </c>
      <c r="AH373" s="27" t="inlineStr">
        <is>
          <t>UNKNOWN</t>
        </is>
      </c>
      <c r="AI373" s="27" t="inlineStr"/>
      <c r="AJ373" s="27" t="inlineStr">
        <is>
          <t>OK</t>
        </is>
      </c>
      <c r="AK373" s="29" t="inlineStr">
        <is>
          <t>0000206-69.2013.8.17.1340</t>
        </is>
      </c>
      <c r="AL373" s="29" t="inlineStr">
        <is>
          <t>TJ</t>
        </is>
      </c>
      <c r="AM373" s="29" t="inlineStr"/>
      <c r="AN373" s="29" t="n">
        <v>2013</v>
      </c>
      <c r="AO373" s="29" t="inlineStr">
        <is>
          <t>13y since filing, no plan document</t>
        </is>
      </c>
      <c r="AP373" s="29" t="inlineStr">
        <is>
          <t>BRASILIA</t>
        </is>
      </c>
      <c r="AQ373" s="29" t="inlineStr">
        <is>
          <t>DF</t>
        </is>
      </c>
      <c r="AR373" s="29" t="inlineStr">
        <is>
          <t>Bancos múltiplos, com carteira comercial</t>
        </is>
      </c>
      <c r="AS373" s="29" t="inlineStr">
        <is>
          <t>DEMAIS</t>
        </is>
      </c>
      <c r="AT373" s="29" t="inlineStr">
        <is>
          <t>LARGE CORP</t>
        </is>
      </c>
      <c r="AU373" s="29" t="inlineStr">
        <is>
          <t>00000000</t>
        </is>
      </c>
      <c r="AV373" s="29" t="n">
        <v>1</v>
      </c>
      <c r="AW373" s="29" t="inlineStr">
        <is>
          <t>ALT_VALUE:324.716,74 LIKELY_FINANCIAL_BY_NAME ROWS:p1r13 VALUE_COL:Valor_Atualizado</t>
        </is>
      </c>
    </row>
    <row r="374">
      <c r="A374" s="15" t="inlineStr">
        <is>
          <t>SICOOB CREDICOM - COOP. ECONOMIA E CRED MÚTUO MÉDICOS E PROF DA SAÚDE DO BR LTDA</t>
        </is>
      </c>
      <c r="B374" s="16" t="n">
        <v>553541.83</v>
      </c>
      <c r="C374" s="17" t="inlineStr">
        <is>
          <t>DIAGSON DIAGNOSTICO EM ULTRA SONOGRAFIA MED FETAL LTDA - EM RECUPERACAO JUDICIAL</t>
        </is>
      </c>
      <c r="D374" s="18" t="inlineStr">
        <is>
          <t>NEW</t>
        </is>
      </c>
      <c r="E374" s="19" t="inlineStr"/>
      <c r="F374" s="18" t="inlineStr"/>
      <c r="G374" s="19" t="inlineStr"/>
      <c r="H374" s="18" t="inlineStr"/>
      <c r="I374" s="20" t="inlineStr"/>
      <c r="J374" s="20" t="inlineStr"/>
      <c r="K374" s="20" t="inlineStr"/>
      <c r="L374" s="20" t="inlineStr"/>
      <c r="M374" s="20" t="inlineStr"/>
      <c r="N374" s="20" t="inlineStr"/>
      <c r="O374" s="20" t="inlineStr"/>
      <c r="P374" s="20" t="inlineStr"/>
      <c r="Q374" s="20" t="inlineStr"/>
      <c r="R374" s="20" t="inlineStr"/>
      <c r="S374" s="20" t="inlineStr"/>
      <c r="T374" s="21" t="n">
        <v>553541.83</v>
      </c>
      <c r="U374" s="22" t="inlineStr">
        <is>
          <t>B</t>
        </is>
      </c>
      <c r="V374" s="23">
        <f>IFERROR(VLOOKUP(U374,Assumptions!$A$7:$D$11,2,FALSE),0)</f>
        <v/>
      </c>
      <c r="W374" s="24">
        <f>MAX(0.5,IFERROR(VLOOKUP(U374,Assumptions!$A$7:$D$11,3,FALSE),3)+IFERROR(VLOOKUP(U374,Assumptions!$A$7:$D$11,4,FALSE),8)/2-IF(AN374="",0,YEAR(TODAY())-AN374))</f>
        <v/>
      </c>
      <c r="X374" s="21">
        <f>T374*V374/(1+Assumptions!$B$3)^W374</f>
        <v/>
      </c>
      <c r="Y374" s="25">
        <f>IF(T374=0,"",ROUND(X374/T374*100,1))</f>
        <v/>
      </c>
      <c r="Z374" s="26">
        <f>X374*Assumptions!$B$4</f>
        <v/>
      </c>
      <c r="AA374" s="25">
        <f>IF(T374=0,"",ROUND(Z374/T374*100,1))</f>
        <v/>
      </c>
      <c r="AB374" s="26">
        <f>X374-Z374</f>
        <v/>
      </c>
      <c r="AC374" s="25">
        <f>IF(T374=0,"",ROUND((X374-Z374)/T374*100,1))</f>
        <v/>
      </c>
      <c r="AD374" s="27" t="inlineStr">
        <is>
          <t>ESTIMATED</t>
        </is>
      </c>
      <c r="AE374" s="28" t="inlineStr">
        <is>
          <t>https://lrflideres.com.br/wp-content/plugins/download-attachments/includes/download.php?id=7418</t>
        </is>
      </c>
      <c r="AF374" s="27" t="inlineStr">
        <is>
          <t>p2 r80</t>
        </is>
      </c>
      <c r="AG374" s="27" t="inlineStr">
        <is>
          <t>p2: R$ 553.541,83</t>
        </is>
      </c>
      <c r="AH374" s="27" t="inlineStr">
        <is>
          <t>DEBTOR_LIST</t>
        </is>
      </c>
      <c r="AI374" s="27" t="inlineStr">
        <is>
          <t>2026-07-28</t>
        </is>
      </c>
      <c r="AJ374" s="27" t="inlineStr">
        <is>
          <t>QUARANTINED</t>
        </is>
      </c>
      <c r="AK374" s="29" t="inlineStr">
        <is>
          <t>0822279-56.2026.8.15.2001</t>
        </is>
      </c>
      <c r="AL374" s="29" t="inlineStr">
        <is>
          <t>TJPB</t>
        </is>
      </c>
      <c r="AM374" s="29" t="inlineStr">
        <is>
          <t>ACTIVE</t>
        </is>
      </c>
      <c r="AN374" s="29" t="n">
        <v>2026</v>
      </c>
      <c r="AO374" s="29" t="inlineStr">
        <is>
          <t>live case, no plan document yet</t>
        </is>
      </c>
      <c r="AP374" s="29" t="inlineStr"/>
      <c r="AQ374" s="29" t="inlineStr"/>
      <c r="AR374" s="29" t="inlineStr"/>
      <c r="AS374" s="29" t="inlineStr"/>
      <c r="AT374" s="29" t="inlineStr">
        <is>
          <t>MID-MARKET</t>
        </is>
      </c>
      <c r="AU374" s="29" t="inlineStr">
        <is>
          <t>42898825</t>
        </is>
      </c>
      <c r="AV374" s="29" t="n">
        <v>1</v>
      </c>
      <c r="AW374" s="29" t="inlineStr">
        <is>
          <t>LIKELY_FINANCIAL_BY_NAME PARTIAL_DOC_CLASS_III_RECONCILED ROWS:p2r80</t>
        </is>
      </c>
    </row>
    <row r="375">
      <c r="A375" s="15" t="inlineStr">
        <is>
          <t>CENTRUM FUNDO DE INVESTIMENTO EM DIREITOS CREDITORIOS</t>
        </is>
      </c>
      <c r="B375" s="16" t="n">
        <v>350000</v>
      </c>
      <c r="C375" s="17" t="inlineStr">
        <is>
          <t>DIVINA INDUSTRIA DE COURO LTDA - EM RECUPERACAO JUDICIAL</t>
        </is>
      </c>
      <c r="D375" s="18" t="inlineStr">
        <is>
          <t>NEW</t>
        </is>
      </c>
      <c r="E375" s="19" t="inlineStr"/>
      <c r="F375" s="18" t="inlineStr"/>
      <c r="G375" s="19" t="inlineStr"/>
      <c r="H375" s="18" t="inlineStr"/>
      <c r="I375" s="20" t="inlineStr"/>
      <c r="J375" s="20" t="inlineStr"/>
      <c r="K375" s="20" t="inlineStr"/>
      <c r="L375" s="20" t="inlineStr"/>
      <c r="M375" s="20" t="inlineStr"/>
      <c r="N375" s="20" t="inlineStr"/>
      <c r="O375" s="20" t="inlineStr"/>
      <c r="P375" s="20" t="inlineStr"/>
      <c r="Q375" s="20" t="inlineStr"/>
      <c r="R375" s="20" t="inlineStr"/>
      <c r="S375" s="20" t="inlineStr"/>
      <c r="T375" s="21" t="n">
        <v>350000</v>
      </c>
      <c r="U375" s="22" t="inlineStr">
        <is>
          <t>B</t>
        </is>
      </c>
      <c r="V375" s="23">
        <f>IFERROR(VLOOKUP(U375,Assumptions!$A$7:$D$11,2,FALSE),0)</f>
        <v/>
      </c>
      <c r="W375" s="24">
        <f>MAX(0.5,IFERROR(VLOOKUP(U375,Assumptions!$A$7:$D$11,3,FALSE),3)+IFERROR(VLOOKUP(U375,Assumptions!$A$7:$D$11,4,FALSE),8)/2-IF(AN375="",0,YEAR(TODAY())-AN375))</f>
        <v/>
      </c>
      <c r="X375" s="21">
        <f>T375*V375/(1+Assumptions!$B$3)^W375</f>
        <v/>
      </c>
      <c r="Y375" s="25">
        <f>IF(T375=0,"",ROUND(X375/T375*100,1))</f>
        <v/>
      </c>
      <c r="Z375" s="26">
        <f>X375*Assumptions!$B$4</f>
        <v/>
      </c>
      <c r="AA375" s="25">
        <f>IF(T375=0,"",ROUND(Z375/T375*100,1))</f>
        <v/>
      </c>
      <c r="AB375" s="26">
        <f>X375-Z375</f>
        <v/>
      </c>
      <c r="AC375" s="25">
        <f>IF(T375=0,"",ROUND((X375-Z375)/T375*100,1))</f>
        <v/>
      </c>
      <c r="AD375" s="27" t="inlineStr">
        <is>
          <t>ESTIMATED</t>
        </is>
      </c>
      <c r="AE375" s="28" t="inlineStr">
        <is>
          <t>https://lrflideres.com.br/wp-content/plugins/download-attachments/includes/download.php?id=6252</t>
        </is>
      </c>
      <c r="AF375" s="27" t="inlineStr">
        <is>
          <t>p2 r25</t>
        </is>
      </c>
      <c r="AG375" s="27" t="inlineStr">
        <is>
          <t>p2: R$ 350.000,00</t>
        </is>
      </c>
      <c r="AH375" s="27" t="inlineStr">
        <is>
          <t>AJ_LIST</t>
        </is>
      </c>
      <c r="AI375" s="27" t="inlineStr">
        <is>
          <t>2024-11-27</t>
        </is>
      </c>
      <c r="AJ375" s="27" t="inlineStr">
        <is>
          <t>QUARANTINED</t>
        </is>
      </c>
      <c r="AK375" s="29" t="inlineStr">
        <is>
          <t>0000721-61.2024.8.17.2620</t>
        </is>
      </c>
      <c r="AL375" s="29" t="inlineStr">
        <is>
          <t>TJPE</t>
        </is>
      </c>
      <c r="AM375" s="29" t="inlineStr">
        <is>
          <t>ACTIVE</t>
        </is>
      </c>
      <c r="AN375" s="29" t="n">
        <v>2024</v>
      </c>
      <c r="AO375" s="29" t="inlineStr">
        <is>
          <t>live case, no plan document yet</t>
        </is>
      </c>
      <c r="AP375" s="29" t="inlineStr"/>
      <c r="AQ375" s="29" t="inlineStr"/>
      <c r="AR375" s="29" t="inlineStr"/>
      <c r="AS375" s="29" t="inlineStr"/>
      <c r="AT375" s="29" t="inlineStr">
        <is>
          <t>MID-MARKET</t>
        </is>
      </c>
      <c r="AU375" s="29" t="inlineStr">
        <is>
          <t>17213074</t>
        </is>
      </c>
      <c r="AV375" s="29" t="n">
        <v>1</v>
      </c>
      <c r="AW375" s="29" t="inlineStr">
        <is>
          <t>LIKELY_FINANCIAL_BY_NAME PARTIAL_DOC_CLASS_III_RECONCILED ROWS:p2r25</t>
        </is>
      </c>
    </row>
    <row r="376">
      <c r="A376" s="15" t="inlineStr">
        <is>
          <t>MILANO SECURITIZADORA S.A. (</t>
        </is>
      </c>
      <c r="B376" s="16" t="n">
        <v>558919.72</v>
      </c>
      <c r="C376" s="17" t="inlineStr">
        <is>
          <t>VECTOR INDUSTRIA DE PRODUTOS METALURGICOS LTDA - EM RECUPERACAO JUDICIAL</t>
        </is>
      </c>
      <c r="D376" s="18" t="inlineStr">
        <is>
          <t>NEW</t>
        </is>
      </c>
      <c r="E376" s="19" t="inlineStr"/>
      <c r="F376" s="18" t="inlineStr"/>
      <c r="G376" s="19" t="inlineStr"/>
      <c r="H376" s="18" t="inlineStr"/>
      <c r="I376" s="20" t="inlineStr"/>
      <c r="J376" s="20" t="inlineStr"/>
      <c r="K376" s="20" t="inlineStr"/>
      <c r="L376" s="20" t="inlineStr"/>
      <c r="M376" s="20" t="inlineStr"/>
      <c r="N376" s="20" t="inlineStr"/>
      <c r="O376" s="20" t="inlineStr"/>
      <c r="P376" s="20" t="inlineStr"/>
      <c r="Q376" s="20" t="inlineStr"/>
      <c r="R376" s="20" t="inlineStr"/>
      <c r="S376" s="20" t="inlineStr"/>
      <c r="T376" s="21" t="n">
        <v>558919.72</v>
      </c>
      <c r="U376" s="31" t="inlineStr">
        <is>
          <t>C</t>
        </is>
      </c>
      <c r="V376" s="23">
        <f>IFERROR(VLOOKUP(U376,Assumptions!$A$7:$D$11,2,FALSE),0)</f>
        <v/>
      </c>
      <c r="W376" s="24">
        <f>MAX(0.5,IFERROR(VLOOKUP(U376,Assumptions!$A$7:$D$11,3,FALSE),3)+IFERROR(VLOOKUP(U376,Assumptions!$A$7:$D$11,4,FALSE),8)/2-IF(AN376="",0,YEAR(TODAY())-AN376))</f>
        <v/>
      </c>
      <c r="X376" s="21">
        <f>T376*V376/(1+Assumptions!$B$3)^W376</f>
        <v/>
      </c>
      <c r="Y376" s="25">
        <f>IF(T376=0,"",ROUND(X376/T376*100,1))</f>
        <v/>
      </c>
      <c r="Z376" s="26">
        <f>X376*Assumptions!$B$4</f>
        <v/>
      </c>
      <c r="AA376" s="25">
        <f>IF(T376=0,"",ROUND(Z376/T376*100,1))</f>
        <v/>
      </c>
      <c r="AB376" s="26">
        <f>X376-Z376</f>
        <v/>
      </c>
      <c r="AC376" s="25">
        <f>IF(T376=0,"",ROUND((X376-Z376)/T376*100,1))</f>
        <v/>
      </c>
      <c r="AD376" s="27" t="inlineStr">
        <is>
          <t>ESTIMATED</t>
        </is>
      </c>
      <c r="AE376" s="28" t="inlineStr">
        <is>
          <t>https://scalzilliaj.com.br/sgc/download.php?file=files/processo_documento/processo_documento15513401112022_1_.pdf&amp;nome=15 - Edital do art. 7º, §2º (segunda lista de credores) e do art. 53 da Lei 11.101/2005 (recebimento do plano)</t>
        </is>
      </c>
      <c r="AF376" s="27" t="inlineStr">
        <is>
          <t>p8 r23</t>
        </is>
      </c>
      <c r="AG376" s="27" t="inlineStr">
        <is>
          <t>p8: R$ 558.919,72</t>
        </is>
      </c>
      <c r="AH376" s="27" t="inlineStr">
        <is>
          <t>AJ_LIST</t>
        </is>
      </c>
      <c r="AI376" s="27" t="inlineStr">
        <is>
          <t>2022-11-01</t>
        </is>
      </c>
      <c r="AJ376" s="27" t="inlineStr">
        <is>
          <t>OK_NO_TOTALS</t>
        </is>
      </c>
      <c r="AK376" s="29" t="inlineStr">
        <is>
          <t>5014104-85.2021.8.21.0010</t>
        </is>
      </c>
      <c r="AL376" s="29" t="inlineStr">
        <is>
          <t>TJRS</t>
        </is>
      </c>
      <c r="AM376" s="29" t="inlineStr">
        <is>
          <t>ACTIVE</t>
        </is>
      </c>
      <c r="AN376" s="29" t="n">
        <v>2021</v>
      </c>
      <c r="AO376" s="29" t="inlineStr">
        <is>
          <t>5y since filing, no plan document</t>
        </is>
      </c>
      <c r="AP376" s="29" t="inlineStr"/>
      <c r="AQ376" s="29" t="inlineStr"/>
      <c r="AR376" s="29" t="inlineStr"/>
      <c r="AS376" s="29" t="inlineStr"/>
      <c r="AT376" s="29" t="inlineStr">
        <is>
          <t>MID-MARKET</t>
        </is>
      </c>
      <c r="AU376" s="29" t="inlineStr">
        <is>
          <t>27749786</t>
        </is>
      </c>
      <c r="AV376" s="29" t="n">
        <v>1</v>
      </c>
      <c r="AW376" s="29" t="inlineStr">
        <is>
          <t>LIKELY_FINANCIAL_BY_NAME ROWS:p8r23 UNRECONCILED_SOURCE</t>
        </is>
      </c>
    </row>
    <row r="377">
      <c r="A377" s="15" t="inlineStr">
        <is>
          <t>UNIPRIME NORTE DO PARANA - COOPERATIVA DE CREDITO LTDA</t>
        </is>
      </c>
      <c r="B377" s="16" t="n">
        <v>436176.52</v>
      </c>
      <c r="C377" s="17" t="inlineStr">
        <is>
          <t>ATIVOS ADMINISTRAÇÃO JUDICIA</t>
        </is>
      </c>
      <c r="D377" s="18" t="inlineStr">
        <is>
          <t>NEW</t>
        </is>
      </c>
      <c r="E377" s="19" t="inlineStr"/>
      <c r="F377" s="18" t="inlineStr"/>
      <c r="G377" s="19" t="inlineStr"/>
      <c r="H377" s="18" t="inlineStr"/>
      <c r="I377" s="20" t="inlineStr"/>
      <c r="J377" s="20" t="inlineStr"/>
      <c r="K377" s="20" t="inlineStr"/>
      <c r="L377" s="20" t="inlineStr"/>
      <c r="M377" s="20" t="inlineStr"/>
      <c r="N377" s="20" t="inlineStr"/>
      <c r="O377" s="20" t="inlineStr"/>
      <c r="P377" s="20" t="inlineStr"/>
      <c r="Q377" s="20" t="inlineStr"/>
      <c r="R377" s="20" t="inlineStr"/>
      <c r="S377" s="20" t="inlineStr"/>
      <c r="T377" s="21" t="n">
        <v>436176.52</v>
      </c>
      <c r="U377" s="22" t="inlineStr">
        <is>
          <t>B</t>
        </is>
      </c>
      <c r="V377" s="23">
        <f>IFERROR(VLOOKUP(U377,Assumptions!$A$7:$D$11,2,FALSE),0)</f>
        <v/>
      </c>
      <c r="W377" s="24">
        <f>MAX(0.5,IFERROR(VLOOKUP(U377,Assumptions!$A$7:$D$11,3,FALSE),3)+IFERROR(VLOOKUP(U377,Assumptions!$A$7:$D$11,4,FALSE),8)/2-IF(AN377="",0,YEAR(TODAY())-AN377))</f>
        <v/>
      </c>
      <c r="X377" s="21">
        <f>T377*V377/(1+Assumptions!$B$3)^W377</f>
        <v/>
      </c>
      <c r="Y377" s="25">
        <f>IF(T377=0,"",ROUND(X377/T377*100,1))</f>
        <v/>
      </c>
      <c r="Z377" s="26">
        <f>X377*Assumptions!$B$4</f>
        <v/>
      </c>
      <c r="AA377" s="25">
        <f>IF(T377=0,"",ROUND(Z377/T377*100,1))</f>
        <v/>
      </c>
      <c r="AB377" s="26">
        <f>X377-Z377</f>
        <v/>
      </c>
      <c r="AC377" s="25">
        <f>IF(T377=0,"",ROUND((X377-Z377)/T377*100,1))</f>
        <v/>
      </c>
      <c r="AD377" s="27" t="inlineStr">
        <is>
          <t>ESTIMATED</t>
        </is>
      </c>
      <c r="AE377" s="28" t="inlineStr">
        <is>
          <t>https://ativosajce.com.br/admin/download.php?file=files/processo_documento/processo_documento13422625032025_1_.pdf&amp;nome=Relação de Credores - Art. 52º § 1º, da Lei nº 11.101/2005 - 25/02/2025</t>
        </is>
      </c>
      <c r="AF377" s="27" t="inlineStr">
        <is>
          <t>p5 r45</t>
        </is>
      </c>
      <c r="AG377" s="27" t="inlineStr">
        <is>
          <t>p5: R$ 436.176,52</t>
        </is>
      </c>
      <c r="AH377" s="27" t="inlineStr">
        <is>
          <t>UNKNOWN</t>
        </is>
      </c>
      <c r="AI377" s="27" t="inlineStr">
        <is>
          <t>2025-02-28</t>
        </is>
      </c>
      <c r="AJ377" s="27" t="inlineStr">
        <is>
          <t>OK_NO_TOTALS</t>
        </is>
      </c>
      <c r="AK377" s="29" t="inlineStr">
        <is>
          <t>1000119-75.2025.8.26.0354</t>
        </is>
      </c>
      <c r="AL377" s="29" t="inlineStr">
        <is>
          <t>TJSP</t>
        </is>
      </c>
      <c r="AM377" s="29" t="inlineStr">
        <is>
          <t>ACTIVE</t>
        </is>
      </c>
      <c r="AN377" s="29" t="n">
        <v>2025</v>
      </c>
      <c r="AO377" s="29" t="inlineStr">
        <is>
          <t>live case, no plan document yet</t>
        </is>
      </c>
      <c r="AP377" s="29" t="inlineStr"/>
      <c r="AQ377" s="29" t="inlineStr"/>
      <c r="AR377" s="29" t="inlineStr"/>
      <c r="AS377" s="29" t="inlineStr"/>
      <c r="AT377" s="29" t="inlineStr">
        <is>
          <t>MID-MARKET</t>
        </is>
      </c>
      <c r="AU377" s="29" t="inlineStr">
        <is>
          <t>02398976</t>
        </is>
      </c>
      <c r="AV377" s="29" t="n">
        <v>1</v>
      </c>
      <c r="AW377" s="29" t="inlineStr">
        <is>
          <t>LIKELY_FINANCIAL_BY_NAME ROWS:p5r45 UNRECONCILED_SOURCE</t>
        </is>
      </c>
    </row>
    <row r="378">
      <c r="A378" s="15" t="inlineStr">
        <is>
          <t>ACL FACTORING FOMENTO MERCANTIL LTDA</t>
        </is>
      </c>
      <c r="B378" s="16" t="n">
        <v>354247.16</v>
      </c>
      <c r="C378" s="17" t="inlineStr">
        <is>
          <t>Grupo Arnon de Mello — Lindoso e Araujo</t>
        </is>
      </c>
      <c r="D378" s="18" t="inlineStr">
        <is>
          <t>NEW</t>
        </is>
      </c>
      <c r="E378" s="19" t="inlineStr"/>
      <c r="F378" s="18" t="inlineStr"/>
      <c r="G378" s="19" t="inlineStr"/>
      <c r="H378" s="18" t="inlineStr"/>
      <c r="I378" s="20" t="inlineStr"/>
      <c r="J378" s="20" t="inlineStr"/>
      <c r="K378" s="20" t="inlineStr"/>
      <c r="L378" s="20" t="inlineStr"/>
      <c r="M378" s="20" t="inlineStr"/>
      <c r="N378" s="20" t="inlineStr"/>
      <c r="O378" s="20" t="inlineStr"/>
      <c r="P378" s="20" t="inlineStr"/>
      <c r="Q378" s="20" t="inlineStr"/>
      <c r="R378" s="20" t="inlineStr"/>
      <c r="S378" s="20" t="inlineStr"/>
      <c r="T378" s="21" t="n">
        <v>354247.16</v>
      </c>
      <c r="U378" s="31" t="inlineStr">
        <is>
          <t>C</t>
        </is>
      </c>
      <c r="V378" s="23">
        <f>IFERROR(VLOOKUP(U378,Assumptions!$A$7:$D$11,2,FALSE),0)</f>
        <v/>
      </c>
      <c r="W378" s="24">
        <f>MAX(0.5,IFERROR(VLOOKUP(U378,Assumptions!$A$7:$D$11,3,FALSE),3)+IFERROR(VLOOKUP(U378,Assumptions!$A$7:$D$11,4,FALSE),8)/2-IF(AN378="",0,YEAR(TODAY())-AN378))</f>
        <v/>
      </c>
      <c r="X378" s="21">
        <f>T378*V378/(1+Assumptions!$B$3)^W378</f>
        <v/>
      </c>
      <c r="Y378" s="25">
        <f>IF(T378=0,"",ROUND(X378/T378*100,1))</f>
        <v/>
      </c>
      <c r="Z378" s="26">
        <f>X378*Assumptions!$B$4</f>
        <v/>
      </c>
      <c r="AA378" s="25">
        <f>IF(T378=0,"",ROUND(Z378/T378*100,1))</f>
        <v/>
      </c>
      <c r="AB378" s="26">
        <f>X378-Z378</f>
        <v/>
      </c>
      <c r="AC378" s="25">
        <f>IF(T378=0,"",ROUND((X378-Z378)/T378*100,1))</f>
        <v/>
      </c>
      <c r="AD378" s="27" t="inlineStr">
        <is>
          <t>UNKNOWN</t>
        </is>
      </c>
      <c r="AE378" s="28" t="inlineStr">
        <is>
          <t>https://recuperacaojudicial.squarespace.com/s/RJ-Grupo-Arnon-de-Melo-Lista-de-Credores-Consolidada-abril-2022.pdf</t>
        </is>
      </c>
      <c r="AF378" s="27" t="inlineStr">
        <is>
          <t>p7 r2</t>
        </is>
      </c>
      <c r="AG378" s="27" t="inlineStr">
        <is>
          <t>p7: R$ 354.247,16</t>
        </is>
      </c>
      <c r="AH378" s="27" t="inlineStr">
        <is>
          <t>AJ_LIST</t>
        </is>
      </c>
      <c r="AI378" s="27" t="inlineStr"/>
      <c r="AJ378" s="27" t="inlineStr">
        <is>
          <t>OK_NO_TOTALS</t>
        </is>
      </c>
      <c r="AK378" s="29" t="inlineStr">
        <is>
          <t>0700256-03.2019.8.02.0066</t>
        </is>
      </c>
      <c r="AL378" s="29" t="inlineStr">
        <is>
          <t>TJ</t>
        </is>
      </c>
      <c r="AM378" s="29" t="inlineStr"/>
      <c r="AN378" s="29" t="n">
        <v>2019</v>
      </c>
      <c r="AO378" s="29" t="inlineStr">
        <is>
          <t>7y since filing, no plan document</t>
        </is>
      </c>
      <c r="AP378" s="29" t="inlineStr"/>
      <c r="AQ378" s="29" t="inlineStr"/>
      <c r="AR378" s="29" t="inlineStr"/>
      <c r="AS378" s="29" t="inlineStr"/>
      <c r="AT378" s="29" t="inlineStr">
        <is>
          <t>MID-MARKET</t>
        </is>
      </c>
      <c r="AU378" s="29" t="inlineStr">
        <is>
          <t>70018759</t>
        </is>
      </c>
      <c r="AV378" s="29" t="n">
        <v>1</v>
      </c>
      <c r="AW378" s="29" t="inlineStr">
        <is>
          <t>LIKELY_FINANCIAL_BY_NAME ROWS:p7r2 UNRECONCILED_SOURCE</t>
        </is>
      </c>
    </row>
    <row r="379">
      <c r="A379" s="15" t="inlineStr">
        <is>
          <t>BANCO SANTANDER (BRASIL) S.A.</t>
        </is>
      </c>
      <c r="B379" s="16" t="n">
        <v>345941.2</v>
      </c>
      <c r="C379" s="17" t="inlineStr">
        <is>
          <t>DIVINA INDUSTRIA DE COURO LTDA - EM RECUPERACAO JUDICIAL</t>
        </is>
      </c>
      <c r="D379" s="18" t="inlineStr">
        <is>
          <t>NEW</t>
        </is>
      </c>
      <c r="E379" s="19" t="inlineStr"/>
      <c r="F379" s="18" t="inlineStr"/>
      <c r="G379" s="19" t="inlineStr"/>
      <c r="H379" s="18" t="inlineStr"/>
      <c r="I379" s="20" t="inlineStr">
        <is>
          <t>GILSON FINKELSZTAIN</t>
        </is>
      </c>
      <c r="J379" s="20" t="inlineStr">
        <is>
          <t>Presidente</t>
        </is>
      </c>
      <c r="K379" s="20" t="inlineStr">
        <is>
          <t>(11) 4004-3535</t>
        </is>
      </c>
      <c r="L379" s="20" t="inlineStr"/>
      <c r="M379" s="20" t="inlineStr"/>
      <c r="N379" s="20" t="inlineStr"/>
      <c r="O379" s="20" t="inlineStr"/>
      <c r="P379" s="20" t="inlineStr">
        <is>
          <t>ALESSANDRO CHAGAS FARIAS</t>
        </is>
      </c>
      <c r="Q379" s="20" t="inlineStr">
        <is>
          <t>Diretor</t>
        </is>
      </c>
      <c r="R379" s="20" t="inlineStr">
        <is>
          <t>(11) 4004-3535</t>
        </is>
      </c>
      <c r="S379" s="20" t="inlineStr"/>
      <c r="T379" s="21" t="n">
        <v>345941.2</v>
      </c>
      <c r="U379" s="22" t="inlineStr">
        <is>
          <t>B</t>
        </is>
      </c>
      <c r="V379" s="23">
        <f>IFERROR(VLOOKUP(U379,Assumptions!$A$7:$D$11,2,FALSE),0)</f>
        <v/>
      </c>
      <c r="W379" s="24">
        <f>MAX(0.5,IFERROR(VLOOKUP(U379,Assumptions!$A$7:$D$11,3,FALSE),3)+IFERROR(VLOOKUP(U379,Assumptions!$A$7:$D$11,4,FALSE),8)/2-IF(AN379="",0,YEAR(TODAY())-AN379))</f>
        <v/>
      </c>
      <c r="X379" s="21">
        <f>T379*V379/(1+Assumptions!$B$3)^W379</f>
        <v/>
      </c>
      <c r="Y379" s="25">
        <f>IF(T379=0,"",ROUND(X379/T379*100,1))</f>
        <v/>
      </c>
      <c r="Z379" s="26">
        <f>X379*Assumptions!$B$4</f>
        <v/>
      </c>
      <c r="AA379" s="25">
        <f>IF(T379=0,"",ROUND(Z379/T379*100,1))</f>
        <v/>
      </c>
      <c r="AB379" s="26">
        <f>X379-Z379</f>
        <v/>
      </c>
      <c r="AC379" s="25">
        <f>IF(T379=0,"",ROUND((X379-Z379)/T379*100,1))</f>
        <v/>
      </c>
      <c r="AD379" s="27" t="inlineStr">
        <is>
          <t>ESTIMATED</t>
        </is>
      </c>
      <c r="AE379" s="28" t="inlineStr">
        <is>
          <t>https://lrflideres.com.br/wp-content/plugins/download-attachments/includes/download.php?id=6252</t>
        </is>
      </c>
      <c r="AF379" s="27" t="inlineStr">
        <is>
          <t>p2 r14</t>
        </is>
      </c>
      <c r="AG379" s="27" t="inlineStr">
        <is>
          <t>p2: R$ 345.941,20</t>
        </is>
      </c>
      <c r="AH379" s="27" t="inlineStr">
        <is>
          <t>AJ_LIST</t>
        </is>
      </c>
      <c r="AI379" s="27" t="inlineStr">
        <is>
          <t>2024-11-27</t>
        </is>
      </c>
      <c r="AJ379" s="27" t="inlineStr">
        <is>
          <t>QUARANTINED</t>
        </is>
      </c>
      <c r="AK379" s="29" t="inlineStr">
        <is>
          <t>0000721-61.2024.8.17.2620</t>
        </is>
      </c>
      <c r="AL379" s="29" t="inlineStr">
        <is>
          <t>TJPE</t>
        </is>
      </c>
      <c r="AM379" s="29" t="inlineStr">
        <is>
          <t>ACTIVE</t>
        </is>
      </c>
      <c r="AN379" s="29" t="n">
        <v>2024</v>
      </c>
      <c r="AO379" s="29" t="inlineStr">
        <is>
          <t>live case, no plan document yet</t>
        </is>
      </c>
      <c r="AP379" s="29" t="inlineStr">
        <is>
          <t>SAO PAULO</t>
        </is>
      </c>
      <c r="AQ379" s="29" t="inlineStr">
        <is>
          <t>SP</t>
        </is>
      </c>
      <c r="AR379" s="29" t="inlineStr">
        <is>
          <t>Bancos múltiplos, com carteira comercial</t>
        </is>
      </c>
      <c r="AS379" s="29" t="inlineStr">
        <is>
          <t>DEMAIS</t>
        </is>
      </c>
      <c r="AT379" s="29" t="inlineStr">
        <is>
          <t>LARGE CORP</t>
        </is>
      </c>
      <c r="AU379" s="29" t="inlineStr">
        <is>
          <t>90400888</t>
        </is>
      </c>
      <c r="AV379" s="29" t="n">
        <v>1</v>
      </c>
      <c r="AW379" s="29" t="inlineStr">
        <is>
          <t>LIKELY_FINANCIAL_BY_NAME PARTIAL_DOC_CLASS_III_RECONCILED ROWS:p2r14</t>
        </is>
      </c>
    </row>
    <row r="380">
      <c r="A380" s="15" t="inlineStr">
        <is>
          <t>Fundo de Investimento em Direitos Creditórios XPCE Crédito Middle</t>
        </is>
      </c>
      <c r="B380" s="16" t="n">
        <v>275065.04</v>
      </c>
      <c r="C380" s="17" t="inlineStr">
        <is>
          <t>VEV COMERCIO DE MEDICAMENTOS LTDA EM RECUPERACAO JUDICIAL</t>
        </is>
      </c>
      <c r="D380" s="18" t="inlineStr">
        <is>
          <t>NEW</t>
        </is>
      </c>
      <c r="E380" s="19" t="inlineStr"/>
      <c r="F380" s="18" t="inlineStr"/>
      <c r="G380" s="19" t="inlineStr"/>
      <c r="H380" s="18" t="inlineStr"/>
      <c r="I380" s="20" t="inlineStr"/>
      <c r="J380" s="20" t="inlineStr"/>
      <c r="K380" s="20" t="inlineStr"/>
      <c r="L380" s="20" t="inlineStr"/>
      <c r="M380" s="20" t="inlineStr"/>
      <c r="N380" s="20" t="inlineStr"/>
      <c r="O380" s="20" t="inlineStr"/>
      <c r="P380" s="20" t="inlineStr"/>
      <c r="Q380" s="20" t="inlineStr"/>
      <c r="R380" s="20" t="inlineStr"/>
      <c r="S380" s="20" t="inlineStr"/>
      <c r="T380" s="21" t="n">
        <v>275065.04</v>
      </c>
      <c r="U380" s="22" t="inlineStr">
        <is>
          <t>B</t>
        </is>
      </c>
      <c r="V380" s="23">
        <f>IFERROR(VLOOKUP(U380,Assumptions!$A$7:$D$11,2,FALSE),0)</f>
        <v/>
      </c>
      <c r="W380" s="24">
        <f>MAX(0.5,IFERROR(VLOOKUP(U380,Assumptions!$A$7:$D$11,3,FALSE),3)+IFERROR(VLOOKUP(U380,Assumptions!$A$7:$D$11,4,FALSE),8)/2-IF(AN380="",0,YEAR(TODAY())-AN380))</f>
        <v/>
      </c>
      <c r="X380" s="21">
        <f>T380*V380/(1+Assumptions!$B$3)^W380</f>
        <v/>
      </c>
      <c r="Y380" s="25">
        <f>IF(T380=0,"",ROUND(X380/T380*100,1))</f>
        <v/>
      </c>
      <c r="Z380" s="26">
        <f>X380*Assumptions!$B$4</f>
        <v/>
      </c>
      <c r="AA380" s="25">
        <f>IF(T380=0,"",ROUND(Z380/T380*100,1))</f>
        <v/>
      </c>
      <c r="AB380" s="26">
        <f>X380-Z380</f>
        <v/>
      </c>
      <c r="AC380" s="25">
        <f>IF(T380=0,"",ROUND((X380-Z380)/T380*100,1))</f>
        <v/>
      </c>
      <c r="AD380" s="27" t="inlineStr">
        <is>
          <t>ESTIMATED</t>
        </is>
      </c>
      <c r="AE380" s="28" t="inlineStr">
        <is>
          <t>https://marquesadmjudicial.com.br/sgc/download.php?file=files/processo_documento/processo_documento15293208032024_1_.pdf&amp;nome=Relação Nominal de Credores da AJ-Sintética</t>
        </is>
      </c>
      <c r="AF380" s="27" t="inlineStr">
        <is>
          <t>p25 r12</t>
        </is>
      </c>
      <c r="AG380" s="27" t="inlineStr">
        <is>
          <t>p25: R$ 275.065,04</t>
        </is>
      </c>
      <c r="AH380" s="27" t="inlineStr">
        <is>
          <t>AJ_LIST</t>
        </is>
      </c>
      <c r="AI380" s="27" t="inlineStr">
        <is>
          <t>2023-03-02</t>
        </is>
      </c>
      <c r="AJ380" s="27" t="inlineStr">
        <is>
          <t>QUARANTINED</t>
        </is>
      </c>
      <c r="AK380" s="29" t="inlineStr">
        <is>
          <t>0005010-98.2023.8.16.0001</t>
        </is>
      </c>
      <c r="AL380" s="29" t="inlineStr">
        <is>
          <t>TJPR</t>
        </is>
      </c>
      <c r="AM380" s="29" t="inlineStr">
        <is>
          <t>ACTIVE</t>
        </is>
      </c>
      <c r="AN380" s="29" t="n">
        <v>2023</v>
      </c>
      <c r="AO380" s="29" t="inlineStr">
        <is>
          <t>live case, no plan document yet</t>
        </is>
      </c>
      <c r="AP380" s="29" t="inlineStr"/>
      <c r="AQ380" s="29" t="inlineStr"/>
      <c r="AR380" s="29" t="inlineStr"/>
      <c r="AS380" s="29" t="inlineStr"/>
      <c r="AT380" s="29" t="inlineStr">
        <is>
          <t>MID-MARKET</t>
        </is>
      </c>
      <c r="AU380" s="29" t="inlineStr">
        <is>
          <t>31216519</t>
        </is>
      </c>
      <c r="AV380" s="29" t="n">
        <v>1</v>
      </c>
      <c r="AW380" s="29" t="inlineStr">
        <is>
          <t>LIKELY_FINANCIAL_BY_NAME PARTIAL_DOC_CLASS_III_RECONCILED ROWS:p25r12</t>
        </is>
      </c>
    </row>
    <row r="381">
      <c r="A381" s="15" t="inlineStr">
        <is>
          <t>FS TATUI SECURITIZADORA S.A.</t>
        </is>
      </c>
      <c r="B381" s="16" t="n">
        <v>341146.25</v>
      </c>
      <c r="C381" s="17" t="inlineStr">
        <is>
          <t>DIVINA INDUSTRIA DE COURO LTDA - EM RECUPERACAO JUDICIAL</t>
        </is>
      </c>
      <c r="D381" s="18" t="inlineStr">
        <is>
          <t>NEW</t>
        </is>
      </c>
      <c r="E381" s="19" t="inlineStr"/>
      <c r="F381" s="18" t="inlineStr"/>
      <c r="G381" s="19" t="inlineStr"/>
      <c r="H381" s="18" t="inlineStr"/>
      <c r="I381" s="20" t="inlineStr">
        <is>
          <t>DENERVAL FUGOLIN</t>
        </is>
      </c>
      <c r="J381" s="20" t="inlineStr">
        <is>
          <t>Diretor</t>
        </is>
      </c>
      <c r="K381" s="20" t="inlineStr">
        <is>
          <t>(15) 3259-8100</t>
        </is>
      </c>
      <c r="L381" s="20" t="inlineStr"/>
      <c r="M381" s="20" t="inlineStr"/>
      <c r="N381" s="20" t="inlineStr"/>
      <c r="O381" s="20" t="inlineStr"/>
      <c r="P381" s="20" t="inlineStr">
        <is>
          <t>MARCIO SEGALLA</t>
        </is>
      </c>
      <c r="Q381" s="20" t="inlineStr">
        <is>
          <t>Diretor</t>
        </is>
      </c>
      <c r="R381" s="20" t="inlineStr">
        <is>
          <t>(15) 3259-8100</t>
        </is>
      </c>
      <c r="S381" s="20" t="inlineStr"/>
      <c r="T381" s="21" t="n">
        <v>341146.25</v>
      </c>
      <c r="U381" s="22" t="inlineStr">
        <is>
          <t>B</t>
        </is>
      </c>
      <c r="V381" s="23">
        <f>IFERROR(VLOOKUP(U381,Assumptions!$A$7:$D$11,2,FALSE),0)</f>
        <v/>
      </c>
      <c r="W381" s="24">
        <f>MAX(0.5,IFERROR(VLOOKUP(U381,Assumptions!$A$7:$D$11,3,FALSE),3)+IFERROR(VLOOKUP(U381,Assumptions!$A$7:$D$11,4,FALSE),8)/2-IF(AN381="",0,YEAR(TODAY())-AN381))</f>
        <v/>
      </c>
      <c r="X381" s="21">
        <f>T381*V381/(1+Assumptions!$B$3)^W381</f>
        <v/>
      </c>
      <c r="Y381" s="25">
        <f>IF(T381=0,"",ROUND(X381/T381*100,1))</f>
        <v/>
      </c>
      <c r="Z381" s="26">
        <f>X381*Assumptions!$B$4</f>
        <v/>
      </c>
      <c r="AA381" s="25">
        <f>IF(T381=0,"",ROUND(Z381/T381*100,1))</f>
        <v/>
      </c>
      <c r="AB381" s="26">
        <f>X381-Z381</f>
        <v/>
      </c>
      <c r="AC381" s="25">
        <f>IF(T381=0,"",ROUND((X381-Z381)/T381*100,1))</f>
        <v/>
      </c>
      <c r="AD381" s="27" t="inlineStr">
        <is>
          <t>ESTIMATED</t>
        </is>
      </c>
      <c r="AE381" s="28" t="inlineStr">
        <is>
          <t>https://lrflideres.com.br/wp-content/plugins/download-attachments/includes/download.php?id=6252</t>
        </is>
      </c>
      <c r="AF381" s="27" t="inlineStr">
        <is>
          <t>p2 r44</t>
        </is>
      </c>
      <c r="AG381" s="27" t="inlineStr">
        <is>
          <t>p2: R$ 341.146,25</t>
        </is>
      </c>
      <c r="AH381" s="27" t="inlineStr">
        <is>
          <t>AJ_LIST</t>
        </is>
      </c>
      <c r="AI381" s="27" t="inlineStr">
        <is>
          <t>2024-11-27</t>
        </is>
      </c>
      <c r="AJ381" s="27" t="inlineStr">
        <is>
          <t>QUARANTINED</t>
        </is>
      </c>
      <c r="AK381" s="29" t="inlineStr">
        <is>
          <t>0000721-61.2024.8.17.2620</t>
        </is>
      </c>
      <c r="AL381" s="29" t="inlineStr">
        <is>
          <t>TJPE</t>
        </is>
      </c>
      <c r="AM381" s="29" t="inlineStr">
        <is>
          <t>ACTIVE</t>
        </is>
      </c>
      <c r="AN381" s="29" t="n">
        <v>2024</v>
      </c>
      <c r="AO381" s="29" t="inlineStr">
        <is>
          <t>live case, no plan document yet</t>
        </is>
      </c>
      <c r="AP381" s="29" t="inlineStr">
        <is>
          <t>TATUI</t>
        </is>
      </c>
      <c r="AQ381" s="29" t="inlineStr">
        <is>
          <t>SP</t>
        </is>
      </c>
      <c r="AR381" s="29" t="inlineStr">
        <is>
          <t>Sociedades de fomento mercantil - factoring</t>
        </is>
      </c>
      <c r="AS381" s="29" t="inlineStr">
        <is>
          <t>DEMAIS</t>
        </is>
      </c>
      <c r="AT381" s="29" t="inlineStr">
        <is>
          <t>MID-MARKET</t>
        </is>
      </c>
      <c r="AU381" s="29" t="inlineStr">
        <is>
          <t>24744042</t>
        </is>
      </c>
      <c r="AV381" s="29" t="n">
        <v>1</v>
      </c>
      <c r="AW381" s="29" t="inlineStr">
        <is>
          <t>PARTIAL_DOC_CLASS_III_RECONCILED ROWS:p2r44</t>
        </is>
      </c>
    </row>
    <row r="382">
      <c r="A382" s="15" t="inlineStr">
        <is>
          <t>FIDC DA INDUSTRIA EXODUS INSTITUCIONAL (TRUST)</t>
        </is>
      </c>
      <c r="B382" s="16" t="n">
        <v>336289.98</v>
      </c>
      <c r="C382" s="17" t="inlineStr">
        <is>
          <t>DIVINA INDUSTRIA DE COURO LTDA - EM RECUPERACAO JUDICIAL</t>
        </is>
      </c>
      <c r="D382" s="18" t="inlineStr">
        <is>
          <t>NEW</t>
        </is>
      </c>
      <c r="E382" s="19" t="inlineStr"/>
      <c r="F382" s="18" t="inlineStr"/>
      <c r="G382" s="19" t="inlineStr"/>
      <c r="H382" s="18" t="inlineStr"/>
      <c r="I382" s="20" t="inlineStr"/>
      <c r="J382" s="20" t="inlineStr"/>
      <c r="K382" s="20" t="inlineStr"/>
      <c r="L382" s="20" t="inlineStr"/>
      <c r="M382" s="20" t="inlineStr"/>
      <c r="N382" s="20" t="inlineStr"/>
      <c r="O382" s="20" t="inlineStr"/>
      <c r="P382" s="20" t="inlineStr"/>
      <c r="Q382" s="20" t="inlineStr"/>
      <c r="R382" s="20" t="inlineStr"/>
      <c r="S382" s="20" t="inlineStr"/>
      <c r="T382" s="21" t="n">
        <v>336289.98</v>
      </c>
      <c r="U382" s="22" t="inlineStr">
        <is>
          <t>B</t>
        </is>
      </c>
      <c r="V382" s="23">
        <f>IFERROR(VLOOKUP(U382,Assumptions!$A$7:$D$11,2,FALSE),0)</f>
        <v/>
      </c>
      <c r="W382" s="24">
        <f>MAX(0.5,IFERROR(VLOOKUP(U382,Assumptions!$A$7:$D$11,3,FALSE),3)+IFERROR(VLOOKUP(U382,Assumptions!$A$7:$D$11,4,FALSE),8)/2-IF(AN382="",0,YEAR(TODAY())-AN382))</f>
        <v/>
      </c>
      <c r="X382" s="21">
        <f>T382*V382/(1+Assumptions!$B$3)^W382</f>
        <v/>
      </c>
      <c r="Y382" s="25">
        <f>IF(T382=0,"",ROUND(X382/T382*100,1))</f>
        <v/>
      </c>
      <c r="Z382" s="26">
        <f>X382*Assumptions!$B$4</f>
        <v/>
      </c>
      <c r="AA382" s="25">
        <f>IF(T382=0,"",ROUND(Z382/T382*100,1))</f>
        <v/>
      </c>
      <c r="AB382" s="26">
        <f>X382-Z382</f>
        <v/>
      </c>
      <c r="AC382" s="25">
        <f>IF(T382=0,"",ROUND((X382-Z382)/T382*100,1))</f>
        <v/>
      </c>
      <c r="AD382" s="27" t="inlineStr">
        <is>
          <t>ESTIMATED</t>
        </is>
      </c>
      <c r="AE382" s="28" t="inlineStr">
        <is>
          <t>https://lrflideres.com.br/wp-content/plugins/download-attachments/includes/download.php?id=6252</t>
        </is>
      </c>
      <c r="AF382" s="27" t="inlineStr">
        <is>
          <t>p2 r40</t>
        </is>
      </c>
      <c r="AG382" s="27" t="inlineStr">
        <is>
          <t>p2: R$ 336.289,98</t>
        </is>
      </c>
      <c r="AH382" s="27" t="inlineStr">
        <is>
          <t>AJ_LIST</t>
        </is>
      </c>
      <c r="AI382" s="27" t="inlineStr">
        <is>
          <t>2024-11-27</t>
        </is>
      </c>
      <c r="AJ382" s="27" t="inlineStr">
        <is>
          <t>QUARANTINED</t>
        </is>
      </c>
      <c r="AK382" s="29" t="inlineStr">
        <is>
          <t>0000721-61.2024.8.17.2620</t>
        </is>
      </c>
      <c r="AL382" s="29" t="inlineStr">
        <is>
          <t>TJPE</t>
        </is>
      </c>
      <c r="AM382" s="29" t="inlineStr">
        <is>
          <t>ACTIVE</t>
        </is>
      </c>
      <c r="AN382" s="29" t="n">
        <v>2024</v>
      </c>
      <c r="AO382" s="29" t="inlineStr">
        <is>
          <t>live case, no plan document yet</t>
        </is>
      </c>
      <c r="AP382" s="29" t="inlineStr"/>
      <c r="AQ382" s="29" t="inlineStr"/>
      <c r="AR382" s="29" t="inlineStr"/>
      <c r="AS382" s="29" t="inlineStr"/>
      <c r="AT382" s="29" t="inlineStr">
        <is>
          <t>MID-MARKET</t>
        </is>
      </c>
      <c r="AU382" s="29" t="inlineStr">
        <is>
          <t>14051028</t>
        </is>
      </c>
      <c r="AV382" s="29" t="n">
        <v>1</v>
      </c>
      <c r="AW382" s="29" t="inlineStr">
        <is>
          <t>LIKELY_FINANCIAL_BY_NAME PARTIAL_DOC_CLASS_III_RECONCILED ROWS:p2r40</t>
        </is>
      </c>
    </row>
    <row r="383">
      <c r="A383" s="15" t="inlineStr">
        <is>
          <t>BANCO BRADESCO S.A.</t>
        </is>
      </c>
      <c r="B383" s="16" t="n">
        <v>332298.8</v>
      </c>
      <c r="C383" s="17" t="inlineStr">
        <is>
          <t>AGROFORTE AGROPECUARIA LTDA EM RECUPERACAO JUDICIAL</t>
        </is>
      </c>
      <c r="D383" s="18" t="inlineStr">
        <is>
          <t>NEW</t>
        </is>
      </c>
      <c r="E383" s="19" t="inlineStr"/>
      <c r="F383" s="18" t="inlineStr"/>
      <c r="G383" s="19" t="inlineStr"/>
      <c r="H383" s="18" t="inlineStr"/>
      <c r="I383" s="20" t="inlineStr">
        <is>
          <t>MARCELO DE ARAUJO NORONHA</t>
        </is>
      </c>
      <c r="J383" s="20" t="inlineStr">
        <is>
          <t>Presidente</t>
        </is>
      </c>
      <c r="K383" s="20" t="inlineStr">
        <is>
          <t>(11) 3684-5122</t>
        </is>
      </c>
      <c r="L383" s="20" t="inlineStr"/>
      <c r="M383" s="20" t="inlineStr"/>
      <c r="N383" s="20" t="inlineStr"/>
      <c r="O383" s="20" t="inlineStr"/>
      <c r="P383" s="20" t="inlineStr">
        <is>
          <t>AFRANIO CARLOS CAMARGO DANTZGER</t>
        </is>
      </c>
      <c r="Q383" s="20" t="inlineStr">
        <is>
          <t>Diretor</t>
        </is>
      </c>
      <c r="R383" s="20" t="inlineStr">
        <is>
          <t>(11) 3684-5122</t>
        </is>
      </c>
      <c r="S383" s="20" t="inlineStr"/>
      <c r="T383" s="21" t="n">
        <v>332298.8</v>
      </c>
      <c r="U383" s="22" t="inlineStr">
        <is>
          <t>B</t>
        </is>
      </c>
      <c r="V383" s="23">
        <f>IFERROR(VLOOKUP(U383,Assumptions!$A$7:$D$11,2,FALSE),0)</f>
        <v/>
      </c>
      <c r="W383" s="24">
        <f>MAX(0.5,IFERROR(VLOOKUP(U383,Assumptions!$A$7:$D$11,3,FALSE),3)+IFERROR(VLOOKUP(U383,Assumptions!$A$7:$D$11,4,FALSE),8)/2-IF(AN383="",0,YEAR(TODAY())-AN383))</f>
        <v/>
      </c>
      <c r="X383" s="21">
        <f>T383*V383/(1+Assumptions!$B$3)^W383</f>
        <v/>
      </c>
      <c r="Y383" s="25">
        <f>IF(T383=0,"",ROUND(X383/T383*100,1))</f>
        <v/>
      </c>
      <c r="Z383" s="26">
        <f>X383*Assumptions!$B$4</f>
        <v/>
      </c>
      <c r="AA383" s="25">
        <f>IF(T383=0,"",ROUND(Z383/T383*100,1))</f>
        <v/>
      </c>
      <c r="AB383" s="26">
        <f>X383-Z383</f>
        <v/>
      </c>
      <c r="AC383" s="25">
        <f>IF(T383=0,"",ROUND((X383-Z383)/T383*100,1))</f>
        <v/>
      </c>
      <c r="AD383" s="27" t="inlineStr">
        <is>
          <t>ESTIMATED</t>
        </is>
      </c>
      <c r="AE383" s="28" t="inlineStr">
        <is>
          <t>https://marquesadmjudicial.com.br/sgc/download.php?file=files/processo_documento/processo_documento11370527032026_1_.pdf&amp;nome=Quadro Geral de Credores (QGC) -AJ Anterior</t>
        </is>
      </c>
      <c r="AF383" s="27" t="inlineStr">
        <is>
          <t>p1 r6</t>
        </is>
      </c>
      <c r="AG383" s="27" t="inlineStr">
        <is>
          <t>p1: R$ 332.298,80</t>
        </is>
      </c>
      <c r="AH383" s="27" t="inlineStr">
        <is>
          <t>QGC</t>
        </is>
      </c>
      <c r="AI383" s="27" t="inlineStr">
        <is>
          <t>2025-09-22</t>
        </is>
      </c>
      <c r="AJ383" s="27" t="inlineStr">
        <is>
          <t>QUARANTINED</t>
        </is>
      </c>
      <c r="AK383" s="29" t="inlineStr">
        <is>
          <t>0031120-52.2024.8.16.0017</t>
        </is>
      </c>
      <c r="AL383" s="29" t="inlineStr">
        <is>
          <t>TJPR</t>
        </is>
      </c>
      <c r="AM383" s="29" t="inlineStr">
        <is>
          <t>ACTIVE</t>
        </is>
      </c>
      <c r="AN383" s="29" t="n">
        <v>2024</v>
      </c>
      <c r="AO383" s="29" t="inlineStr">
        <is>
          <t>live case, no plan document yet</t>
        </is>
      </c>
      <c r="AP383" s="29" t="inlineStr">
        <is>
          <t>OSASCO</t>
        </is>
      </c>
      <c r="AQ383" s="29" t="inlineStr">
        <is>
          <t>SP</t>
        </is>
      </c>
      <c r="AR383" s="29" t="inlineStr">
        <is>
          <t>Bancos múltiplos, com carteira comercial</t>
        </is>
      </c>
      <c r="AS383" s="29" t="inlineStr">
        <is>
          <t>DEMAIS</t>
        </is>
      </c>
      <c r="AT383" s="29" t="inlineStr">
        <is>
          <t>LARGE CORP</t>
        </is>
      </c>
      <c r="AU383" s="29" t="inlineStr">
        <is>
          <t>60746948</t>
        </is>
      </c>
      <c r="AV383" s="29" t="n">
        <v>1</v>
      </c>
      <c r="AW383" s="29" t="inlineStr">
        <is>
          <t>LIKELY_FINANCIAL_BY_NAME PARTIAL_DOC_CLASS_III_RECONCILED ROWS:p1r6</t>
        </is>
      </c>
    </row>
    <row r="384">
      <c r="A384" s="15" t="inlineStr">
        <is>
          <t>OPHIR FUNDO DE INVESTIMENTO EM DIREITOS CREDITORIOS</t>
        </is>
      </c>
      <c r="B384" s="16" t="n">
        <v>413700.86</v>
      </c>
      <c r="C384" s="17" t="inlineStr">
        <is>
          <t>BIGOLIN MATERIAIS DE CONSTRUCAO LTDA</t>
        </is>
      </c>
      <c r="D384" s="18" t="inlineStr">
        <is>
          <t>NEW</t>
        </is>
      </c>
      <c r="E384" s="19" t="inlineStr"/>
      <c r="F384" s="18" t="inlineStr"/>
      <c r="G384" s="19" t="inlineStr"/>
      <c r="H384" s="18" t="inlineStr"/>
      <c r="I384" s="20" t="inlineStr"/>
      <c r="J384" s="20" t="inlineStr"/>
      <c r="K384" s="20" t="inlineStr">
        <is>
          <t>(11) 2827-3500</t>
        </is>
      </c>
      <c r="L384" s="20" t="inlineStr"/>
      <c r="M384" s="20" t="inlineStr"/>
      <c r="N384" s="20" t="inlineStr"/>
      <c r="O384" s="20" t="inlineStr"/>
      <c r="P384" s="20" t="inlineStr"/>
      <c r="Q384" s="20" t="inlineStr"/>
      <c r="R384" s="20" t="inlineStr"/>
      <c r="S384" s="20" t="inlineStr"/>
      <c r="T384" s="21" t="n">
        <v>413700.86</v>
      </c>
      <c r="U384" s="22" t="inlineStr">
        <is>
          <t>B</t>
        </is>
      </c>
      <c r="V384" s="23">
        <f>IFERROR(VLOOKUP(U384,Assumptions!$A$7:$D$11,2,FALSE),0)</f>
        <v/>
      </c>
      <c r="W384" s="24">
        <f>MAX(0.5,IFERROR(VLOOKUP(U384,Assumptions!$A$7:$D$11,3,FALSE),3)+IFERROR(VLOOKUP(U384,Assumptions!$A$7:$D$11,4,FALSE),8)/2-IF(AN384="",0,YEAR(TODAY())-AN384))</f>
        <v/>
      </c>
      <c r="X384" s="21">
        <f>T384*V384/(1+Assumptions!$B$3)^W384</f>
        <v/>
      </c>
      <c r="Y384" s="25">
        <f>IF(T384=0,"",ROUND(X384/T384*100,1))</f>
        <v/>
      </c>
      <c r="Z384" s="26">
        <f>X384*Assumptions!$B$4</f>
        <v/>
      </c>
      <c r="AA384" s="25">
        <f>IF(T384=0,"",ROUND(Z384/T384*100,1))</f>
        <v/>
      </c>
      <c r="AB384" s="26">
        <f>X384-Z384</f>
        <v/>
      </c>
      <c r="AC384" s="25">
        <f>IF(T384=0,"",ROUND((X384-Z384)/T384*100,1))</f>
        <v/>
      </c>
      <c r="AD384" s="27" t="inlineStr">
        <is>
          <t>ESTIMATED</t>
        </is>
      </c>
      <c r="AE384" s="28" t="inlineStr">
        <is>
          <t>https://ativosajce.com.br/admin/download.php?file=files/processo_documento/processo_documento16022716122025_1_.pdf&amp;nome=Relação de credores - art. 52, §1º da Lei 11.101/05 - 15/12/2025</t>
        </is>
      </c>
      <c r="AF384" s="27" t="inlineStr">
        <is>
          <t>p3 r79</t>
        </is>
      </c>
      <c r="AG384" s="27" t="inlineStr">
        <is>
          <t>p3: R$ 413.700,86</t>
        </is>
      </c>
      <c r="AH384" s="27" t="inlineStr">
        <is>
          <t>UNKNOWN</t>
        </is>
      </c>
      <c r="AI384" s="27" t="inlineStr"/>
      <c r="AJ384" s="27" t="inlineStr">
        <is>
          <t>OK_NO_TOTALS</t>
        </is>
      </c>
      <c r="AK384" s="29" t="inlineStr">
        <is>
          <t>4054599-35.2025.8.26.0100</t>
        </is>
      </c>
      <c r="AL384" s="29" t="inlineStr">
        <is>
          <t>TJSP</t>
        </is>
      </c>
      <c r="AM384" s="29" t="inlineStr">
        <is>
          <t>ACTIVE</t>
        </is>
      </c>
      <c r="AN384" s="29" t="n">
        <v>2025</v>
      </c>
      <c r="AO384" s="29" t="inlineStr">
        <is>
          <t>live case, no plan document yet</t>
        </is>
      </c>
      <c r="AP384" s="29" t="inlineStr">
        <is>
          <t>SAO PAULO</t>
        </is>
      </c>
      <c r="AQ384" s="29" t="inlineStr">
        <is>
          <t>SP</t>
        </is>
      </c>
      <c r="AR384" s="29" t="inlineStr">
        <is>
          <t>Fundos de investimento, exceto previdenciários e imobiliários</t>
        </is>
      </c>
      <c r="AS384" s="29" t="inlineStr">
        <is>
          <t>DEMAIS</t>
        </is>
      </c>
      <c r="AT384" s="29" t="inlineStr">
        <is>
          <t>MID-MARKET</t>
        </is>
      </c>
      <c r="AU384" s="29" t="inlineStr">
        <is>
          <t>42605322</t>
        </is>
      </c>
      <c r="AV384" s="29" t="n">
        <v>1</v>
      </c>
      <c r="AW384" s="29" t="inlineStr">
        <is>
          <t>ROWS:p3r79 UNRECONCILED_SOURCE</t>
        </is>
      </c>
    </row>
    <row r="385">
      <c r="A385" s="15" t="inlineStr">
        <is>
          <t>BANCO ABC BRASIL S.A.</t>
        </is>
      </c>
      <c r="B385" s="16" t="n">
        <v>263557.92</v>
      </c>
      <c r="C385" s="17" t="inlineStr">
        <is>
          <t>BBR AGRO SUPLEMENTOS LTDA EM RECUPERACAO JUDICIAL</t>
        </is>
      </c>
      <c r="D385" s="18" t="inlineStr">
        <is>
          <t>NEW</t>
        </is>
      </c>
      <c r="E385" s="19" t="inlineStr"/>
      <c r="F385" s="18" t="inlineStr"/>
      <c r="G385" s="19" t="inlineStr"/>
      <c r="H385" s="18" t="inlineStr"/>
      <c r="I385" s="20" t="inlineStr">
        <is>
          <t>SERGIO LULIA JACOB</t>
        </is>
      </c>
      <c r="J385" s="20" t="inlineStr">
        <is>
          <t>Presidente</t>
        </is>
      </c>
      <c r="K385" s="20" t="inlineStr">
        <is>
          <t>(11) 3170-2000</t>
        </is>
      </c>
      <c r="L385" s="20" t="inlineStr"/>
      <c r="M385" s="20" t="inlineStr"/>
      <c r="N385" s="20" t="inlineStr"/>
      <c r="O385" s="20" t="inlineStr"/>
      <c r="P385" s="20" t="inlineStr">
        <is>
          <t>ADRIANA FERNANDES PERES</t>
        </is>
      </c>
      <c r="Q385" s="20" t="inlineStr">
        <is>
          <t>Diretor</t>
        </is>
      </c>
      <c r="R385" s="20" t="inlineStr">
        <is>
          <t>(11) 3170-2000</t>
        </is>
      </c>
      <c r="S385" s="20" t="inlineStr"/>
      <c r="T385" s="21" t="n">
        <v>263557.92</v>
      </c>
      <c r="U385" s="22" t="inlineStr">
        <is>
          <t>B</t>
        </is>
      </c>
      <c r="V385" s="23">
        <f>IFERROR(VLOOKUP(U385,Assumptions!$A$7:$D$11,2,FALSE),0)</f>
        <v/>
      </c>
      <c r="W385" s="24">
        <f>MAX(0.5,IFERROR(VLOOKUP(U385,Assumptions!$A$7:$D$11,3,FALSE),3)+IFERROR(VLOOKUP(U385,Assumptions!$A$7:$D$11,4,FALSE),8)/2-IF(AN385="",0,YEAR(TODAY())-AN385))</f>
        <v/>
      </c>
      <c r="X385" s="21">
        <f>T385*V385/(1+Assumptions!$B$3)^W385</f>
        <v/>
      </c>
      <c r="Y385" s="25">
        <f>IF(T385=0,"",ROUND(X385/T385*100,1))</f>
        <v/>
      </c>
      <c r="Z385" s="26">
        <f>X385*Assumptions!$B$4</f>
        <v/>
      </c>
      <c r="AA385" s="25">
        <f>IF(T385=0,"",ROUND(Z385/T385*100,1))</f>
        <v/>
      </c>
      <c r="AB385" s="26">
        <f>X385-Z385</f>
        <v/>
      </c>
      <c r="AC385" s="25">
        <f>IF(T385=0,"",ROUND((X385-Z385)/T385*100,1))</f>
        <v/>
      </c>
      <c r="AD385" s="27" t="inlineStr">
        <is>
          <t>ESTIMATED</t>
        </is>
      </c>
      <c r="AE385" s="28" t="inlineStr">
        <is>
          <t>https://ajruiz.com.br/sites/default/files/public/arquivos-processos/2026-06/alto_uruguai_qgc_junho.2026.pdf</t>
        </is>
      </c>
      <c r="AF385" s="27" t="inlineStr">
        <is>
          <t>p1 r11</t>
        </is>
      </c>
      <c r="AG385" s="27" t="inlineStr">
        <is>
          <t>p1: R$ 263.557,92</t>
        </is>
      </c>
      <c r="AH385" s="27" t="inlineStr">
        <is>
          <t>UNKNOWN</t>
        </is>
      </c>
      <c r="AI385" s="27" t="inlineStr"/>
      <c r="AJ385" s="27" t="inlineStr">
        <is>
          <t>OK</t>
        </is>
      </c>
      <c r="AK385" s="29" t="inlineStr">
        <is>
          <t>5012743-51.2023.8.24.0019</t>
        </is>
      </c>
      <c r="AL385" s="29" t="inlineStr">
        <is>
          <t>TJSC</t>
        </is>
      </c>
      <c r="AM385" s="29" t="inlineStr">
        <is>
          <t>ACTIVE</t>
        </is>
      </c>
      <c r="AN385" s="29" t="n">
        <v>2023</v>
      </c>
      <c r="AO385" s="29" t="inlineStr">
        <is>
          <t>live case, no plan document yet</t>
        </is>
      </c>
      <c r="AP385" s="29" t="inlineStr">
        <is>
          <t>SAO PAULO</t>
        </is>
      </c>
      <c r="AQ385" s="29" t="inlineStr">
        <is>
          <t>SP</t>
        </is>
      </c>
      <c r="AR385" s="29" t="inlineStr">
        <is>
          <t>Bancos múltiplos, com carteira comercial</t>
        </is>
      </c>
      <c r="AS385" s="29" t="inlineStr">
        <is>
          <t>DEMAIS</t>
        </is>
      </c>
      <c r="AT385" s="29" t="inlineStr">
        <is>
          <t>LARGE CORP</t>
        </is>
      </c>
      <c r="AU385" s="29" t="inlineStr">
        <is>
          <t>28195667</t>
        </is>
      </c>
      <c r="AV385" s="29" t="n">
        <v>1</v>
      </c>
      <c r="AW385" s="29" t="inlineStr">
        <is>
          <t>LIKELY_FINANCIAL_BY_NAME ROWS:p1r11 VALUE_COL:Valor_Do_Crédito</t>
        </is>
      </c>
    </row>
    <row r="386">
      <c r="A386" s="15" t="inlineStr">
        <is>
          <t>BANCO SAFRA S A</t>
        </is>
      </c>
      <c r="B386" s="16" t="n">
        <v>328600</v>
      </c>
      <c r="C386" s="17" t="inlineStr">
        <is>
          <t>ATIVOS ADMINISTRAÇÃO JUDICIA</t>
        </is>
      </c>
      <c r="D386" s="18" t="inlineStr">
        <is>
          <t>NEW</t>
        </is>
      </c>
      <c r="E386" s="19" t="inlineStr"/>
      <c r="F386" s="18" t="inlineStr"/>
      <c r="G386" s="19" t="inlineStr"/>
      <c r="H386" s="18" t="inlineStr"/>
      <c r="I386" s="20" t="inlineStr">
        <is>
          <t>RAFAEL BORDALO QUINTAS</t>
        </is>
      </c>
      <c r="J386" s="20" t="inlineStr">
        <is>
          <t>Administrador</t>
        </is>
      </c>
      <c r="K386" s="20" t="inlineStr">
        <is>
          <t>(11) 3175-7575</t>
        </is>
      </c>
      <c r="L386" s="20" t="inlineStr"/>
      <c r="M386" s="20" t="inlineStr"/>
      <c r="N386" s="20" t="inlineStr"/>
      <c r="O386" s="20" t="inlineStr"/>
      <c r="P386" s="20" t="inlineStr">
        <is>
          <t>ADRIANO MACIEL PEDROTI</t>
        </is>
      </c>
      <c r="Q386" s="20" t="inlineStr">
        <is>
          <t>Diretor</t>
        </is>
      </c>
      <c r="R386" s="20" t="inlineStr">
        <is>
          <t>(11) 3175-7575</t>
        </is>
      </c>
      <c r="S386" s="20" t="inlineStr"/>
      <c r="T386" s="21" t="n">
        <v>328600</v>
      </c>
      <c r="U386" s="22" t="inlineStr">
        <is>
          <t>B</t>
        </is>
      </c>
      <c r="V386" s="23">
        <f>IFERROR(VLOOKUP(U386,Assumptions!$A$7:$D$11,2,FALSE),0)</f>
        <v/>
      </c>
      <c r="W386" s="24">
        <f>MAX(0.5,IFERROR(VLOOKUP(U386,Assumptions!$A$7:$D$11,3,FALSE),3)+IFERROR(VLOOKUP(U386,Assumptions!$A$7:$D$11,4,FALSE),8)/2-IF(AN386="",0,YEAR(TODAY())-AN386))</f>
        <v/>
      </c>
      <c r="X386" s="21">
        <f>T386*V386/(1+Assumptions!$B$3)^W386</f>
        <v/>
      </c>
      <c r="Y386" s="25">
        <f>IF(T386=0,"",ROUND(X386/T386*100,1))</f>
        <v/>
      </c>
      <c r="Z386" s="26">
        <f>X386*Assumptions!$B$4</f>
        <v/>
      </c>
      <c r="AA386" s="25">
        <f>IF(T386=0,"",ROUND(Z386/T386*100,1))</f>
        <v/>
      </c>
      <c r="AB386" s="26">
        <f>X386-Z386</f>
        <v/>
      </c>
      <c r="AC386" s="25">
        <f>IF(T386=0,"",ROUND((X386-Z386)/T386*100,1))</f>
        <v/>
      </c>
      <c r="AD386" s="27" t="inlineStr">
        <is>
          <t>ESTIMATED</t>
        </is>
      </c>
      <c r="AE386" s="28" t="inlineStr">
        <is>
          <t>https://ativosajce.com.br/admin/download.php?file=files/processo_documento/processo_documento18543908052025_1_.pdf&amp;nome=Relação de Credores - art. 52, §1º da Lei 11.101/05 - 27/01/2025</t>
        </is>
      </c>
      <c r="AF386" s="27" t="inlineStr">
        <is>
          <t>p3 r3</t>
        </is>
      </c>
      <c r="AG386" s="27" t="inlineStr">
        <is>
          <t>p3: R$ 328.600,00</t>
        </is>
      </c>
      <c r="AH386" s="27" t="inlineStr">
        <is>
          <t>UNKNOWN</t>
        </is>
      </c>
      <c r="AI386" s="27" t="inlineStr"/>
      <c r="AJ386" s="27" t="inlineStr">
        <is>
          <t>OK_NO_TOTALS</t>
        </is>
      </c>
      <c r="AK386" s="29" t="inlineStr">
        <is>
          <t>1001174-80.2024.8.26.0359</t>
        </is>
      </c>
      <c r="AL386" s="29" t="inlineStr">
        <is>
          <t>TJSP</t>
        </is>
      </c>
      <c r="AM386" s="29" t="inlineStr">
        <is>
          <t>ACTIVE</t>
        </is>
      </c>
      <c r="AN386" s="29" t="n">
        <v>2024</v>
      </c>
      <c r="AO386" s="29" t="inlineStr">
        <is>
          <t>live case, no plan document yet</t>
        </is>
      </c>
      <c r="AP386" s="29" t="inlineStr">
        <is>
          <t>SAO PAULO</t>
        </is>
      </c>
      <c r="AQ386" s="29" t="inlineStr">
        <is>
          <t>SP</t>
        </is>
      </c>
      <c r="AR386" s="29" t="inlineStr">
        <is>
          <t>Bancos múltiplos, com carteira comercial</t>
        </is>
      </c>
      <c r="AS386" s="29" t="inlineStr">
        <is>
          <t>DEMAIS</t>
        </is>
      </c>
      <c r="AT386" s="29" t="inlineStr">
        <is>
          <t>LARGE CORP</t>
        </is>
      </c>
      <c r="AU386" s="29" t="inlineStr">
        <is>
          <t>58160789</t>
        </is>
      </c>
      <c r="AV386" s="29" t="n">
        <v>1</v>
      </c>
      <c r="AW386" s="29" t="inlineStr">
        <is>
          <t>ROWS:p3r3 UNRECONCILED_SOURCE VALUE_COL:Valor_Do_Créidto</t>
        </is>
      </c>
    </row>
    <row r="387">
      <c r="A387" s="15" t="inlineStr">
        <is>
          <t>BANCO BRADESCO S.A.</t>
        </is>
      </c>
      <c r="B387" s="16" t="n">
        <v>299688.41</v>
      </c>
      <c r="C387" s="17" t="inlineStr">
        <is>
          <t>empresa</t>
        </is>
      </c>
      <c r="D387" s="18" t="inlineStr">
        <is>
          <t>NEW</t>
        </is>
      </c>
      <c r="E387" s="19" t="inlineStr"/>
      <c r="F387" s="18" t="inlineStr"/>
      <c r="G387" s="19" t="inlineStr"/>
      <c r="H387" s="18" t="inlineStr"/>
      <c r="I387" s="20" t="inlineStr">
        <is>
          <t>MARCELO DE ARAUJO NORONHA</t>
        </is>
      </c>
      <c r="J387" s="20" t="inlineStr">
        <is>
          <t>Presidente</t>
        </is>
      </c>
      <c r="K387" s="20" t="inlineStr">
        <is>
          <t>(11) 3684-5122</t>
        </is>
      </c>
      <c r="L387" s="20" t="inlineStr"/>
      <c r="M387" s="20" t="inlineStr"/>
      <c r="N387" s="20" t="inlineStr"/>
      <c r="O387" s="20" t="inlineStr"/>
      <c r="P387" s="20" t="inlineStr">
        <is>
          <t>AFRANIO CARLOS CAMARGO DANTZGER</t>
        </is>
      </c>
      <c r="Q387" s="20" t="inlineStr">
        <is>
          <t>Diretor</t>
        </is>
      </c>
      <c r="R387" s="20" t="inlineStr">
        <is>
          <t>(11) 3684-5122</t>
        </is>
      </c>
      <c r="S387" s="20" t="inlineStr"/>
      <c r="T387" s="21" t="n">
        <v>299688.41</v>
      </c>
      <c r="U387" s="31" t="inlineStr">
        <is>
          <t>C</t>
        </is>
      </c>
      <c r="V387" s="23">
        <f>IFERROR(VLOOKUP(U387,Assumptions!$A$7:$D$11,2,FALSE),0)</f>
        <v/>
      </c>
      <c r="W387" s="24">
        <f>MAX(0.5,IFERROR(VLOOKUP(U387,Assumptions!$A$7:$D$11,3,FALSE),3)+IFERROR(VLOOKUP(U387,Assumptions!$A$7:$D$11,4,FALSE),8)/2-IF(AN387="",0,YEAR(TODAY())-AN387))</f>
        <v/>
      </c>
      <c r="X387" s="21">
        <f>T387*V387/(1+Assumptions!$B$3)^W387</f>
        <v/>
      </c>
      <c r="Y387" s="25">
        <f>IF(T387=0,"",ROUND(X387/T387*100,1))</f>
        <v/>
      </c>
      <c r="Z387" s="26">
        <f>X387*Assumptions!$B$4</f>
        <v/>
      </c>
      <c r="AA387" s="25">
        <f>IF(T387=0,"",ROUND(Z387/T387*100,1))</f>
        <v/>
      </c>
      <c r="AB387" s="26">
        <f>X387-Z387</f>
        <v/>
      </c>
      <c r="AC387" s="25">
        <f>IF(T387=0,"",ROUND((X387-Z387)/T387*100,1))</f>
        <v/>
      </c>
      <c r="AD387" s="27" t="inlineStr">
        <is>
          <t>UNKNOWN</t>
        </is>
      </c>
      <c r="AE387" s="28" t="inlineStr">
        <is>
          <t>https://realbrasil.com.br/wp-content/uploads/2017/05/Relação-de-Credores_-Mastter-1.pdf</t>
        </is>
      </c>
      <c r="AF387" s="27" t="inlineStr">
        <is>
          <t>p13 r13; p13 r15</t>
        </is>
      </c>
      <c r="AG387" s="27" t="inlineStr">
        <is>
          <t>p13: R$ 298.489,42; p13: R$ 1.198,99</t>
        </is>
      </c>
      <c r="AH387" s="27" t="inlineStr">
        <is>
          <t>DEBTOR_LIST</t>
        </is>
      </c>
      <c r="AI387" s="27" t="inlineStr">
        <is>
          <t>2016-02-10</t>
        </is>
      </c>
      <c r="AJ387" s="27" t="inlineStr">
        <is>
          <t>OK_NO_TOTALS</t>
        </is>
      </c>
      <c r="AK387" s="29" t="inlineStr">
        <is>
          <t>0801893-91.2016.8.12.0011</t>
        </is>
      </c>
      <c r="AL387" s="29" t="inlineStr">
        <is>
          <t>TJ</t>
        </is>
      </c>
      <c r="AM387" s="29" t="inlineStr"/>
      <c r="AN387" s="29" t="n">
        <v>2016</v>
      </c>
      <c r="AO387" s="29" t="inlineStr">
        <is>
          <t>10y since filing, no plan document</t>
        </is>
      </c>
      <c r="AP387" s="29" t="inlineStr">
        <is>
          <t>OSASCO</t>
        </is>
      </c>
      <c r="AQ387" s="29" t="inlineStr">
        <is>
          <t>SP</t>
        </is>
      </c>
      <c r="AR387" s="29" t="inlineStr">
        <is>
          <t>Bancos múltiplos, com carteira comercial</t>
        </is>
      </c>
      <c r="AS387" s="29" t="inlineStr">
        <is>
          <t>DEMAIS</t>
        </is>
      </c>
      <c r="AT387" s="29" t="inlineStr">
        <is>
          <t>LARGE CORP</t>
        </is>
      </c>
      <c r="AU387" s="29" t="inlineStr">
        <is>
          <t>60746948</t>
        </is>
      </c>
      <c r="AV387" s="29" t="n">
        <v>2</v>
      </c>
      <c r="AW387" s="29" t="inlineStr">
        <is>
          <t>ALT_VALUE:R$1.198,99 ALT_VALUE:R$298.489,42 ROWS:p13r13,p13r15 UNRECONCILED_SOURCE</t>
        </is>
      </c>
    </row>
    <row r="388">
      <c r="A388" s="15" t="inlineStr">
        <is>
          <t>ITAU UNIBANCO S.A.</t>
        </is>
      </c>
      <c r="B388" s="16" t="n">
        <v>209200</v>
      </c>
      <c r="C388" s="17" t="inlineStr">
        <is>
          <t>INDÚSTRIA DE PRODUTOS METALÚRGICOS</t>
        </is>
      </c>
      <c r="D388" s="18" t="inlineStr">
        <is>
          <t>NEW</t>
        </is>
      </c>
      <c r="E388" s="19" t="inlineStr"/>
      <c r="F388" s="18" t="inlineStr"/>
      <c r="G388" s="19" t="inlineStr"/>
      <c r="H388" s="18" t="inlineStr"/>
      <c r="I388" s="20" t="inlineStr">
        <is>
          <t>FELIPE SAMPAIO NABUCO</t>
        </is>
      </c>
      <c r="J388" s="20" t="inlineStr">
        <is>
          <t>Administrador</t>
        </is>
      </c>
      <c r="K388" s="20" t="inlineStr">
        <is>
          <t>(11) 3003-4828</t>
        </is>
      </c>
      <c r="L388" s="20" t="inlineStr"/>
      <c r="M388" s="20" t="inlineStr"/>
      <c r="N388" s="20" t="inlineStr"/>
      <c r="O388" s="20" t="inlineStr"/>
      <c r="P388" s="20" t="inlineStr">
        <is>
          <t>MILTON MALUHY FILHO</t>
        </is>
      </c>
      <c r="Q388" s="20" t="inlineStr">
        <is>
          <t>Presidente</t>
        </is>
      </c>
      <c r="R388" s="20" t="inlineStr">
        <is>
          <t>(11) 3003-4828</t>
        </is>
      </c>
      <c r="S388" s="20" t="inlineStr"/>
      <c r="T388" s="21" t="n">
        <v>209200</v>
      </c>
      <c r="U388" s="22" t="inlineStr">
        <is>
          <t>B</t>
        </is>
      </c>
      <c r="V388" s="23">
        <f>IFERROR(VLOOKUP(U388,Assumptions!$A$7:$D$11,2,FALSE),0)</f>
        <v/>
      </c>
      <c r="W388" s="24">
        <f>MAX(0.5,IFERROR(VLOOKUP(U388,Assumptions!$A$7:$D$11,3,FALSE),3)+IFERROR(VLOOKUP(U388,Assumptions!$A$7:$D$11,4,FALSE),8)/2-IF(AN388="",0,YEAR(TODAY())-AN388))</f>
        <v/>
      </c>
      <c r="X388" s="21">
        <f>T388*V388/(1+Assumptions!$B$3)^W388</f>
        <v/>
      </c>
      <c r="Y388" s="25">
        <f>IF(T388=0,"",ROUND(X388/T388*100,1))</f>
        <v/>
      </c>
      <c r="Z388" s="26">
        <f>X388*Assumptions!$B$4</f>
        <v/>
      </c>
      <c r="AA388" s="25">
        <f>IF(T388=0,"",ROUND(Z388/T388*100,1))</f>
        <v/>
      </c>
      <c r="AB388" s="26">
        <f>X388-Z388</f>
        <v/>
      </c>
      <c r="AC388" s="25">
        <f>IF(T388=0,"",ROUND((X388-Z388)/T388*100,1))</f>
        <v/>
      </c>
      <c r="AD388" s="27" t="inlineStr">
        <is>
          <t>ESTIMATED</t>
        </is>
      </c>
      <c r="AE388" s="28" t="inlineStr">
        <is>
          <t>https://lrflideres.com.br/wp-content/uploads/2023/01/4.-EDITAL-2a-LISTA-DE-CREDORES-1.pdf</t>
        </is>
      </c>
      <c r="AF388" s="27" t="inlineStr">
        <is>
          <t>p2 r59</t>
        </is>
      </c>
      <c r="AG388" s="27" t="inlineStr">
        <is>
          <t>p2: R$ 209.200,00</t>
        </is>
      </c>
      <c r="AH388" s="27" t="inlineStr">
        <is>
          <t>AJ_LIST</t>
        </is>
      </c>
      <c r="AI388" s="27" t="inlineStr">
        <is>
          <t>2023-11-24</t>
        </is>
      </c>
      <c r="AJ388" s="27" t="inlineStr">
        <is>
          <t>OK</t>
        </is>
      </c>
      <c r="AK388" s="29" t="inlineStr">
        <is>
          <t>0824037-95.2022.8.15.0001</t>
        </is>
      </c>
      <c r="AL388" s="29" t="inlineStr">
        <is>
          <t>TJPB</t>
        </is>
      </c>
      <c r="AM388" s="29" t="inlineStr">
        <is>
          <t>ACTIVE</t>
        </is>
      </c>
      <c r="AN388" s="29" t="n">
        <v>2022</v>
      </c>
      <c r="AO388" s="29" t="inlineStr">
        <is>
          <t>live case, no plan document yet</t>
        </is>
      </c>
      <c r="AP388" s="29" t="inlineStr">
        <is>
          <t>SAO PAULO</t>
        </is>
      </c>
      <c r="AQ388" s="29" t="inlineStr">
        <is>
          <t>SP</t>
        </is>
      </c>
      <c r="AR388" s="29" t="inlineStr">
        <is>
          <t>Bancos comerciais</t>
        </is>
      </c>
      <c r="AS388" s="29" t="inlineStr">
        <is>
          <t>DEMAIS</t>
        </is>
      </c>
      <c r="AT388" s="29" t="inlineStr">
        <is>
          <t>LARGE CORP</t>
        </is>
      </c>
      <c r="AU388" s="29" t="inlineStr">
        <is>
          <t>60701190</t>
        </is>
      </c>
      <c r="AV388" s="29" t="n">
        <v>1</v>
      </c>
      <c r="AW388" s="29" t="inlineStr">
        <is>
          <t>LIKELY_FINANCIAL_BY_NAME ROWS:p2r59</t>
        </is>
      </c>
    </row>
    <row r="389">
      <c r="A389" s="15" t="inlineStr">
        <is>
          <t>PHD FUNDO DE INVESTIMENTO EM DIREITOS CREDITÓRIOS (</t>
        </is>
      </c>
      <c r="B389" s="16" t="n">
        <v>521700.43</v>
      </c>
      <c r="C389" s="17" t="inlineStr">
        <is>
          <t>VECTOR INDUSTRIA DE PRODUTOS METALURGICOS LTDA - EM RECUPERACAO JUDICIAL</t>
        </is>
      </c>
      <c r="D389" s="18" t="inlineStr">
        <is>
          <t>NEW</t>
        </is>
      </c>
      <c r="E389" s="19" t="inlineStr"/>
      <c r="F389" s="18" t="inlineStr"/>
      <c r="G389" s="19" t="inlineStr"/>
      <c r="H389" s="18" t="inlineStr"/>
      <c r="I389" s="20" t="inlineStr"/>
      <c r="J389" s="20" t="inlineStr"/>
      <c r="K389" s="20" t="inlineStr"/>
      <c r="L389" s="20" t="inlineStr"/>
      <c r="M389" s="20" t="inlineStr"/>
      <c r="N389" s="20" t="inlineStr"/>
      <c r="O389" s="20" t="inlineStr"/>
      <c r="P389" s="20" t="inlineStr"/>
      <c r="Q389" s="20" t="inlineStr"/>
      <c r="R389" s="20" t="inlineStr"/>
      <c r="S389" s="20" t="inlineStr"/>
      <c r="T389" s="21" t="n">
        <v>521700.43</v>
      </c>
      <c r="U389" s="31" t="inlineStr">
        <is>
          <t>C</t>
        </is>
      </c>
      <c r="V389" s="23">
        <f>IFERROR(VLOOKUP(U389,Assumptions!$A$7:$D$11,2,FALSE),0)</f>
        <v/>
      </c>
      <c r="W389" s="24">
        <f>MAX(0.5,IFERROR(VLOOKUP(U389,Assumptions!$A$7:$D$11,3,FALSE),3)+IFERROR(VLOOKUP(U389,Assumptions!$A$7:$D$11,4,FALSE),8)/2-IF(AN389="",0,YEAR(TODAY())-AN389))</f>
        <v/>
      </c>
      <c r="X389" s="21">
        <f>T389*V389/(1+Assumptions!$B$3)^W389</f>
        <v/>
      </c>
      <c r="Y389" s="25">
        <f>IF(T389=0,"",ROUND(X389/T389*100,1))</f>
        <v/>
      </c>
      <c r="Z389" s="26">
        <f>X389*Assumptions!$B$4</f>
        <v/>
      </c>
      <c r="AA389" s="25">
        <f>IF(T389=0,"",ROUND(Z389/T389*100,1))</f>
        <v/>
      </c>
      <c r="AB389" s="26">
        <f>X389-Z389</f>
        <v/>
      </c>
      <c r="AC389" s="25">
        <f>IF(T389=0,"",ROUND((X389-Z389)/T389*100,1))</f>
        <v/>
      </c>
      <c r="AD389" s="27" t="inlineStr">
        <is>
          <t>ESTIMATED</t>
        </is>
      </c>
      <c r="AE389" s="28" t="inlineStr">
        <is>
          <t>https://scalzilliaj.com.br/sgc/download.php?file=files/processo_documento/processo_documento15513401112022_1_.pdf&amp;nome=15 - Edital do art. 7º, §2º (segunda lista de credores) e do art. 53 da Lei 11.101/2005 (recebimento do plano)</t>
        </is>
      </c>
      <c r="AF389" s="27" t="inlineStr">
        <is>
          <t>p9 r4</t>
        </is>
      </c>
      <c r="AG389" s="27" t="inlineStr">
        <is>
          <t>p9: R$ 521.700,43</t>
        </is>
      </c>
      <c r="AH389" s="27" t="inlineStr">
        <is>
          <t>AJ_LIST</t>
        </is>
      </c>
      <c r="AI389" s="27" t="inlineStr">
        <is>
          <t>2022-11-01</t>
        </is>
      </c>
      <c r="AJ389" s="27" t="inlineStr">
        <is>
          <t>OK_NO_TOTALS</t>
        </is>
      </c>
      <c r="AK389" s="29" t="inlineStr">
        <is>
          <t>5014104-85.2021.8.21.0010</t>
        </is>
      </c>
      <c r="AL389" s="29" t="inlineStr">
        <is>
          <t>TJRS</t>
        </is>
      </c>
      <c r="AM389" s="29" t="inlineStr">
        <is>
          <t>ACTIVE</t>
        </is>
      </c>
      <c r="AN389" s="29" t="n">
        <v>2021</v>
      </c>
      <c r="AO389" s="29" t="inlineStr">
        <is>
          <t>5y since filing, no plan document</t>
        </is>
      </c>
      <c r="AP389" s="29" t="inlineStr"/>
      <c r="AQ389" s="29" t="inlineStr"/>
      <c r="AR389" s="29" t="inlineStr"/>
      <c r="AS389" s="29" t="inlineStr"/>
      <c r="AT389" s="29" t="inlineStr">
        <is>
          <t>MID-MARKET</t>
        </is>
      </c>
      <c r="AU389" s="29" t="inlineStr">
        <is>
          <t>39769038</t>
        </is>
      </c>
      <c r="AV389" s="29" t="n">
        <v>1</v>
      </c>
      <c r="AW389" s="29" t="inlineStr">
        <is>
          <t>LIKELY_FINANCIAL_BY_NAME ROWS:p9r4 UNRECONCILED_SOURCE</t>
        </is>
      </c>
    </row>
    <row r="390">
      <c r="A390" s="15" t="inlineStr">
        <is>
          <t>BANCO DO NORDESTE DO BRASIL SA</t>
        </is>
      </c>
      <c r="B390" s="16" t="n">
        <v>402799.67</v>
      </c>
      <c r="C390" s="17" t="inlineStr">
        <is>
          <t>- VENEZA SERVIÇOS ADMINISTRATIVOS LTDA</t>
        </is>
      </c>
      <c r="D390" s="18" t="inlineStr">
        <is>
          <t>NEW</t>
        </is>
      </c>
      <c r="E390" s="19" t="inlineStr"/>
      <c r="F390" s="18" t="inlineStr"/>
      <c r="G390" s="19" t="inlineStr"/>
      <c r="H390" s="18" t="inlineStr"/>
      <c r="I390" s="20" t="inlineStr">
        <is>
          <t>PAULO HENRIQUE SARAIVA CAMARA</t>
        </is>
      </c>
      <c r="J390" s="20" t="inlineStr">
        <is>
          <t>Presidente</t>
        </is>
      </c>
      <c r="K390" s="20" t="inlineStr">
        <is>
          <t>(85) 3299-3000</t>
        </is>
      </c>
      <c r="L390" s="20" t="inlineStr"/>
      <c r="M390" s="20" t="inlineStr"/>
      <c r="N390" s="20" t="inlineStr"/>
      <c r="O390" s="20" t="inlineStr"/>
      <c r="P390" s="20" t="inlineStr">
        <is>
          <t>ANA TERESA BARBOSA DE CARVALHO</t>
        </is>
      </c>
      <c r="Q390" s="20" t="inlineStr">
        <is>
          <t>Diretor</t>
        </is>
      </c>
      <c r="R390" s="20" t="inlineStr">
        <is>
          <t>(85) 3299-3000</t>
        </is>
      </c>
      <c r="S390" s="20" t="inlineStr"/>
      <c r="T390" s="21" t="n">
        <v>402799.67</v>
      </c>
      <c r="U390" s="22" t="inlineStr">
        <is>
          <t>B</t>
        </is>
      </c>
      <c r="V390" s="23">
        <f>IFERROR(VLOOKUP(U390,Assumptions!$A$7:$D$11,2,FALSE),0)</f>
        <v/>
      </c>
      <c r="W390" s="24">
        <f>MAX(0.5,IFERROR(VLOOKUP(U390,Assumptions!$A$7:$D$11,3,FALSE),3)+IFERROR(VLOOKUP(U390,Assumptions!$A$7:$D$11,4,FALSE),8)/2-IF(AN390="",0,YEAR(TODAY())-AN390))</f>
        <v/>
      </c>
      <c r="X390" s="21">
        <f>T390*V390/(1+Assumptions!$B$3)^W390</f>
        <v/>
      </c>
      <c r="Y390" s="25">
        <f>IF(T390=0,"",ROUND(X390/T390*100,1))</f>
        <v/>
      </c>
      <c r="Z390" s="26">
        <f>X390*Assumptions!$B$4</f>
        <v/>
      </c>
      <c r="AA390" s="25">
        <f>IF(T390=0,"",ROUND(Z390/T390*100,1))</f>
        <v/>
      </c>
      <c r="AB390" s="26">
        <f>X390-Z390</f>
        <v/>
      </c>
      <c r="AC390" s="25">
        <f>IF(T390=0,"",ROUND((X390-Z390)/T390*100,1))</f>
        <v/>
      </c>
      <c r="AD390" s="27" t="inlineStr">
        <is>
          <t>ESTIMATED</t>
        </is>
      </c>
      <c r="AE390" s="28" t="inlineStr">
        <is>
          <t>https://bugarimecoelho.com.br/ws/media-library/b6b7ea42b9fa2afe30bc728fe00cd5c6/07---edital-do-processamento-da-recuperacao-judicial.pdf</t>
        </is>
      </c>
      <c r="AF390" s="27" t="inlineStr">
        <is>
          <t>p16 r11</t>
        </is>
      </c>
      <c r="AG390" s="27" t="inlineStr">
        <is>
          <t>p16: R$ 402.799,67</t>
        </is>
      </c>
      <c r="AH390" s="27" t="inlineStr">
        <is>
          <t>UNKNOWN</t>
        </is>
      </c>
      <c r="AI390" s="27" t="inlineStr">
        <is>
          <t>2026-07-09</t>
        </is>
      </c>
      <c r="AJ390" s="27" t="inlineStr">
        <is>
          <t>OK</t>
        </is>
      </c>
      <c r="AK390" s="29" t="inlineStr">
        <is>
          <t>3000117-40.2025.8.06.0512</t>
        </is>
      </c>
      <c r="AL390" s="29" t="inlineStr">
        <is>
          <t>TJCE</t>
        </is>
      </c>
      <c r="AM390" s="29" t="inlineStr">
        <is>
          <t>ACTIVE</t>
        </is>
      </c>
      <c r="AN390" s="29" t="n">
        <v>2025</v>
      </c>
      <c r="AO390" s="29" t="inlineStr">
        <is>
          <t>live case, no plan document yet</t>
        </is>
      </c>
      <c r="AP390" s="29" t="inlineStr">
        <is>
          <t>FORTALEZA</t>
        </is>
      </c>
      <c r="AQ390" s="29" t="inlineStr">
        <is>
          <t>CE</t>
        </is>
      </c>
      <c r="AR390" s="29" t="inlineStr">
        <is>
          <t>Bancos múltiplos, com carteira comercial</t>
        </is>
      </c>
      <c r="AS390" s="29" t="inlineStr">
        <is>
          <t>DEMAIS</t>
        </is>
      </c>
      <c r="AT390" s="29" t="inlineStr">
        <is>
          <t>LARGE CORP</t>
        </is>
      </c>
      <c r="AU390" s="29" t="inlineStr">
        <is>
          <t>07237373</t>
        </is>
      </c>
      <c r="AV390" s="29" t="n">
        <v>1</v>
      </c>
      <c r="AW390" s="29" t="inlineStr">
        <is>
          <t>LIKELY_FINANCIAL_BY_NAME ROWS:p16r11</t>
        </is>
      </c>
    </row>
    <row r="391">
      <c r="A391" s="15" t="inlineStr">
        <is>
          <t>BANCO C6 S.A.</t>
        </is>
      </c>
      <c r="B391" s="16" t="n">
        <v>255371.56</v>
      </c>
      <c r="C391" s="17" t="inlineStr">
        <is>
          <t>ADVOCACIA WANDERLEI DE PAULA BARRETO</t>
        </is>
      </c>
      <c r="D391" s="18" t="inlineStr">
        <is>
          <t>NEW</t>
        </is>
      </c>
      <c r="E391" s="19" t="inlineStr"/>
      <c r="F391" s="18" t="inlineStr"/>
      <c r="G391" s="19" t="inlineStr"/>
      <c r="H391" s="18" t="inlineStr"/>
      <c r="I391" s="20" t="inlineStr">
        <is>
          <t>FERNANDO NOGUEIRA NOLASCO ASTOLFI</t>
        </is>
      </c>
      <c r="J391" s="20" t="inlineStr">
        <is>
          <t>Diretor</t>
        </is>
      </c>
      <c r="K391" s="20" t="inlineStr">
        <is>
          <t>(11) 2832-6000</t>
        </is>
      </c>
      <c r="L391" s="20" t="inlineStr"/>
      <c r="M391" s="20" t="inlineStr"/>
      <c r="N391" s="20" t="inlineStr"/>
      <c r="O391" s="20" t="inlineStr"/>
      <c r="P391" s="20" t="inlineStr">
        <is>
          <t>GUSTAVO CALDAS DA SILVA</t>
        </is>
      </c>
      <c r="Q391" s="20" t="inlineStr">
        <is>
          <t>Diretor</t>
        </is>
      </c>
      <c r="R391" s="20" t="inlineStr">
        <is>
          <t>(11) 2832-6000</t>
        </is>
      </c>
      <c r="S391" s="20" t="inlineStr"/>
      <c r="T391" s="21" t="n">
        <v>255371.56</v>
      </c>
      <c r="U391" s="22" t="inlineStr">
        <is>
          <t>B</t>
        </is>
      </c>
      <c r="V391" s="23">
        <f>IFERROR(VLOOKUP(U391,Assumptions!$A$7:$D$11,2,FALSE),0)</f>
        <v/>
      </c>
      <c r="W391" s="24">
        <f>MAX(0.5,IFERROR(VLOOKUP(U391,Assumptions!$A$7:$D$11,3,FALSE),3)+IFERROR(VLOOKUP(U391,Assumptions!$A$7:$D$11,4,FALSE),8)/2-IF(AN391="",0,YEAR(TODAY())-AN391))</f>
        <v/>
      </c>
      <c r="X391" s="21">
        <f>T391*V391/(1+Assumptions!$B$3)^W391</f>
        <v/>
      </c>
      <c r="Y391" s="25">
        <f>IF(T391=0,"",ROUND(X391/T391*100,1))</f>
        <v/>
      </c>
      <c r="Z391" s="26">
        <f>X391*Assumptions!$B$4</f>
        <v/>
      </c>
      <c r="AA391" s="25">
        <f>IF(T391=0,"",ROUND(Z391/T391*100,1))</f>
        <v/>
      </c>
      <c r="AB391" s="26">
        <f>X391-Z391</f>
        <v/>
      </c>
      <c r="AC391" s="25">
        <f>IF(T391=0,"",ROUND((X391-Z391)/T391*100,1))</f>
        <v/>
      </c>
      <c r="AD391" s="27" t="inlineStr">
        <is>
          <t>ESTIMATED</t>
        </is>
      </c>
      <c r="AE391" s="28" t="inlineStr">
        <is>
          <t>https://marquesadmjudicial.com.br/sgc/download.php?file=files/processo_documento/processo_documento17040729052024_1_.pdf&amp;nome=Relação Nominal de Credores AJ-Sintética</t>
        </is>
      </c>
      <c r="AF391" s="27" t="inlineStr">
        <is>
          <t>p9 r17</t>
        </is>
      </c>
      <c r="AG391" s="27" t="inlineStr">
        <is>
          <t>p9: R$ 255.371,56</t>
        </is>
      </c>
      <c r="AH391" s="27" t="inlineStr">
        <is>
          <t>AJ_LIST</t>
        </is>
      </c>
      <c r="AI391" s="27" t="inlineStr">
        <is>
          <t>2024-05-27</t>
        </is>
      </c>
      <c r="AJ391" s="27" t="inlineStr">
        <is>
          <t>QUARANTINED</t>
        </is>
      </c>
      <c r="AK391" s="29" t="inlineStr">
        <is>
          <t>0003971-03.2023.8.16.0119</t>
        </is>
      </c>
      <c r="AL391" s="29" t="inlineStr">
        <is>
          <t>TJPR</t>
        </is>
      </c>
      <c r="AM391" s="29" t="inlineStr">
        <is>
          <t>ACTIVE</t>
        </is>
      </c>
      <c r="AN391" s="29" t="n">
        <v>2023</v>
      </c>
      <c r="AO391" s="29" t="inlineStr">
        <is>
          <t>live case, no plan document yet</t>
        </is>
      </c>
      <c r="AP391" s="29" t="inlineStr">
        <is>
          <t>SAO PAULO</t>
        </is>
      </c>
      <c r="AQ391" s="29" t="inlineStr">
        <is>
          <t>SP</t>
        </is>
      </c>
      <c r="AR391" s="29" t="inlineStr">
        <is>
          <t>Bancos múltiplos, com carteira comercial</t>
        </is>
      </c>
      <c r="AS391" s="29" t="inlineStr">
        <is>
          <t>DEMAIS</t>
        </is>
      </c>
      <c r="AT391" s="29" t="inlineStr">
        <is>
          <t>LARGE CORP</t>
        </is>
      </c>
      <c r="AU391" s="29" t="inlineStr">
        <is>
          <t>31872495</t>
        </is>
      </c>
      <c r="AV391" s="29" t="n">
        <v>1</v>
      </c>
      <c r="AW391" s="29" t="inlineStr">
        <is>
          <t>LIKELY_FINANCIAL_BY_NAME PARTIAL_DOC_CLASS_III_RECONCILED ROWS:p9r17</t>
        </is>
      </c>
    </row>
    <row r="392">
      <c r="A392" s="15" t="inlineStr">
        <is>
          <t>BANCO DO NORDESTE DO BRASIL SA</t>
        </is>
      </c>
      <c r="B392" s="16" t="n">
        <v>408096.44</v>
      </c>
      <c r="C392" s="17" t="inlineStr">
        <is>
          <t>AUTO POSTO FREITAS &amp; MAIA LTDA</t>
        </is>
      </c>
      <c r="D392" s="18" t="inlineStr">
        <is>
          <t>NEW</t>
        </is>
      </c>
      <c r="E392" s="19" t="inlineStr"/>
      <c r="F392" s="18" t="inlineStr"/>
      <c r="G392" s="19" t="inlineStr"/>
      <c r="H392" s="18" t="inlineStr"/>
      <c r="I392" s="20" t="inlineStr">
        <is>
          <t>PAULO HENRIQUE SARAIVA CAMARA</t>
        </is>
      </c>
      <c r="J392" s="20" t="inlineStr">
        <is>
          <t>Presidente</t>
        </is>
      </c>
      <c r="K392" s="20" t="inlineStr">
        <is>
          <t>(85) 3299-3000</t>
        </is>
      </c>
      <c r="L392" s="20" t="inlineStr"/>
      <c r="M392" s="20" t="inlineStr"/>
      <c r="N392" s="20" t="inlineStr"/>
      <c r="O392" s="20" t="inlineStr"/>
      <c r="P392" s="20" t="inlineStr">
        <is>
          <t>ANA TERESA BARBOSA DE CARVALHO</t>
        </is>
      </c>
      <c r="Q392" s="20" t="inlineStr">
        <is>
          <t>Diretor</t>
        </is>
      </c>
      <c r="R392" s="20" t="inlineStr">
        <is>
          <t>(85) 3299-3000</t>
        </is>
      </c>
      <c r="S392" s="20" t="inlineStr"/>
      <c r="T392" s="21" t="n">
        <v>408096.44</v>
      </c>
      <c r="U392" s="31" t="inlineStr">
        <is>
          <t>C</t>
        </is>
      </c>
      <c r="V392" s="23">
        <f>IFERROR(VLOOKUP(U392,Assumptions!$A$7:$D$11,2,FALSE),0)</f>
        <v/>
      </c>
      <c r="W392" s="24">
        <f>MAX(0.5,IFERROR(VLOOKUP(U392,Assumptions!$A$7:$D$11,3,FALSE),3)+IFERROR(VLOOKUP(U392,Assumptions!$A$7:$D$11,4,FALSE),8)/2-IF(AN392="",0,YEAR(TODAY())-AN392))</f>
        <v/>
      </c>
      <c r="X392" s="21">
        <f>T392*V392/(1+Assumptions!$B$3)^W392</f>
        <v/>
      </c>
      <c r="Y392" s="25">
        <f>IF(T392=0,"",ROUND(X392/T392*100,1))</f>
        <v/>
      </c>
      <c r="Z392" s="26">
        <f>X392*Assumptions!$B$4</f>
        <v/>
      </c>
      <c r="AA392" s="25">
        <f>IF(T392=0,"",ROUND(Z392/T392*100,1))</f>
        <v/>
      </c>
      <c r="AB392" s="26">
        <f>X392-Z392</f>
        <v/>
      </c>
      <c r="AC392" s="25">
        <f>IF(T392=0,"",ROUND((X392-Z392)/T392*100,1))</f>
        <v/>
      </c>
      <c r="AD392" s="27" t="inlineStr">
        <is>
          <t>ESTIMATED</t>
        </is>
      </c>
      <c r="AE392" s="28" t="inlineStr">
        <is>
          <t>https://recuperacaojudicial.squarespace.com/s/LISTA-DE-CREDORES-CONSOLIDADA-EM-11072025_6419.pdf</t>
        </is>
      </c>
      <c r="AF392" s="27" t="inlineStr">
        <is>
          <t>p4 r3</t>
        </is>
      </c>
      <c r="AG392" s="27" t="inlineStr">
        <is>
          <t>p4: R$ 408.096,44</t>
        </is>
      </c>
      <c r="AH392" s="27" t="inlineStr">
        <is>
          <t>AJ_LIST</t>
        </is>
      </c>
      <c r="AI392" s="27" t="inlineStr">
        <is>
          <t>2025-07-15</t>
        </is>
      </c>
      <c r="AJ392" s="27" t="inlineStr">
        <is>
          <t>OK</t>
        </is>
      </c>
      <c r="AK392" s="29" t="inlineStr">
        <is>
          <t>0700087-51.2020.8.02.0043</t>
        </is>
      </c>
      <c r="AL392" s="29" t="inlineStr">
        <is>
          <t>TJAL</t>
        </is>
      </c>
      <c r="AM392" s="29" t="inlineStr">
        <is>
          <t>ACTIVE</t>
        </is>
      </c>
      <c r="AN392" s="29" t="n">
        <v>2020</v>
      </c>
      <c r="AO392" s="29" t="inlineStr">
        <is>
          <t>6y since filing, no plan document</t>
        </is>
      </c>
      <c r="AP392" s="29" t="inlineStr">
        <is>
          <t>FORTALEZA</t>
        </is>
      </c>
      <c r="AQ392" s="29" t="inlineStr">
        <is>
          <t>CE</t>
        </is>
      </c>
      <c r="AR392" s="29" t="inlineStr">
        <is>
          <t>Bancos múltiplos, com carteira comercial</t>
        </is>
      </c>
      <c r="AS392" s="29" t="inlineStr">
        <is>
          <t>DEMAIS</t>
        </is>
      </c>
      <c r="AT392" s="29" t="inlineStr">
        <is>
          <t>LARGE CORP</t>
        </is>
      </c>
      <c r="AU392" s="29" t="inlineStr">
        <is>
          <t>07237373</t>
        </is>
      </c>
      <c r="AV392" s="29" t="n">
        <v>1</v>
      </c>
      <c r="AW392" s="29" t="inlineStr">
        <is>
          <t>LIKELY_FINANCIAL_BY_NAME ROWS:p4r3 VALUE_COL:Valor_Do_Crédito</t>
        </is>
      </c>
    </row>
    <row r="393">
      <c r="A393" s="15" t="inlineStr">
        <is>
          <t>BANCO SAFRA S A</t>
        </is>
      </c>
      <c r="B393" s="16" t="n">
        <v>393908.14</v>
      </c>
      <c r="C393" s="17" t="inlineStr">
        <is>
          <t>BACKES SOLUCOES LTDA</t>
        </is>
      </c>
      <c r="D393" s="18" t="inlineStr">
        <is>
          <t>NEW</t>
        </is>
      </c>
      <c r="E393" s="19" t="inlineStr"/>
      <c r="F393" s="18" t="inlineStr"/>
      <c r="G393" s="19" t="inlineStr"/>
      <c r="H393" s="18" t="inlineStr"/>
      <c r="I393" s="20" t="inlineStr">
        <is>
          <t>RAFAEL BORDALO QUINTAS</t>
        </is>
      </c>
      <c r="J393" s="20" t="inlineStr">
        <is>
          <t>Administrador</t>
        </is>
      </c>
      <c r="K393" s="20" t="inlineStr">
        <is>
          <t>(11) 3175-7575</t>
        </is>
      </c>
      <c r="L393" s="20" t="inlineStr"/>
      <c r="M393" s="20" t="inlineStr"/>
      <c r="N393" s="20" t="inlineStr"/>
      <c r="O393" s="20" t="inlineStr"/>
      <c r="P393" s="20" t="inlineStr">
        <is>
          <t>ADRIANO MACIEL PEDROTI</t>
        </is>
      </c>
      <c r="Q393" s="20" t="inlineStr">
        <is>
          <t>Diretor</t>
        </is>
      </c>
      <c r="R393" s="20" t="inlineStr">
        <is>
          <t>(11) 3175-7575</t>
        </is>
      </c>
      <c r="S393" s="20" t="inlineStr"/>
      <c r="T393" s="21" t="n">
        <v>393908.14</v>
      </c>
      <c r="U393" s="22" t="inlineStr">
        <is>
          <t>B</t>
        </is>
      </c>
      <c r="V393" s="23">
        <f>IFERROR(VLOOKUP(U393,Assumptions!$A$7:$D$11,2,FALSE),0)</f>
        <v/>
      </c>
      <c r="W393" s="24">
        <f>MAX(0.5,IFERROR(VLOOKUP(U393,Assumptions!$A$7:$D$11,3,FALSE),3)+IFERROR(VLOOKUP(U393,Assumptions!$A$7:$D$11,4,FALSE),8)/2-IF(AN393="",0,YEAR(TODAY())-AN393))</f>
        <v/>
      </c>
      <c r="X393" s="21">
        <f>T393*V393/(1+Assumptions!$B$3)^W393</f>
        <v/>
      </c>
      <c r="Y393" s="25">
        <f>IF(T393=0,"",ROUND(X393/T393*100,1))</f>
        <v/>
      </c>
      <c r="Z393" s="26">
        <f>X393*Assumptions!$B$4</f>
        <v/>
      </c>
      <c r="AA393" s="25">
        <f>IF(T393=0,"",ROUND(Z393/T393*100,1))</f>
        <v/>
      </c>
      <c r="AB393" s="26">
        <f>X393-Z393</f>
        <v/>
      </c>
      <c r="AC393" s="25">
        <f>IF(T393=0,"",ROUND((X393-Z393)/T393*100,1))</f>
        <v/>
      </c>
      <c r="AD393" s="27" t="inlineStr">
        <is>
          <t>ESTIMATED</t>
        </is>
      </c>
      <c r="AE393" s="28" t="inlineStr">
        <is>
          <t>https://marquesadmjudicial.com.br/sgc/download.php?file=files/processo_documento/processo_documento18581929042026_1_.pdf&amp;nome=3º Edital - Relação de Credores e PRJ</t>
        </is>
      </c>
      <c r="AF393" s="27" t="inlineStr">
        <is>
          <t>p1 r38</t>
        </is>
      </c>
      <c r="AG393" s="27" t="inlineStr">
        <is>
          <t>p1: R$ 393.908,14</t>
        </is>
      </c>
      <c r="AH393" s="27" t="inlineStr">
        <is>
          <t>AJ_LIST</t>
        </is>
      </c>
      <c r="AI393" s="27" t="inlineStr">
        <is>
          <t>2025-09-12</t>
        </is>
      </c>
      <c r="AJ393" s="27" t="inlineStr">
        <is>
          <t>OK_NO_TOTALS</t>
        </is>
      </c>
      <c r="AK393" s="29" t="inlineStr">
        <is>
          <t>0043030-30.2025.8.16.0021</t>
        </is>
      </c>
      <c r="AL393" s="29" t="inlineStr">
        <is>
          <t>TJPR</t>
        </is>
      </c>
      <c r="AM393" s="29" t="inlineStr">
        <is>
          <t>ACTIVE</t>
        </is>
      </c>
      <c r="AN393" s="29" t="n">
        <v>2025</v>
      </c>
      <c r="AO393" s="29" t="inlineStr">
        <is>
          <t>live case, no plan document yet</t>
        </is>
      </c>
      <c r="AP393" s="29" t="inlineStr">
        <is>
          <t>SAO PAULO</t>
        </is>
      </c>
      <c r="AQ393" s="29" t="inlineStr">
        <is>
          <t>SP</t>
        </is>
      </c>
      <c r="AR393" s="29" t="inlineStr">
        <is>
          <t>Bancos múltiplos, com carteira comercial</t>
        </is>
      </c>
      <c r="AS393" s="29" t="inlineStr">
        <is>
          <t>DEMAIS</t>
        </is>
      </c>
      <c r="AT393" s="29" t="inlineStr">
        <is>
          <t>LARGE CORP</t>
        </is>
      </c>
      <c r="AU393" s="29" t="inlineStr">
        <is>
          <t>58160789</t>
        </is>
      </c>
      <c r="AV393" s="29" t="n">
        <v>1</v>
      </c>
      <c r="AW393" s="29" t="inlineStr">
        <is>
          <t>LIKELY_FINANCIAL_BY_NAME ROWS:p1r38 UNRECONCILED_SOURCE</t>
        </is>
      </c>
    </row>
    <row r="394">
      <c r="A394" s="15" t="inlineStr">
        <is>
          <t>CAIXA ECONOMICA FEDERAL</t>
        </is>
      </c>
      <c r="B394" s="16" t="n">
        <v>310918.57</v>
      </c>
      <c r="C394" s="17" t="inlineStr">
        <is>
          <t>FRIGORIFICO ALFA INDUSTRIA E COMERCIO DE CARNES E DERIVADOS LTDA EM RECUPERACAO JUDICIAL</t>
        </is>
      </c>
      <c r="D394" s="18" t="inlineStr">
        <is>
          <t>NEW</t>
        </is>
      </c>
      <c r="E394" s="19" t="inlineStr"/>
      <c r="F394" s="18" t="inlineStr"/>
      <c r="G394" s="19" t="inlineStr"/>
      <c r="H394" s="18" t="inlineStr"/>
      <c r="I394" s="20" t="inlineStr">
        <is>
          <t>ADRIANO ASSIS MATIAS</t>
        </is>
      </c>
      <c r="J394" s="20" t="inlineStr">
        <is>
          <t>Administrador</t>
        </is>
      </c>
      <c r="K394" s="20" t="inlineStr">
        <is>
          <t>(00) 4004-0104</t>
        </is>
      </c>
      <c r="L394" s="20" t="inlineStr"/>
      <c r="M394" s="20" t="inlineStr"/>
      <c r="N394" s="20" t="inlineStr"/>
      <c r="O394" s="20" t="inlineStr"/>
      <c r="P394" s="20" t="inlineStr">
        <is>
          <t>HENRIETE ALEXANDRA SARTORI BERNABE</t>
        </is>
      </c>
      <c r="Q394" s="20" t="inlineStr">
        <is>
          <t>Administrador</t>
        </is>
      </c>
      <c r="R394" s="20" t="inlineStr">
        <is>
          <t>(00) 4004-0104</t>
        </is>
      </c>
      <c r="S394" s="20" t="inlineStr"/>
      <c r="T394" s="21" t="n">
        <v>310918.57</v>
      </c>
      <c r="U394" s="22" t="inlineStr">
        <is>
          <t>B</t>
        </is>
      </c>
      <c r="V394" s="23">
        <f>IFERROR(VLOOKUP(U394,Assumptions!$A$7:$D$11,2,FALSE),0)</f>
        <v/>
      </c>
      <c r="W394" s="24">
        <f>MAX(0.5,IFERROR(VLOOKUP(U394,Assumptions!$A$7:$D$11,3,FALSE),3)+IFERROR(VLOOKUP(U394,Assumptions!$A$7:$D$11,4,FALSE),8)/2-IF(AN394="",0,YEAR(TODAY())-AN394))</f>
        <v/>
      </c>
      <c r="X394" s="21">
        <f>T394*V394/(1+Assumptions!$B$3)^W394</f>
        <v/>
      </c>
      <c r="Y394" s="25">
        <f>IF(T394=0,"",ROUND(X394/T394*100,1))</f>
        <v/>
      </c>
      <c r="Z394" s="26">
        <f>X394*Assumptions!$B$4</f>
        <v/>
      </c>
      <c r="AA394" s="25">
        <f>IF(T394=0,"",ROUND(Z394/T394*100,1))</f>
        <v/>
      </c>
      <c r="AB394" s="26">
        <f>X394-Z394</f>
        <v/>
      </c>
      <c r="AC394" s="25">
        <f>IF(T394=0,"",ROUND((X394-Z394)/T394*100,1))</f>
        <v/>
      </c>
      <c r="AD394" s="27" t="inlineStr">
        <is>
          <t>ESTIMATED</t>
        </is>
      </c>
      <c r="AE394" s="28" t="inlineStr">
        <is>
          <t>https://vtladm.com.br/wp-content/uploads/2024/04/09-–-EDITAL-DE-CONVOCACAO-DE-CREDORES-–-Frigorifico-Alfa-Industria-e-Comercio-de-Carnes-e-Derivados-Ltda.-e-Ctx-Logistica-Transporte-E-Locacoes-Ltda.pdf</t>
        </is>
      </c>
      <c r="AF394" s="27" t="inlineStr">
        <is>
          <t>p1 r16</t>
        </is>
      </c>
      <c r="AG394" s="27" t="inlineStr">
        <is>
          <t>p1: R$ 310.918,57</t>
        </is>
      </c>
      <c r="AH394" s="27" t="inlineStr">
        <is>
          <t>AJ_LIST</t>
        </is>
      </c>
      <c r="AI394" s="27" t="inlineStr"/>
      <c r="AJ394" s="27" t="inlineStr">
        <is>
          <t>OK</t>
        </is>
      </c>
      <c r="AK394" s="29" t="inlineStr">
        <is>
          <t>1009827-02.2024.8.26.0576</t>
        </is>
      </c>
      <c r="AL394" s="29" t="inlineStr">
        <is>
          <t>TJSP</t>
        </is>
      </c>
      <c r="AM394" s="29" t="inlineStr">
        <is>
          <t>ACTIVE</t>
        </is>
      </c>
      <c r="AN394" s="29" t="n">
        <v>2024</v>
      </c>
      <c r="AO394" s="29" t="inlineStr">
        <is>
          <t>live case, no plan document yet</t>
        </is>
      </c>
      <c r="AP394" s="29" t="inlineStr">
        <is>
          <t>BRASILIA</t>
        </is>
      </c>
      <c r="AQ394" s="29" t="inlineStr">
        <is>
          <t>DF</t>
        </is>
      </c>
      <c r="AR394" s="29" t="inlineStr">
        <is>
          <t>Caixas econômicas</t>
        </is>
      </c>
      <c r="AS394" s="29" t="inlineStr">
        <is>
          <t>DEMAIS</t>
        </is>
      </c>
      <c r="AT394" s="29" t="inlineStr">
        <is>
          <t>LARGE CORP</t>
        </is>
      </c>
      <c r="AU394" s="29" t="inlineStr">
        <is>
          <t>00360305</t>
        </is>
      </c>
      <c r="AV394" s="29" t="n">
        <v>1</v>
      </c>
      <c r="AW394" s="29" t="inlineStr">
        <is>
          <t>ALT_VALUE:310.918,57 LIKELY_FINANCIAL_BY_NAME ROWS:p1r16</t>
        </is>
      </c>
    </row>
    <row r="395">
      <c r="A395" s="15" t="inlineStr">
        <is>
          <t>3F CAPITAL SECURITIZADORA S/A</t>
        </is>
      </c>
      <c r="B395" s="16" t="n">
        <v>248479.16</v>
      </c>
      <c r="C395" s="17" t="inlineStr">
        <is>
          <t>civilmente LTDA</t>
        </is>
      </c>
      <c r="D395" s="18" t="inlineStr">
        <is>
          <t>NEW</t>
        </is>
      </c>
      <c r="E395" s="19" t="inlineStr"/>
      <c r="F395" s="18" t="inlineStr"/>
      <c r="G395" s="19" t="inlineStr"/>
      <c r="H395" s="18" t="inlineStr"/>
      <c r="I395" s="20" t="inlineStr"/>
      <c r="J395" s="20" t="inlineStr"/>
      <c r="K395" s="20" t="inlineStr"/>
      <c r="L395" s="20" t="inlineStr"/>
      <c r="M395" s="20" t="inlineStr"/>
      <c r="N395" s="20" t="inlineStr"/>
      <c r="O395" s="20" t="inlineStr"/>
      <c r="P395" s="20" t="inlineStr"/>
      <c r="Q395" s="20" t="inlineStr"/>
      <c r="R395" s="20" t="inlineStr"/>
      <c r="S395" s="20" t="inlineStr"/>
      <c r="T395" s="21" t="n">
        <v>248479.16</v>
      </c>
      <c r="U395" s="22" t="inlineStr">
        <is>
          <t>B</t>
        </is>
      </c>
      <c r="V395" s="23">
        <f>IFERROR(VLOOKUP(U395,Assumptions!$A$7:$D$11,2,FALSE),0)</f>
        <v/>
      </c>
      <c r="W395" s="24">
        <f>MAX(0.5,IFERROR(VLOOKUP(U395,Assumptions!$A$7:$D$11,3,FALSE),3)+IFERROR(VLOOKUP(U395,Assumptions!$A$7:$D$11,4,FALSE),8)/2-IF(AN395="",0,YEAR(TODAY())-AN395))</f>
        <v/>
      </c>
      <c r="X395" s="21">
        <f>T395*V395/(1+Assumptions!$B$3)^W395</f>
        <v/>
      </c>
      <c r="Y395" s="25">
        <f>IF(T395=0,"",ROUND(X395/T395*100,1))</f>
        <v/>
      </c>
      <c r="Z395" s="26">
        <f>X395*Assumptions!$B$4</f>
        <v/>
      </c>
      <c r="AA395" s="25">
        <f>IF(T395=0,"",ROUND(Z395/T395*100,1))</f>
        <v/>
      </c>
      <c r="AB395" s="26">
        <f>X395-Z395</f>
        <v/>
      </c>
      <c r="AC395" s="25">
        <f>IF(T395=0,"",ROUND((X395-Z395)/T395*100,1))</f>
        <v/>
      </c>
      <c r="AD395" s="27" t="inlineStr">
        <is>
          <t>ESTIMATED</t>
        </is>
      </c>
      <c r="AE395" s="28" t="inlineStr">
        <is>
          <t>http://recuperacaojudicial.squarespace.com/s/LISTA-DE-CREDORES-CONSOLIDADA-ATE-04102024.pdf</t>
        </is>
      </c>
      <c r="AF395" s="27" t="inlineStr">
        <is>
          <t>p6 r1</t>
        </is>
      </c>
      <c r="AG395" s="27" t="inlineStr">
        <is>
          <t>p6: R$ 248.479,16</t>
        </is>
      </c>
      <c r="AH395" s="27" t="inlineStr">
        <is>
          <t>AJ_LIST</t>
        </is>
      </c>
      <c r="AI395" s="27" t="inlineStr">
        <is>
          <t>2024-10-04</t>
        </is>
      </c>
      <c r="AJ395" s="27" t="inlineStr">
        <is>
          <t>OK</t>
        </is>
      </c>
      <c r="AK395" s="29" t="inlineStr">
        <is>
          <t>0800778-16.2023.8.20.5104</t>
        </is>
      </c>
      <c r="AL395" s="29" t="inlineStr">
        <is>
          <t>TJRN</t>
        </is>
      </c>
      <c r="AM395" s="29" t="inlineStr">
        <is>
          <t>ACTIVE</t>
        </is>
      </c>
      <c r="AN395" s="29" t="n">
        <v>2023</v>
      </c>
      <c r="AO395" s="29" t="inlineStr">
        <is>
          <t>live case, no plan document yet</t>
        </is>
      </c>
      <c r="AP395" s="29" t="inlineStr"/>
      <c r="AQ395" s="29" t="inlineStr"/>
      <c r="AR395" s="29" t="inlineStr"/>
      <c r="AS395" s="29" t="inlineStr"/>
      <c r="AT395" s="29" t="inlineStr">
        <is>
          <t>MID-MARKET</t>
        </is>
      </c>
      <c r="AU395" s="29" t="inlineStr">
        <is>
          <t>43552951</t>
        </is>
      </c>
      <c r="AV395" s="29" t="n">
        <v>1</v>
      </c>
      <c r="AW395" s="29" t="inlineStr">
        <is>
          <t>LIKELY_FINANCIAL_BY_NAME ROWS:p6r1 VALUE_COL:Valor_Do_Crédito</t>
        </is>
      </c>
    </row>
    <row r="396">
      <c r="A396" s="15" t="inlineStr">
        <is>
          <t>FORTE OESTE SECURITIZADORA S.A</t>
        </is>
      </c>
      <c r="B396" s="16" t="n">
        <v>246897.34</v>
      </c>
      <c r="C396" s="17" t="inlineStr">
        <is>
          <t>BBR AGRO SUPLEMENTOS LTDA EM RECUPERACAO JUDICIAL</t>
        </is>
      </c>
      <c r="D396" s="18" t="inlineStr">
        <is>
          <t>NEW</t>
        </is>
      </c>
      <c r="E396" s="19" t="inlineStr"/>
      <c r="F396" s="18" t="inlineStr"/>
      <c r="G396" s="19" t="inlineStr"/>
      <c r="H396" s="18" t="inlineStr"/>
      <c r="I396" s="20" t="inlineStr"/>
      <c r="J396" s="20" t="inlineStr"/>
      <c r="K396" s="20" t="inlineStr"/>
      <c r="L396" s="20" t="inlineStr"/>
      <c r="M396" s="20" t="inlineStr"/>
      <c r="N396" s="20" t="inlineStr"/>
      <c r="O396" s="20" t="inlineStr"/>
      <c r="P396" s="20" t="inlineStr"/>
      <c r="Q396" s="20" t="inlineStr"/>
      <c r="R396" s="20" t="inlineStr"/>
      <c r="S396" s="20" t="inlineStr"/>
      <c r="T396" s="21" t="n">
        <v>246897.34</v>
      </c>
      <c r="U396" s="22" t="inlineStr">
        <is>
          <t>B</t>
        </is>
      </c>
      <c r="V396" s="23">
        <f>IFERROR(VLOOKUP(U396,Assumptions!$A$7:$D$11,2,FALSE),0)</f>
        <v/>
      </c>
      <c r="W396" s="24">
        <f>MAX(0.5,IFERROR(VLOOKUP(U396,Assumptions!$A$7:$D$11,3,FALSE),3)+IFERROR(VLOOKUP(U396,Assumptions!$A$7:$D$11,4,FALSE),8)/2-IF(AN396="",0,YEAR(TODAY())-AN396))</f>
        <v/>
      </c>
      <c r="X396" s="21">
        <f>T396*V396/(1+Assumptions!$B$3)^W396</f>
        <v/>
      </c>
      <c r="Y396" s="25">
        <f>IF(T396=0,"",ROUND(X396/T396*100,1))</f>
        <v/>
      </c>
      <c r="Z396" s="26">
        <f>X396*Assumptions!$B$4</f>
        <v/>
      </c>
      <c r="AA396" s="25">
        <f>IF(T396=0,"",ROUND(Z396/T396*100,1))</f>
        <v/>
      </c>
      <c r="AB396" s="26">
        <f>X396-Z396</f>
        <v/>
      </c>
      <c r="AC396" s="25">
        <f>IF(T396=0,"",ROUND((X396-Z396)/T396*100,1))</f>
        <v/>
      </c>
      <c r="AD396" s="27" t="inlineStr">
        <is>
          <t>ESTIMATED</t>
        </is>
      </c>
      <c r="AE396" s="28" t="inlineStr">
        <is>
          <t>https://ajruiz.com.br/sites/default/files/public/arquivos-processos/2026-06/alto_uruguai_qgc_junho.2026.pdf</t>
        </is>
      </c>
      <c r="AF396" s="27" t="inlineStr">
        <is>
          <t>p1 r24</t>
        </is>
      </c>
      <c r="AG396" s="27" t="inlineStr">
        <is>
          <t>p1: R$ 246.897,34</t>
        </is>
      </c>
      <c r="AH396" s="27" t="inlineStr">
        <is>
          <t>UNKNOWN</t>
        </is>
      </c>
      <c r="AI396" s="27" t="inlineStr"/>
      <c r="AJ396" s="27" t="inlineStr">
        <is>
          <t>OK</t>
        </is>
      </c>
      <c r="AK396" s="29" t="inlineStr">
        <is>
          <t>5012743-51.2023.8.24.0019</t>
        </is>
      </c>
      <c r="AL396" s="29" t="inlineStr">
        <is>
          <t>TJSC</t>
        </is>
      </c>
      <c r="AM396" s="29" t="inlineStr">
        <is>
          <t>ACTIVE</t>
        </is>
      </c>
      <c r="AN396" s="29" t="n">
        <v>2023</v>
      </c>
      <c r="AO396" s="29" t="inlineStr">
        <is>
          <t>live case, no plan document yet</t>
        </is>
      </c>
      <c r="AP396" s="29" t="inlineStr"/>
      <c r="AQ396" s="29" t="inlineStr"/>
      <c r="AR396" s="29" t="inlineStr"/>
      <c r="AS396" s="29" t="inlineStr"/>
      <c r="AT396" s="29" t="inlineStr">
        <is>
          <t>MID-MARKET</t>
        </is>
      </c>
      <c r="AU396" s="29" t="inlineStr">
        <is>
          <t>35099311</t>
        </is>
      </c>
      <c r="AV396" s="29" t="n">
        <v>1</v>
      </c>
      <c r="AW396" s="29" t="inlineStr">
        <is>
          <t>LIKELY_FINANCIAL_BY_NAME ROWS:p1r24 VALUE_COL:Valor_Do_Crédito</t>
        </is>
      </c>
    </row>
    <row r="397">
      <c r="A397" s="15" t="inlineStr">
        <is>
          <t>HARPIA FUNDO DE INVESTIMENTO EM DIREITOS CREDITORIOS (A</t>
        </is>
      </c>
      <c r="B397" s="16" t="n">
        <v>293905.93</v>
      </c>
      <c r="C397" s="17" t="inlineStr">
        <is>
          <t>DIVINA INDUSTRIA DE COURO LTDA - EM RECUPERACAO JUDICIAL</t>
        </is>
      </c>
      <c r="D397" s="18" t="inlineStr">
        <is>
          <t>NEW</t>
        </is>
      </c>
      <c r="E397" s="19" t="inlineStr"/>
      <c r="F397" s="18" t="inlineStr"/>
      <c r="G397" s="19" t="inlineStr"/>
      <c r="H397" s="18" t="inlineStr"/>
      <c r="I397" s="20" t="inlineStr"/>
      <c r="J397" s="20" t="inlineStr"/>
      <c r="K397" s="20" t="inlineStr"/>
      <c r="L397" s="20" t="inlineStr"/>
      <c r="M397" s="20" t="inlineStr"/>
      <c r="N397" s="20" t="inlineStr"/>
      <c r="O397" s="20" t="inlineStr"/>
      <c r="P397" s="20" t="inlineStr"/>
      <c r="Q397" s="20" t="inlineStr"/>
      <c r="R397" s="20" t="inlineStr"/>
      <c r="S397" s="20" t="inlineStr"/>
      <c r="T397" s="21" t="n">
        <v>293905.93</v>
      </c>
      <c r="U397" s="22" t="inlineStr">
        <is>
          <t>B</t>
        </is>
      </c>
      <c r="V397" s="23">
        <f>IFERROR(VLOOKUP(U397,Assumptions!$A$7:$D$11,2,FALSE),0)</f>
        <v/>
      </c>
      <c r="W397" s="24">
        <f>MAX(0.5,IFERROR(VLOOKUP(U397,Assumptions!$A$7:$D$11,3,FALSE),3)+IFERROR(VLOOKUP(U397,Assumptions!$A$7:$D$11,4,FALSE),8)/2-IF(AN397="",0,YEAR(TODAY())-AN397))</f>
        <v/>
      </c>
      <c r="X397" s="21">
        <f>T397*V397/(1+Assumptions!$B$3)^W397</f>
        <v/>
      </c>
      <c r="Y397" s="25">
        <f>IF(T397=0,"",ROUND(X397/T397*100,1))</f>
        <v/>
      </c>
      <c r="Z397" s="26">
        <f>X397*Assumptions!$B$4</f>
        <v/>
      </c>
      <c r="AA397" s="25">
        <f>IF(T397=0,"",ROUND(Z397/T397*100,1))</f>
        <v/>
      </c>
      <c r="AB397" s="26">
        <f>X397-Z397</f>
        <v/>
      </c>
      <c r="AC397" s="25">
        <f>IF(T397=0,"",ROUND((X397-Z397)/T397*100,1))</f>
        <v/>
      </c>
      <c r="AD397" s="27" t="inlineStr">
        <is>
          <t>ESTIMATED</t>
        </is>
      </c>
      <c r="AE397" s="28" t="inlineStr">
        <is>
          <t>https://lrflideres.com.br/wp-content/plugins/download-attachments/includes/download.php?id=6252</t>
        </is>
      </c>
      <c r="AF397" s="27" t="inlineStr">
        <is>
          <t>p2 r49</t>
        </is>
      </c>
      <c r="AG397" s="27" t="inlineStr">
        <is>
          <t>p2: R$ 293.905,93</t>
        </is>
      </c>
      <c r="AH397" s="27" t="inlineStr">
        <is>
          <t>AJ_LIST</t>
        </is>
      </c>
      <c r="AI397" s="27" t="inlineStr">
        <is>
          <t>2024-11-27</t>
        </is>
      </c>
      <c r="AJ397" s="27" t="inlineStr">
        <is>
          <t>QUARANTINED</t>
        </is>
      </c>
      <c r="AK397" s="29" t="inlineStr">
        <is>
          <t>0000721-61.2024.8.17.2620</t>
        </is>
      </c>
      <c r="AL397" s="29" t="inlineStr">
        <is>
          <t>TJPE</t>
        </is>
      </c>
      <c r="AM397" s="29" t="inlineStr">
        <is>
          <t>ACTIVE</t>
        </is>
      </c>
      <c r="AN397" s="29" t="n">
        <v>2024</v>
      </c>
      <c r="AO397" s="29" t="inlineStr">
        <is>
          <t>live case, no plan document yet</t>
        </is>
      </c>
      <c r="AP397" s="29" t="inlineStr"/>
      <c r="AQ397" s="29" t="inlineStr"/>
      <c r="AR397" s="29" t="inlineStr"/>
      <c r="AS397" s="29" t="inlineStr"/>
      <c r="AT397" s="29" t="inlineStr">
        <is>
          <t>MID-MARKET</t>
        </is>
      </c>
      <c r="AU397" s="29" t="inlineStr">
        <is>
          <t>20057764</t>
        </is>
      </c>
      <c r="AV397" s="29" t="n">
        <v>1</v>
      </c>
      <c r="AW397" s="29" t="inlineStr">
        <is>
          <t>LIKELY_FINANCIAL_BY_NAME PARTIAL_DOC_CLASS_III_RECONCILED ROWS:p2r49</t>
        </is>
      </c>
    </row>
    <row r="398">
      <c r="A398" s="15" t="inlineStr">
        <is>
          <t>BANCO PACCAR S.A.</t>
        </is>
      </c>
      <c r="B398" s="16" t="n">
        <v>293344.31</v>
      </c>
      <c r="C398" s="17" t="inlineStr">
        <is>
          <t>DIVINA INDUSTRIA DE COURO LTDA - EM RECUPERACAO JUDICIAL</t>
        </is>
      </c>
      <c r="D398" s="18" t="inlineStr">
        <is>
          <t>NEW</t>
        </is>
      </c>
      <c r="E398" s="19" t="inlineStr"/>
      <c r="F398" s="18" t="inlineStr"/>
      <c r="G398" s="19" t="inlineStr"/>
      <c r="H398" s="18" t="inlineStr"/>
      <c r="I398" s="20" t="inlineStr">
        <is>
          <t>ALESSANDRA BRITO FUJIOKA</t>
        </is>
      </c>
      <c r="J398" s="20" t="inlineStr">
        <is>
          <t>Diretor</t>
        </is>
      </c>
      <c r="K398" s="20" t="inlineStr">
        <is>
          <t>(42) 3122-9218</t>
        </is>
      </c>
      <c r="L398" s="20" t="inlineStr"/>
      <c r="M398" s="20" t="inlineStr"/>
      <c r="N398" s="20" t="inlineStr"/>
      <c r="O398" s="20" t="inlineStr"/>
      <c r="P398" s="20" t="inlineStr">
        <is>
          <t>FABIO DE OLIVEIRA MOREIRA</t>
        </is>
      </c>
      <c r="Q398" s="20" t="inlineStr">
        <is>
          <t>Diretor</t>
        </is>
      </c>
      <c r="R398" s="20" t="inlineStr">
        <is>
          <t>(42) 3122-9218</t>
        </is>
      </c>
      <c r="S398" s="20" t="inlineStr"/>
      <c r="T398" s="21" t="n">
        <v>293344.31</v>
      </c>
      <c r="U398" s="22" t="inlineStr">
        <is>
          <t>B</t>
        </is>
      </c>
      <c r="V398" s="23">
        <f>IFERROR(VLOOKUP(U398,Assumptions!$A$7:$D$11,2,FALSE),0)</f>
        <v/>
      </c>
      <c r="W398" s="24">
        <f>MAX(0.5,IFERROR(VLOOKUP(U398,Assumptions!$A$7:$D$11,3,FALSE),3)+IFERROR(VLOOKUP(U398,Assumptions!$A$7:$D$11,4,FALSE),8)/2-IF(AN398="",0,YEAR(TODAY())-AN398))</f>
        <v/>
      </c>
      <c r="X398" s="21">
        <f>T398*V398/(1+Assumptions!$B$3)^W398</f>
        <v/>
      </c>
      <c r="Y398" s="25">
        <f>IF(T398=0,"",ROUND(X398/T398*100,1))</f>
        <v/>
      </c>
      <c r="Z398" s="26">
        <f>X398*Assumptions!$B$4</f>
        <v/>
      </c>
      <c r="AA398" s="25">
        <f>IF(T398=0,"",ROUND(Z398/T398*100,1))</f>
        <v/>
      </c>
      <c r="AB398" s="26">
        <f>X398-Z398</f>
        <v/>
      </c>
      <c r="AC398" s="25">
        <f>IF(T398=0,"",ROUND((X398-Z398)/T398*100,1))</f>
        <v/>
      </c>
      <c r="AD398" s="27" t="inlineStr">
        <is>
          <t>ESTIMATED</t>
        </is>
      </c>
      <c r="AE398" s="28" t="inlineStr">
        <is>
          <t>https://lrflideres.com.br/wp-content/plugins/download-attachments/includes/download.php?id=6252</t>
        </is>
      </c>
      <c r="AF398" s="27" t="inlineStr">
        <is>
          <t>p2 r68</t>
        </is>
      </c>
      <c r="AG398" s="27" t="inlineStr">
        <is>
          <t>p2: R$ 293.344,31</t>
        </is>
      </c>
      <c r="AH398" s="27" t="inlineStr">
        <is>
          <t>AJ_LIST</t>
        </is>
      </c>
      <c r="AI398" s="27" t="inlineStr">
        <is>
          <t>2024-11-27</t>
        </is>
      </c>
      <c r="AJ398" s="27" t="inlineStr">
        <is>
          <t>QUARANTINED</t>
        </is>
      </c>
      <c r="AK398" s="29" t="inlineStr">
        <is>
          <t>0000721-61.2024.8.17.2620</t>
        </is>
      </c>
      <c r="AL398" s="29" t="inlineStr">
        <is>
          <t>TJPE</t>
        </is>
      </c>
      <c r="AM398" s="29" t="inlineStr">
        <is>
          <t>ACTIVE</t>
        </is>
      </c>
      <c r="AN398" s="29" t="n">
        <v>2024</v>
      </c>
      <c r="AO398" s="29" t="inlineStr">
        <is>
          <t>live case, no plan document yet</t>
        </is>
      </c>
      <c r="AP398" s="29" t="inlineStr">
        <is>
          <t>PONTA GROSSA</t>
        </is>
      </c>
      <c r="AQ398" s="29" t="inlineStr">
        <is>
          <t>PR</t>
        </is>
      </c>
      <c r="AR398" s="29" t="inlineStr">
        <is>
          <t>Bancos múltiplos, sem carteira comercial</t>
        </is>
      </c>
      <c r="AS398" s="29" t="inlineStr">
        <is>
          <t>DEMAIS</t>
        </is>
      </c>
      <c r="AT398" s="29" t="inlineStr">
        <is>
          <t>LARGE CORP</t>
        </is>
      </c>
      <c r="AU398" s="29" t="inlineStr">
        <is>
          <t>28517628</t>
        </is>
      </c>
      <c r="AV398" s="29" t="n">
        <v>1</v>
      </c>
      <c r="AW398" s="29" t="inlineStr">
        <is>
          <t>PARTIAL_DOC_CLASS_III_RECONCILED ROWS:p2r68</t>
        </is>
      </c>
    </row>
    <row r="399">
      <c r="A399" s="15" t="inlineStr">
        <is>
          <t>Cooperativa de Crédito, Poupança e Investimento da Região Centro Oeste Paulista - Sicredi Centro Oeste Paulista</t>
        </is>
      </c>
      <c r="B399" s="16" t="n">
        <v>289547.95</v>
      </c>
      <c r="C399" s="17" t="inlineStr">
        <is>
          <t>FRIGORIFICO ALFA INDUSTRIA E COMERCIO DE CARNES E DERIVADOS LTDA EM RECUPERACAO JUDICIAL</t>
        </is>
      </c>
      <c r="D399" s="18" t="inlineStr">
        <is>
          <t>NEW</t>
        </is>
      </c>
      <c r="E399" s="19" t="inlineStr"/>
      <c r="F399" s="18" t="inlineStr"/>
      <c r="G399" s="19" t="inlineStr"/>
      <c r="H399" s="18" t="inlineStr"/>
      <c r="I399" s="20" t="inlineStr"/>
      <c r="J399" s="20" t="inlineStr"/>
      <c r="K399" s="20" t="inlineStr"/>
      <c r="L399" s="20" t="inlineStr"/>
      <c r="M399" s="20" t="inlineStr"/>
      <c r="N399" s="20" t="inlineStr"/>
      <c r="O399" s="20" t="inlineStr"/>
      <c r="P399" s="20" t="inlineStr"/>
      <c r="Q399" s="20" t="inlineStr"/>
      <c r="R399" s="20" t="inlineStr"/>
      <c r="S399" s="20" t="inlineStr"/>
      <c r="T399" s="21" t="n">
        <v>289547.95</v>
      </c>
      <c r="U399" s="22" t="inlineStr">
        <is>
          <t>B</t>
        </is>
      </c>
      <c r="V399" s="23">
        <f>IFERROR(VLOOKUP(U399,Assumptions!$A$7:$D$11,2,FALSE),0)</f>
        <v/>
      </c>
      <c r="W399" s="24">
        <f>MAX(0.5,IFERROR(VLOOKUP(U399,Assumptions!$A$7:$D$11,3,FALSE),3)+IFERROR(VLOOKUP(U399,Assumptions!$A$7:$D$11,4,FALSE),8)/2-IF(AN399="",0,YEAR(TODAY())-AN399))</f>
        <v/>
      </c>
      <c r="X399" s="21">
        <f>T399*V399/(1+Assumptions!$B$3)^W399</f>
        <v/>
      </c>
      <c r="Y399" s="25">
        <f>IF(T399=0,"",ROUND(X399/T399*100,1))</f>
        <v/>
      </c>
      <c r="Z399" s="26">
        <f>X399*Assumptions!$B$4</f>
        <v/>
      </c>
      <c r="AA399" s="25">
        <f>IF(T399=0,"",ROUND(Z399/T399*100,1))</f>
        <v/>
      </c>
      <c r="AB399" s="26">
        <f>X399-Z399</f>
        <v/>
      </c>
      <c r="AC399" s="25">
        <f>IF(T399=0,"",ROUND((X399-Z399)/T399*100,1))</f>
        <v/>
      </c>
      <c r="AD399" s="27" t="inlineStr">
        <is>
          <t>ESTIMATED</t>
        </is>
      </c>
      <c r="AE399" s="28" t="inlineStr">
        <is>
          <t>https://vtladm.com.br/wp-content/uploads/2024/04/09-–-EDITAL-DE-CONVOCACAO-DE-CREDORES-–-Frigorifico-Alfa-Industria-e-Comercio-de-Carnes-e-Derivados-Ltda.-e-Ctx-Logistica-Transporte-E-Locacoes-Ltda.pdf</t>
        </is>
      </c>
      <c r="AF399" s="27" t="inlineStr">
        <is>
          <t>p1 r19</t>
        </is>
      </c>
      <c r="AG399" s="27" t="inlineStr">
        <is>
          <t>p1: R$ 289.547,95</t>
        </is>
      </c>
      <c r="AH399" s="27" t="inlineStr">
        <is>
          <t>AJ_LIST</t>
        </is>
      </c>
      <c r="AI399" s="27" t="inlineStr"/>
      <c r="AJ399" s="27" t="inlineStr">
        <is>
          <t>OK</t>
        </is>
      </c>
      <c r="AK399" s="29" t="inlineStr">
        <is>
          <t>1009827-02.2024.8.26.0576</t>
        </is>
      </c>
      <c r="AL399" s="29" t="inlineStr">
        <is>
          <t>TJSP</t>
        </is>
      </c>
      <c r="AM399" s="29" t="inlineStr">
        <is>
          <t>ACTIVE</t>
        </is>
      </c>
      <c r="AN399" s="29" t="n">
        <v>2024</v>
      </c>
      <c r="AO399" s="29" t="inlineStr">
        <is>
          <t>live case, no plan document yet</t>
        </is>
      </c>
      <c r="AP399" s="29" t="inlineStr"/>
      <c r="AQ399" s="29" t="inlineStr"/>
      <c r="AR399" s="29" t="inlineStr"/>
      <c r="AS399" s="29" t="inlineStr"/>
      <c r="AT399" s="29" t="inlineStr">
        <is>
          <t>MID-MARKET</t>
        </is>
      </c>
      <c r="AU399" s="29" t="inlineStr">
        <is>
          <t>04463602</t>
        </is>
      </c>
      <c r="AV399" s="29" t="n">
        <v>1</v>
      </c>
      <c r="AW399" s="29" t="inlineStr">
        <is>
          <t>LIKELY_FINANCIAL_BY_NAME ROWS:p1r19</t>
        </is>
      </c>
    </row>
    <row r="400">
      <c r="A400" s="15" t="inlineStr">
        <is>
          <t>BANCO DAYCOVAL S.A.</t>
        </is>
      </c>
      <c r="B400" s="16" t="n">
        <v>229172.85</v>
      </c>
      <c r="C400" s="17" t="inlineStr">
        <is>
          <t>civilmente LTDA</t>
        </is>
      </c>
      <c r="D400" s="18" t="inlineStr">
        <is>
          <t>NEW</t>
        </is>
      </c>
      <c r="E400" s="19" t="inlineStr"/>
      <c r="F400" s="18" t="inlineStr"/>
      <c r="G400" s="19" t="inlineStr"/>
      <c r="H400" s="18" t="inlineStr"/>
      <c r="I400" s="20" t="inlineStr">
        <is>
          <t>ADELY DAYAN HAMOUI</t>
        </is>
      </c>
      <c r="J400" s="20" t="inlineStr">
        <is>
          <t>Diretor</t>
        </is>
      </c>
      <c r="K400" s="20" t="inlineStr">
        <is>
          <t>(11) 3138-0500</t>
        </is>
      </c>
      <c r="L400" s="20" t="inlineStr"/>
      <c r="M400" s="20" t="inlineStr"/>
      <c r="N400" s="20" t="inlineStr"/>
      <c r="O400" s="20" t="inlineStr"/>
      <c r="P400" s="20" t="inlineStr">
        <is>
          <t>ALBERT ROUBEN</t>
        </is>
      </c>
      <c r="Q400" s="20" t="inlineStr">
        <is>
          <t>Diretor</t>
        </is>
      </c>
      <c r="R400" s="20" t="inlineStr">
        <is>
          <t>(11) 3138-0500</t>
        </is>
      </c>
      <c r="S400" s="20" t="inlineStr"/>
      <c r="T400" s="21" t="n">
        <v>229172.85</v>
      </c>
      <c r="U400" s="22" t="inlineStr">
        <is>
          <t>B</t>
        </is>
      </c>
      <c r="V400" s="23">
        <f>IFERROR(VLOOKUP(U400,Assumptions!$A$7:$D$11,2,FALSE),0)</f>
        <v/>
      </c>
      <c r="W400" s="24">
        <f>MAX(0.5,IFERROR(VLOOKUP(U400,Assumptions!$A$7:$D$11,3,FALSE),3)+IFERROR(VLOOKUP(U400,Assumptions!$A$7:$D$11,4,FALSE),8)/2-IF(AN400="",0,YEAR(TODAY())-AN400))</f>
        <v/>
      </c>
      <c r="X400" s="21">
        <f>T400*V400/(1+Assumptions!$B$3)^W400</f>
        <v/>
      </c>
      <c r="Y400" s="25">
        <f>IF(T400=0,"",ROUND(X400/T400*100,1))</f>
        <v/>
      </c>
      <c r="Z400" s="26">
        <f>X400*Assumptions!$B$4</f>
        <v/>
      </c>
      <c r="AA400" s="25">
        <f>IF(T400=0,"",ROUND(Z400/T400*100,1))</f>
        <v/>
      </c>
      <c r="AB400" s="26">
        <f>X400-Z400</f>
        <v/>
      </c>
      <c r="AC400" s="25">
        <f>IF(T400=0,"",ROUND((X400-Z400)/T400*100,1))</f>
        <v/>
      </c>
      <c r="AD400" s="27" t="inlineStr">
        <is>
          <t>ESTIMATED</t>
        </is>
      </c>
      <c r="AE400" s="28" t="inlineStr">
        <is>
          <t>http://recuperacaojudicial.squarespace.com/s/LISTA-DE-CREDORES-CONSOLIDADA-ATE-04102024.pdf</t>
        </is>
      </c>
      <c r="AF400" s="27" t="inlineStr">
        <is>
          <t>p6 r3</t>
        </is>
      </c>
      <c r="AG400" s="27" t="inlineStr">
        <is>
          <t>p6: R$ 229.172,85</t>
        </is>
      </c>
      <c r="AH400" s="27" t="inlineStr">
        <is>
          <t>AJ_LIST</t>
        </is>
      </c>
      <c r="AI400" s="27" t="inlineStr">
        <is>
          <t>2024-10-04</t>
        </is>
      </c>
      <c r="AJ400" s="27" t="inlineStr">
        <is>
          <t>OK</t>
        </is>
      </c>
      <c r="AK400" s="29" t="inlineStr">
        <is>
          <t>0800778-16.2023.8.20.5104</t>
        </is>
      </c>
      <c r="AL400" s="29" t="inlineStr">
        <is>
          <t>TJRN</t>
        </is>
      </c>
      <c r="AM400" s="29" t="inlineStr">
        <is>
          <t>ACTIVE</t>
        </is>
      </c>
      <c r="AN400" s="29" t="n">
        <v>2023</v>
      </c>
      <c r="AO400" s="29" t="inlineStr">
        <is>
          <t>live case, no plan document yet</t>
        </is>
      </c>
      <c r="AP400" s="29" t="inlineStr">
        <is>
          <t>SAO PAULO</t>
        </is>
      </c>
      <c r="AQ400" s="29" t="inlineStr">
        <is>
          <t>SP</t>
        </is>
      </c>
      <c r="AR400" s="29" t="inlineStr">
        <is>
          <t>Bancos múltiplos, com carteira comercial</t>
        </is>
      </c>
      <c r="AS400" s="29" t="inlineStr">
        <is>
          <t>DEMAIS</t>
        </is>
      </c>
      <c r="AT400" s="29" t="inlineStr">
        <is>
          <t>LARGE CORP</t>
        </is>
      </c>
      <c r="AU400" s="29" t="inlineStr">
        <is>
          <t>62232889</t>
        </is>
      </c>
      <c r="AV400" s="29" t="n">
        <v>1</v>
      </c>
      <c r="AW400" s="29" t="inlineStr">
        <is>
          <t>LIKELY_FINANCIAL_BY_NAME ROWS:p6r3 VALUE_COL:Valor_Do_Crédito</t>
        </is>
      </c>
    </row>
    <row r="401">
      <c r="A401" s="15" t="inlineStr">
        <is>
          <t>SERRANA FINANCIAMENTO - BANCO LOSANGO</t>
        </is>
      </c>
      <c r="B401" s="16" t="n">
        <v>283611.42</v>
      </c>
      <c r="C401" s="17" t="inlineStr">
        <is>
          <t>DIVINA INDUSTRIA DE COURO LTDA - EM RECUPERACAO JUDICIAL</t>
        </is>
      </c>
      <c r="D401" s="18" t="inlineStr">
        <is>
          <t>NEW</t>
        </is>
      </c>
      <c r="E401" s="19" t="inlineStr"/>
      <c r="F401" s="18" t="inlineStr"/>
      <c r="G401" s="19" t="inlineStr"/>
      <c r="H401" s="18" t="inlineStr"/>
      <c r="I401" s="20" t="inlineStr"/>
      <c r="J401" s="20" t="inlineStr"/>
      <c r="K401" s="20" t="inlineStr"/>
      <c r="L401" s="20" t="inlineStr"/>
      <c r="M401" s="20" t="inlineStr"/>
      <c r="N401" s="20" t="inlineStr"/>
      <c r="O401" s="20" t="inlineStr"/>
      <c r="P401" s="20" t="inlineStr"/>
      <c r="Q401" s="20" t="inlineStr"/>
      <c r="R401" s="20" t="inlineStr"/>
      <c r="S401" s="20" t="inlineStr"/>
      <c r="T401" s="21" t="n">
        <v>283611.42</v>
      </c>
      <c r="U401" s="22" t="inlineStr">
        <is>
          <t>B</t>
        </is>
      </c>
      <c r="V401" s="23">
        <f>IFERROR(VLOOKUP(U401,Assumptions!$A$7:$D$11,2,FALSE),0)</f>
        <v/>
      </c>
      <c r="W401" s="24">
        <f>MAX(0.5,IFERROR(VLOOKUP(U401,Assumptions!$A$7:$D$11,3,FALSE),3)+IFERROR(VLOOKUP(U401,Assumptions!$A$7:$D$11,4,FALSE),8)/2-IF(AN401="",0,YEAR(TODAY())-AN401))</f>
        <v/>
      </c>
      <c r="X401" s="21">
        <f>T401*V401/(1+Assumptions!$B$3)^W401</f>
        <v/>
      </c>
      <c r="Y401" s="25">
        <f>IF(T401=0,"",ROUND(X401/T401*100,1))</f>
        <v/>
      </c>
      <c r="Z401" s="26">
        <f>X401*Assumptions!$B$4</f>
        <v/>
      </c>
      <c r="AA401" s="25">
        <f>IF(T401=0,"",ROUND(Z401/T401*100,1))</f>
        <v/>
      </c>
      <c r="AB401" s="26">
        <f>X401-Z401</f>
        <v/>
      </c>
      <c r="AC401" s="25">
        <f>IF(T401=0,"",ROUND((X401-Z401)/T401*100,1))</f>
        <v/>
      </c>
      <c r="AD401" s="27" t="inlineStr">
        <is>
          <t>ESTIMATED</t>
        </is>
      </c>
      <c r="AE401" s="28" t="inlineStr">
        <is>
          <t>https://lrflideres.com.br/wp-content/plugins/download-attachments/includes/download.php?id=6252</t>
        </is>
      </c>
      <c r="AF401" s="27" t="inlineStr">
        <is>
          <t>p2 r78</t>
        </is>
      </c>
      <c r="AG401" s="27" t="inlineStr">
        <is>
          <t>p2: R$ 283.611,42</t>
        </is>
      </c>
      <c r="AH401" s="27" t="inlineStr">
        <is>
          <t>AJ_LIST</t>
        </is>
      </c>
      <c r="AI401" s="27" t="inlineStr">
        <is>
          <t>2024-11-27</t>
        </is>
      </c>
      <c r="AJ401" s="27" t="inlineStr">
        <is>
          <t>QUARANTINED</t>
        </is>
      </c>
      <c r="AK401" s="29" t="inlineStr">
        <is>
          <t>0000721-61.2024.8.17.2620</t>
        </is>
      </c>
      <c r="AL401" s="29" t="inlineStr">
        <is>
          <t>TJPE</t>
        </is>
      </c>
      <c r="AM401" s="29" t="inlineStr">
        <is>
          <t>ACTIVE</t>
        </is>
      </c>
      <c r="AN401" s="29" t="n">
        <v>2024</v>
      </c>
      <c r="AO401" s="29" t="inlineStr">
        <is>
          <t>live case, no plan document yet</t>
        </is>
      </c>
      <c r="AP401" s="29" t="inlineStr"/>
      <c r="AQ401" s="29" t="inlineStr"/>
      <c r="AR401" s="29" t="inlineStr"/>
      <c r="AS401" s="29" t="inlineStr"/>
      <c r="AT401" s="29" t="inlineStr">
        <is>
          <t>MID-MARKET</t>
        </is>
      </c>
      <c r="AU401" s="29" t="inlineStr">
        <is>
          <t>33254319</t>
        </is>
      </c>
      <c r="AV401" s="29" t="n">
        <v>1</v>
      </c>
      <c r="AW401" s="29" t="inlineStr">
        <is>
          <t>LIKELY_FINANCIAL_BY_NAME PARTIAL_DOC_CLASS_III_RECONCILED ROWS:p2r78</t>
        </is>
      </c>
    </row>
    <row r="402">
      <c r="A402" s="15" t="inlineStr">
        <is>
          <t>BANCO MERCANTIL DO BRASIL SA</t>
        </is>
      </c>
      <c r="B402" s="16" t="n">
        <v>258786.52</v>
      </c>
      <c r="C402" s="17" t="inlineStr">
        <is>
          <t>BANCO BRADESCO S.A.</t>
        </is>
      </c>
      <c r="D402" s="18" t="inlineStr">
        <is>
          <t>NEW</t>
        </is>
      </c>
      <c r="E402" s="19" t="inlineStr"/>
      <c r="F402" s="18" t="inlineStr"/>
      <c r="G402" s="19" t="inlineStr"/>
      <c r="H402" s="18" t="inlineStr"/>
      <c r="I402" s="20" t="inlineStr">
        <is>
          <t>LUIZ HENRIQUE ANDRADE DE ARAUJO</t>
        </is>
      </c>
      <c r="J402" s="20" t="inlineStr">
        <is>
          <t>Presidente</t>
        </is>
      </c>
      <c r="K402" s="20" t="inlineStr">
        <is>
          <t>(31) 3057-5342</t>
        </is>
      </c>
      <c r="L402" s="20" t="inlineStr"/>
      <c r="M402" s="20" t="inlineStr"/>
      <c r="N402" s="20" t="inlineStr"/>
      <c r="O402" s="20" t="inlineStr"/>
      <c r="P402" s="20" t="inlineStr">
        <is>
          <t>ANDERSON ADEILSON DE OLIVEIRA</t>
        </is>
      </c>
      <c r="Q402" s="20" t="inlineStr">
        <is>
          <t>Diretor</t>
        </is>
      </c>
      <c r="R402" s="20" t="inlineStr">
        <is>
          <t>(31) 3057-5342</t>
        </is>
      </c>
      <c r="S402" s="20" t="inlineStr"/>
      <c r="T402" s="21" t="n">
        <v>258786.52</v>
      </c>
      <c r="U402" s="31" t="inlineStr">
        <is>
          <t>C</t>
        </is>
      </c>
      <c r="V402" s="23">
        <f>IFERROR(VLOOKUP(U402,Assumptions!$A$7:$D$11,2,FALSE),0)</f>
        <v/>
      </c>
      <c r="W402" s="24">
        <f>MAX(0.5,IFERROR(VLOOKUP(U402,Assumptions!$A$7:$D$11,3,FALSE),3)+IFERROR(VLOOKUP(U402,Assumptions!$A$7:$D$11,4,FALSE),8)/2-IF(AN402="",0,YEAR(TODAY())-AN402))</f>
        <v/>
      </c>
      <c r="X402" s="21">
        <f>T402*V402/(1+Assumptions!$B$3)^W402</f>
        <v/>
      </c>
      <c r="Y402" s="25">
        <f>IF(T402=0,"",ROUND(X402/T402*100,1))</f>
        <v/>
      </c>
      <c r="Z402" s="26">
        <f>X402*Assumptions!$B$4</f>
        <v/>
      </c>
      <c r="AA402" s="25">
        <f>IF(T402=0,"",ROUND(Z402/T402*100,1))</f>
        <v/>
      </c>
      <c r="AB402" s="26">
        <f>X402-Z402</f>
        <v/>
      </c>
      <c r="AC402" s="25">
        <f>IF(T402=0,"",ROUND((X402-Z402)/T402*100,1))</f>
        <v/>
      </c>
      <c r="AD402" s="27" t="inlineStr">
        <is>
          <t>UNKNOWN</t>
        </is>
      </c>
      <c r="AE402" s="28" t="inlineStr">
        <is>
          <t>https://administradorajudicialgs.com.br/wp-content/uploads/2023/08/doc-06-relacao-credores-do-administrador-judicial-10-02-2015.pdf</t>
        </is>
      </c>
      <c r="AF402" s="27" t="inlineStr">
        <is>
          <t>p1 r37</t>
        </is>
      </c>
      <c r="AG402" s="27" t="inlineStr">
        <is>
          <t>p1: R$ 258.786,52</t>
        </is>
      </c>
      <c r="AH402" s="27" t="inlineStr">
        <is>
          <t>AJ_LIST</t>
        </is>
      </c>
      <c r="AI402" s="27" t="inlineStr"/>
      <c r="AJ402" s="27" t="inlineStr">
        <is>
          <t>QUARANTINED</t>
        </is>
      </c>
      <c r="AK402" s="29" t="inlineStr">
        <is>
          <t>0302174-63.2015.8.24.0025</t>
        </is>
      </c>
      <c r="AL402" s="29" t="inlineStr">
        <is>
          <t>TJ</t>
        </is>
      </c>
      <c r="AM402" s="29" t="inlineStr"/>
      <c r="AN402" s="29" t="n">
        <v>2015</v>
      </c>
      <c r="AO402" s="29" t="inlineStr">
        <is>
          <t>11y since filing, no plan document</t>
        </is>
      </c>
      <c r="AP402" s="29" t="inlineStr">
        <is>
          <t>BELO HORIZONTE</t>
        </is>
      </c>
      <c r="AQ402" s="29" t="inlineStr">
        <is>
          <t>MG</t>
        </is>
      </c>
      <c r="AR402" s="29" t="inlineStr">
        <is>
          <t>Bancos múltiplos, com carteira comercial</t>
        </is>
      </c>
      <c r="AS402" s="29" t="inlineStr">
        <is>
          <t>DEMAIS</t>
        </is>
      </c>
      <c r="AT402" s="29" t="inlineStr">
        <is>
          <t>LARGE CORP</t>
        </is>
      </c>
      <c r="AU402" s="29" t="inlineStr">
        <is>
          <t>17184037</t>
        </is>
      </c>
      <c r="AV402" s="29" t="n">
        <v>1</v>
      </c>
      <c r="AW402" s="29" t="inlineStr">
        <is>
          <t>LIKELY_FINANCIAL_BY_NAME PARTIAL_DOC_CLASS_III_RECONCILED ROWS:p1r37 VALUE_COL:Valores</t>
        </is>
      </c>
    </row>
    <row r="403">
      <c r="A403" s="15" t="inlineStr">
        <is>
          <t>BANCO BRADESCO S.A.</t>
        </is>
      </c>
      <c r="B403" s="16" t="n">
        <v>253941.9</v>
      </c>
      <c r="C403" s="17" t="inlineStr">
        <is>
          <t>HOSPITAL SA</t>
        </is>
      </c>
      <c r="D403" s="18" t="inlineStr">
        <is>
          <t>NEW</t>
        </is>
      </c>
      <c r="E403" s="19" t="inlineStr"/>
      <c r="F403" s="18" t="inlineStr"/>
      <c r="G403" s="19" t="inlineStr"/>
      <c r="H403" s="18" t="inlineStr"/>
      <c r="I403" s="20" t="inlineStr">
        <is>
          <t>MARCELO DE ARAUJO NORONHA</t>
        </is>
      </c>
      <c r="J403" s="20" t="inlineStr">
        <is>
          <t>Presidente</t>
        </is>
      </c>
      <c r="K403" s="20" t="inlineStr">
        <is>
          <t>(11) 3684-5122</t>
        </is>
      </c>
      <c r="L403" s="20" t="inlineStr"/>
      <c r="M403" s="20" t="inlineStr"/>
      <c r="N403" s="20" t="inlineStr"/>
      <c r="O403" s="20" t="inlineStr"/>
      <c r="P403" s="20" t="inlineStr">
        <is>
          <t>AFRANIO CARLOS CAMARGO DANTZGER</t>
        </is>
      </c>
      <c r="Q403" s="20" t="inlineStr">
        <is>
          <t>Diretor</t>
        </is>
      </c>
      <c r="R403" s="20" t="inlineStr">
        <is>
          <t>(11) 3684-5122</t>
        </is>
      </c>
      <c r="S403" s="20" t="inlineStr"/>
      <c r="T403" s="21" t="n">
        <v>253941.9</v>
      </c>
      <c r="U403" s="31" t="inlineStr">
        <is>
          <t>C</t>
        </is>
      </c>
      <c r="V403" s="23">
        <f>IFERROR(VLOOKUP(U403,Assumptions!$A$7:$D$11,2,FALSE),0)</f>
        <v/>
      </c>
      <c r="W403" s="24">
        <f>MAX(0.5,IFERROR(VLOOKUP(U403,Assumptions!$A$7:$D$11,3,FALSE),3)+IFERROR(VLOOKUP(U403,Assumptions!$A$7:$D$11,4,FALSE),8)/2-IF(AN403="",0,YEAR(TODAY())-AN403))</f>
        <v/>
      </c>
      <c r="X403" s="21">
        <f>T403*V403/(1+Assumptions!$B$3)^W403</f>
        <v/>
      </c>
      <c r="Y403" s="25">
        <f>IF(T403=0,"",ROUND(X403/T403*100,1))</f>
        <v/>
      </c>
      <c r="Z403" s="26">
        <f>X403*Assumptions!$B$4</f>
        <v/>
      </c>
      <c r="AA403" s="25">
        <f>IF(T403=0,"",ROUND(Z403/T403*100,1))</f>
        <v/>
      </c>
      <c r="AB403" s="26">
        <f>X403-Z403</f>
        <v/>
      </c>
      <c r="AC403" s="25">
        <f>IF(T403=0,"",ROUND((X403-Z403)/T403*100,1))</f>
        <v/>
      </c>
      <c r="AD403" s="27" t="inlineStr">
        <is>
          <t>UNKNOWN</t>
        </is>
      </c>
      <c r="AE403" s="28" t="inlineStr">
        <is>
          <t>https://ricardobiancardi.com.br/wp-content/uploads/2024/12/Edital-1-relacao-de-credores-pub.-02.12.24-.pdf</t>
        </is>
      </c>
      <c r="AF403" s="27" t="inlineStr">
        <is>
          <t>p3 r1; p3 r2; p3 r3</t>
        </is>
      </c>
      <c r="AG403" s="27" t="inlineStr">
        <is>
          <t>p3: R$ 39.706,32; p3: R$ 153.449,69; p3: R$ 60.785,89</t>
        </is>
      </c>
      <c r="AH403" s="27" t="inlineStr">
        <is>
          <t>DEBTOR_LIST</t>
        </is>
      </c>
      <c r="AI403" s="27" t="inlineStr">
        <is>
          <t>2024-12-02</t>
        </is>
      </c>
      <c r="AJ403" s="27" t="inlineStr">
        <is>
          <t>OK_NO_TOTALS</t>
        </is>
      </c>
      <c r="AK403" s="29" t="inlineStr">
        <is>
          <t>0041309-42.2014.8.08.0024</t>
        </is>
      </c>
      <c r="AL403" s="29" t="inlineStr">
        <is>
          <t>TJ</t>
        </is>
      </c>
      <c r="AM403" s="29" t="inlineStr"/>
      <c r="AN403" s="29" t="n">
        <v>2014</v>
      </c>
      <c r="AO403" s="29" t="inlineStr">
        <is>
          <t>12y since filing, no plan document</t>
        </is>
      </c>
      <c r="AP403" s="29" t="inlineStr">
        <is>
          <t>OSASCO</t>
        </is>
      </c>
      <c r="AQ403" s="29" t="inlineStr">
        <is>
          <t>SP</t>
        </is>
      </c>
      <c r="AR403" s="29" t="inlineStr">
        <is>
          <t>Bancos múltiplos, com carteira comercial</t>
        </is>
      </c>
      <c r="AS403" s="29" t="inlineStr">
        <is>
          <t>DEMAIS</t>
        </is>
      </c>
      <c r="AT403" s="29" t="inlineStr">
        <is>
          <t>LARGE CORP</t>
        </is>
      </c>
      <c r="AU403" s="29" t="inlineStr">
        <is>
          <t>60746948</t>
        </is>
      </c>
      <c r="AV403" s="29" t="n">
        <v>3</v>
      </c>
      <c r="AW403" s="29" t="inlineStr">
        <is>
          <t>LIKELY_FINANCIAL_BY_NAME ROWS:p3r1,p3r2,p3r3 UNRECONCILED_SOURCE</t>
        </is>
      </c>
    </row>
    <row r="404">
      <c r="A404" s="15" t="inlineStr">
        <is>
          <t>BMP SOCIEDADE DE CREDITO DIRETO S.A</t>
        </is>
      </c>
      <c r="B404" s="16" t="n">
        <v>275989.58</v>
      </c>
      <c r="C404" s="17" t="inlineStr">
        <is>
          <t>DIVINA INDUSTRIA DE COURO LTDA - EM RECUPERACAO JUDICIAL</t>
        </is>
      </c>
      <c r="D404" s="18" t="inlineStr">
        <is>
          <t>NEW</t>
        </is>
      </c>
      <c r="E404" s="19" t="inlineStr"/>
      <c r="F404" s="18" t="inlineStr"/>
      <c r="G404" s="19" t="inlineStr"/>
      <c r="H404" s="18" t="inlineStr"/>
      <c r="I404" s="20" t="inlineStr">
        <is>
          <t>CARLOS EDUARDO BENITEZ</t>
        </is>
      </c>
      <c r="J404" s="20" t="inlineStr">
        <is>
          <t>Presidente</t>
        </is>
      </c>
      <c r="K404" s="20" t="inlineStr">
        <is>
          <t>(11) 3810-9313</t>
        </is>
      </c>
      <c r="L404" s="20" t="inlineStr"/>
      <c r="M404" s="20" t="inlineStr"/>
      <c r="N404" s="20" t="inlineStr"/>
      <c r="O404" s="20" t="inlineStr"/>
      <c r="P404" s="20" t="inlineStr">
        <is>
          <t>FLAVIA SANTANA DE ALMEIDA MASSINI</t>
        </is>
      </c>
      <c r="Q404" s="20" t="inlineStr">
        <is>
          <t>Diretor</t>
        </is>
      </c>
      <c r="R404" s="20" t="inlineStr">
        <is>
          <t>(11) 3810-9313</t>
        </is>
      </c>
      <c r="S404" s="20" t="inlineStr"/>
      <c r="T404" s="21" t="n">
        <v>275989.58</v>
      </c>
      <c r="U404" s="22" t="inlineStr">
        <is>
          <t>B</t>
        </is>
      </c>
      <c r="V404" s="23">
        <f>IFERROR(VLOOKUP(U404,Assumptions!$A$7:$D$11,2,FALSE),0)</f>
        <v/>
      </c>
      <c r="W404" s="24">
        <f>MAX(0.5,IFERROR(VLOOKUP(U404,Assumptions!$A$7:$D$11,3,FALSE),3)+IFERROR(VLOOKUP(U404,Assumptions!$A$7:$D$11,4,FALSE),8)/2-IF(AN404="",0,YEAR(TODAY())-AN404))</f>
        <v/>
      </c>
      <c r="X404" s="21">
        <f>T404*V404/(1+Assumptions!$B$3)^W404</f>
        <v/>
      </c>
      <c r="Y404" s="25">
        <f>IF(T404=0,"",ROUND(X404/T404*100,1))</f>
        <v/>
      </c>
      <c r="Z404" s="26">
        <f>X404*Assumptions!$B$4</f>
        <v/>
      </c>
      <c r="AA404" s="25">
        <f>IF(T404=0,"",ROUND(Z404/T404*100,1))</f>
        <v/>
      </c>
      <c r="AB404" s="26">
        <f>X404-Z404</f>
        <v/>
      </c>
      <c r="AC404" s="25">
        <f>IF(T404=0,"",ROUND((X404-Z404)/T404*100,1))</f>
        <v/>
      </c>
      <c r="AD404" s="27" t="inlineStr">
        <is>
          <t>ESTIMATED</t>
        </is>
      </c>
      <c r="AE404" s="28" t="inlineStr">
        <is>
          <t>https://lrflideres.com.br/wp-content/plugins/download-attachments/includes/download.php?id=6252</t>
        </is>
      </c>
      <c r="AF404" s="27" t="inlineStr">
        <is>
          <t>p2 r21</t>
        </is>
      </c>
      <c r="AG404" s="27" t="inlineStr">
        <is>
          <t>p2: R$ 275.989,58</t>
        </is>
      </c>
      <c r="AH404" s="27" t="inlineStr">
        <is>
          <t>AJ_LIST</t>
        </is>
      </c>
      <c r="AI404" s="27" t="inlineStr">
        <is>
          <t>2024-11-27</t>
        </is>
      </c>
      <c r="AJ404" s="27" t="inlineStr">
        <is>
          <t>QUARANTINED</t>
        </is>
      </c>
      <c r="AK404" s="29" t="inlineStr">
        <is>
          <t>0000721-61.2024.8.17.2620</t>
        </is>
      </c>
      <c r="AL404" s="29" t="inlineStr">
        <is>
          <t>TJPE</t>
        </is>
      </c>
      <c r="AM404" s="29" t="inlineStr">
        <is>
          <t>ACTIVE</t>
        </is>
      </c>
      <c r="AN404" s="29" t="n">
        <v>2024</v>
      </c>
      <c r="AO404" s="29" t="inlineStr">
        <is>
          <t>live case, no plan document yet</t>
        </is>
      </c>
      <c r="AP404" s="29" t="inlineStr">
        <is>
          <t>SAO PAULO</t>
        </is>
      </c>
      <c r="AQ404" s="29" t="inlineStr">
        <is>
          <t>SP</t>
        </is>
      </c>
      <c r="AR404" s="29" t="inlineStr">
        <is>
          <t>Outras atividades de serviços financeiros não especificadas anteriormente</t>
        </is>
      </c>
      <c r="AS404" s="29" t="inlineStr">
        <is>
          <t>DEMAIS</t>
        </is>
      </c>
      <c r="AT404" s="29" t="inlineStr">
        <is>
          <t>LARGE CORP</t>
        </is>
      </c>
      <c r="AU404" s="29" t="inlineStr">
        <is>
          <t>34337707</t>
        </is>
      </c>
      <c r="AV404" s="29" t="n">
        <v>1</v>
      </c>
      <c r="AW404" s="29" t="inlineStr">
        <is>
          <t>PARTIAL_DOC_CLASS_III_RECONCILED ROWS:p2r21</t>
        </is>
      </c>
    </row>
    <row r="405">
      <c r="A405" s="15" t="inlineStr">
        <is>
          <t>ARTEMUS FUNDO DE INVESTIMENTO EM DIREITOS CREDITORIOS MULTISSETORIAL (</t>
        </is>
      </c>
      <c r="B405" s="16" t="n">
        <v>440967.31</v>
      </c>
      <c r="C405" s="17" t="inlineStr">
        <is>
          <t>VECTOR INDUSTRIA DE PRODUTOS METALURGICOS LTDA - EM RECUPERACAO JUDICIAL</t>
        </is>
      </c>
      <c r="D405" s="18" t="inlineStr">
        <is>
          <t>NEW</t>
        </is>
      </c>
      <c r="E405" s="19" t="inlineStr"/>
      <c r="F405" s="18" t="inlineStr"/>
      <c r="G405" s="19" t="inlineStr"/>
      <c r="H405" s="18" t="inlineStr"/>
      <c r="I405" s="20" t="inlineStr"/>
      <c r="J405" s="20" t="inlineStr"/>
      <c r="K405" s="20" t="inlineStr"/>
      <c r="L405" s="20" t="inlineStr"/>
      <c r="M405" s="20" t="inlineStr"/>
      <c r="N405" s="20" t="inlineStr"/>
      <c r="O405" s="20" t="inlineStr"/>
      <c r="P405" s="20" t="inlineStr"/>
      <c r="Q405" s="20" t="inlineStr"/>
      <c r="R405" s="20" t="inlineStr"/>
      <c r="S405" s="20" t="inlineStr"/>
      <c r="T405" s="21" t="n">
        <v>440967.31</v>
      </c>
      <c r="U405" s="31" t="inlineStr">
        <is>
          <t>C</t>
        </is>
      </c>
      <c r="V405" s="23">
        <f>IFERROR(VLOOKUP(U405,Assumptions!$A$7:$D$11,2,FALSE),0)</f>
        <v/>
      </c>
      <c r="W405" s="24">
        <f>MAX(0.5,IFERROR(VLOOKUP(U405,Assumptions!$A$7:$D$11,3,FALSE),3)+IFERROR(VLOOKUP(U405,Assumptions!$A$7:$D$11,4,FALSE),8)/2-IF(AN405="",0,YEAR(TODAY())-AN405))</f>
        <v/>
      </c>
      <c r="X405" s="21">
        <f>T405*V405/(1+Assumptions!$B$3)^W405</f>
        <v/>
      </c>
      <c r="Y405" s="25">
        <f>IF(T405=0,"",ROUND(X405/T405*100,1))</f>
        <v/>
      </c>
      <c r="Z405" s="26">
        <f>X405*Assumptions!$B$4</f>
        <v/>
      </c>
      <c r="AA405" s="25">
        <f>IF(T405=0,"",ROUND(Z405/T405*100,1))</f>
        <v/>
      </c>
      <c r="AB405" s="26">
        <f>X405-Z405</f>
        <v/>
      </c>
      <c r="AC405" s="25">
        <f>IF(T405=0,"",ROUND((X405-Z405)/T405*100,1))</f>
        <v/>
      </c>
      <c r="AD405" s="27" t="inlineStr">
        <is>
          <t>ESTIMATED</t>
        </is>
      </c>
      <c r="AE405" s="28" t="inlineStr">
        <is>
          <t>https://scalzilliaj.com.br/sgc/download.php?file=files/processo_documento/processo_documento15513401112022_1_.pdf&amp;nome=15 - Edital do art. 7º, §2º (segunda lista de credores) e do art. 53 da Lei 11.101/2005 (recebimento do plano)</t>
        </is>
      </c>
      <c r="AF405" s="27" t="inlineStr">
        <is>
          <t>p5 r33</t>
        </is>
      </c>
      <c r="AG405" s="27" t="inlineStr">
        <is>
          <t>p5: R$ 440.967,31</t>
        </is>
      </c>
      <c r="AH405" s="27" t="inlineStr">
        <is>
          <t>AJ_LIST</t>
        </is>
      </c>
      <c r="AI405" s="27" t="inlineStr">
        <is>
          <t>2022-11-01</t>
        </is>
      </c>
      <c r="AJ405" s="27" t="inlineStr">
        <is>
          <t>OK_NO_TOTALS</t>
        </is>
      </c>
      <c r="AK405" s="29" t="inlineStr">
        <is>
          <t>5014104-85.2021.8.21.0010</t>
        </is>
      </c>
      <c r="AL405" s="29" t="inlineStr">
        <is>
          <t>TJRS</t>
        </is>
      </c>
      <c r="AM405" s="29" t="inlineStr">
        <is>
          <t>ACTIVE</t>
        </is>
      </c>
      <c r="AN405" s="29" t="n">
        <v>2021</v>
      </c>
      <c r="AO405" s="29" t="inlineStr">
        <is>
          <t>5y since filing, no plan document</t>
        </is>
      </c>
      <c r="AP405" s="29" t="inlineStr"/>
      <c r="AQ405" s="29" t="inlineStr"/>
      <c r="AR405" s="29" t="inlineStr"/>
      <c r="AS405" s="29" t="inlineStr"/>
      <c r="AT405" s="29" t="inlineStr">
        <is>
          <t>MID-MARKET</t>
        </is>
      </c>
      <c r="AU405" s="29" t="inlineStr">
        <is>
          <t>24506071</t>
        </is>
      </c>
      <c r="AV405" s="29" t="n">
        <v>1</v>
      </c>
      <c r="AW405" s="29" t="inlineStr">
        <is>
          <t>LIKELY_FINANCIAL_BY_NAME ROWS:p5r33 UNRECONCILED_SOURCE</t>
        </is>
      </c>
    </row>
    <row r="406">
      <c r="A406" s="15" t="inlineStr">
        <is>
          <t>SOCIEDADE EMBUENSE ADMINISTRACAO E PARTICIPACAO LTDA</t>
        </is>
      </c>
      <c r="B406" s="16" t="n">
        <v>350000</v>
      </c>
      <c r="C406" s="17" t="inlineStr">
        <is>
          <t>promovida por TRANSLOCOMOTIVA TRANSPORTES RODOVIÁRIOS E DISTRIBUIÇÃO DE CARGAS LTDA</t>
        </is>
      </c>
      <c r="D406" s="18" t="inlineStr">
        <is>
          <t>NEW</t>
        </is>
      </c>
      <c r="E406" s="19" t="inlineStr"/>
      <c r="F406" s="18" t="inlineStr"/>
      <c r="G406" s="19" t="inlineStr"/>
      <c r="H406" s="18" t="inlineStr"/>
      <c r="I406" s="20" t="inlineStr">
        <is>
          <t>VITOR BAZI</t>
        </is>
      </c>
      <c r="J406" s="20" t="inlineStr">
        <is>
          <t>Sócio-Administrador</t>
        </is>
      </c>
      <c r="K406" s="20" t="inlineStr">
        <is>
          <t>(11) 4667-1843</t>
        </is>
      </c>
      <c r="L406" s="20" t="inlineStr"/>
      <c r="M406" s="20" t="inlineStr"/>
      <c r="N406" s="20" t="inlineStr"/>
      <c r="O406" s="20" t="inlineStr"/>
      <c r="P406" s="20" t="inlineStr">
        <is>
          <t>MARIA TAVARES BAZI</t>
        </is>
      </c>
      <c r="Q406" s="20" t="inlineStr">
        <is>
          <t>Administrador</t>
        </is>
      </c>
      <c r="R406" s="20" t="inlineStr">
        <is>
          <t>(11) 4667-1843</t>
        </is>
      </c>
      <c r="S406" s="20" t="inlineStr"/>
      <c r="T406" s="21" t="n">
        <v>350000</v>
      </c>
      <c r="U406" s="31" t="inlineStr">
        <is>
          <t>C</t>
        </is>
      </c>
      <c r="V406" s="23">
        <f>IFERROR(VLOOKUP(U406,Assumptions!$A$7:$D$11,2,FALSE),0)</f>
        <v/>
      </c>
      <c r="W406" s="24">
        <f>MAX(0.5,IFERROR(VLOOKUP(U406,Assumptions!$A$7:$D$11,3,FALSE),3)+IFERROR(VLOOKUP(U406,Assumptions!$A$7:$D$11,4,FALSE),8)/2-IF(AN406="",0,YEAR(TODAY())-AN406))</f>
        <v/>
      </c>
      <c r="X406" s="21">
        <f>T406*V406/(1+Assumptions!$B$3)^W406</f>
        <v/>
      </c>
      <c r="Y406" s="25">
        <f>IF(T406=0,"",ROUND(X406/T406*100,1))</f>
        <v/>
      </c>
      <c r="Z406" s="26">
        <f>X406*Assumptions!$B$4</f>
        <v/>
      </c>
      <c r="AA406" s="25">
        <f>IF(T406=0,"",ROUND(Z406/T406*100,1))</f>
        <v/>
      </c>
      <c r="AB406" s="26">
        <f>X406-Z406</f>
        <v/>
      </c>
      <c r="AC406" s="25">
        <f>IF(T406=0,"",ROUND((X406-Z406)/T406*100,1))</f>
        <v/>
      </c>
      <c r="AD406" s="27" t="inlineStr">
        <is>
          <t>ESTIMATED</t>
        </is>
      </c>
      <c r="AE406" s="28" t="inlineStr">
        <is>
          <t>https://ativosajce.com.br/admin/download.php?file=files/processo_documento/processo_documento18430011062025_1_.pdf&amp;nome=Relação de Credores - Art. 52º § 1º, da Lei nº 11.101/2005 - 13/08/2020</t>
        </is>
      </c>
      <c r="AF406" s="27" t="inlineStr">
        <is>
          <t>p3 r17</t>
        </is>
      </c>
      <c r="AG406" s="27" t="inlineStr">
        <is>
          <t>p3: R$ 350.000,00</t>
        </is>
      </c>
      <c r="AH406" s="27" t="inlineStr">
        <is>
          <t>AJ_LIST</t>
        </is>
      </c>
      <c r="AI406" s="27" t="inlineStr">
        <is>
          <t>2020-07-19</t>
        </is>
      </c>
      <c r="AJ406" s="27" t="inlineStr">
        <is>
          <t>OK_NO_TOTALS</t>
        </is>
      </c>
      <c r="AK406" s="29" t="inlineStr">
        <is>
          <t>1000117-72.2020.8.26.0260</t>
        </is>
      </c>
      <c r="AL406" s="29" t="inlineStr">
        <is>
          <t>TJSP</t>
        </is>
      </c>
      <c r="AM406" s="29" t="inlineStr">
        <is>
          <t>ACTIVE</t>
        </is>
      </c>
      <c r="AN406" s="29" t="n">
        <v>2020</v>
      </c>
      <c r="AO406" s="29" t="inlineStr">
        <is>
          <t>6y since filing, no plan document</t>
        </is>
      </c>
      <c r="AP406" s="29" t="inlineStr">
        <is>
          <t>EMBU DAS ARTES</t>
        </is>
      </c>
      <c r="AQ406" s="29" t="inlineStr">
        <is>
          <t>SP</t>
        </is>
      </c>
      <c r="AR406" s="29" t="inlineStr">
        <is>
          <t>Holdings de instituições não-financeiras</t>
        </is>
      </c>
      <c r="AS406" s="29" t="inlineStr">
        <is>
          <t>DEMAIS</t>
        </is>
      </c>
      <c r="AT406" s="29" t="inlineStr">
        <is>
          <t>MID-MARKET</t>
        </is>
      </c>
      <c r="AU406" s="29" t="inlineStr">
        <is>
          <t>49655558</t>
        </is>
      </c>
      <c r="AV406" s="29" t="n">
        <v>1</v>
      </c>
      <c r="AW406" s="29" t="inlineStr">
        <is>
          <t>ROWS:p3r17 UNRECONCILED_SOURCE</t>
        </is>
      </c>
    </row>
    <row r="407">
      <c r="A407" s="15" t="inlineStr">
        <is>
          <t>RIOPAR PARTICIPACOES S.A.</t>
        </is>
      </c>
      <c r="B407" s="16" t="n">
        <v>215452.06</v>
      </c>
      <c r="C407" s="17" t="inlineStr">
        <is>
          <t>REAL DISTRIBUIDORA ÚNICA RIO COMÉRCIO DE REFRIGERAÇÃO LTDA</t>
        </is>
      </c>
      <c r="D407" s="18" t="inlineStr">
        <is>
          <t>NEW</t>
        </is>
      </c>
      <c r="E407" s="19" t="inlineStr"/>
      <c r="F407" s="18" t="inlineStr"/>
      <c r="G407" s="19" t="inlineStr"/>
      <c r="H407" s="18" t="inlineStr"/>
      <c r="I407" s="20" t="inlineStr">
        <is>
          <t>ARMANDO GALHARDO NUNES GUERRA JUNIOR</t>
        </is>
      </c>
      <c r="J407" s="20" t="inlineStr">
        <is>
          <t>Presidente</t>
        </is>
      </c>
      <c r="K407" s="20" t="inlineStr">
        <is>
          <t>(21) 3013-1415</t>
        </is>
      </c>
      <c r="L407" s="20" t="inlineStr"/>
      <c r="M407" s="20" t="inlineStr"/>
      <c r="N407" s="20" t="inlineStr"/>
      <c r="O407" s="20" t="inlineStr"/>
      <c r="P407" s="20" t="inlineStr">
        <is>
          <t>CASSIANO RICARDO GONSALVES RUSYCKI</t>
        </is>
      </c>
      <c r="Q407" s="20" t="inlineStr">
        <is>
          <t>Diretor</t>
        </is>
      </c>
      <c r="R407" s="20" t="inlineStr">
        <is>
          <t>(21) 3013-1415</t>
        </is>
      </c>
      <c r="S407" s="20" t="inlineStr"/>
      <c r="T407" s="21" t="n">
        <v>215452.06</v>
      </c>
      <c r="U407" s="22" t="inlineStr">
        <is>
          <t>B</t>
        </is>
      </c>
      <c r="V407" s="23">
        <f>IFERROR(VLOOKUP(U407,Assumptions!$A$7:$D$11,2,FALSE),0)</f>
        <v/>
      </c>
      <c r="W407" s="24">
        <f>MAX(0.5,IFERROR(VLOOKUP(U407,Assumptions!$A$7:$D$11,3,FALSE),3)+IFERROR(VLOOKUP(U407,Assumptions!$A$7:$D$11,4,FALSE),8)/2-IF(AN407="",0,YEAR(TODAY())-AN407))</f>
        <v/>
      </c>
      <c r="X407" s="21">
        <f>T407*V407/(1+Assumptions!$B$3)^W407</f>
        <v/>
      </c>
      <c r="Y407" s="25">
        <f>IF(T407=0,"",ROUND(X407/T407*100,1))</f>
        <v/>
      </c>
      <c r="Z407" s="26">
        <f>X407*Assumptions!$B$4</f>
        <v/>
      </c>
      <c r="AA407" s="25">
        <f>IF(T407=0,"",ROUND(Z407/T407*100,1))</f>
        <v/>
      </c>
      <c r="AB407" s="26">
        <f>X407-Z407</f>
        <v/>
      </c>
      <c r="AC407" s="25">
        <f>IF(T407=0,"",ROUND((X407-Z407)/T407*100,1))</f>
        <v/>
      </c>
      <c r="AD407" s="27" t="inlineStr">
        <is>
          <t>UNKNOWN</t>
        </is>
      </c>
      <c r="AE407" s="28" t="inlineStr">
        <is>
          <t>https://inova-aj.com.br/wp-content/uploads/2026/08/1a-Relacao-de-Credores-Real.pdf</t>
        </is>
      </c>
      <c r="AF407" s="27" t="inlineStr">
        <is>
          <t>p1 r48</t>
        </is>
      </c>
      <c r="AG407" s="27" t="inlineStr">
        <is>
          <t>p1: R$ 215.452,06</t>
        </is>
      </c>
      <c r="AH407" s="27" t="inlineStr">
        <is>
          <t>AJ_LIST</t>
        </is>
      </c>
      <c r="AI407" s="27" t="inlineStr">
        <is>
          <t>2023-06-05</t>
        </is>
      </c>
      <c r="AJ407" s="27" t="inlineStr">
        <is>
          <t>OK</t>
        </is>
      </c>
      <c r="AK407" s="29" t="inlineStr">
        <is>
          <t>0873061-47.2023.8.19.0001</t>
        </is>
      </c>
      <c r="AL407" s="29" t="inlineStr">
        <is>
          <t>TJ</t>
        </is>
      </c>
      <c r="AM407" s="29" t="inlineStr"/>
      <c r="AN407" s="29" t="n">
        <v>2023</v>
      </c>
      <c r="AO407" s="29" t="inlineStr">
        <is>
          <t>live case, no plan document yet</t>
        </is>
      </c>
      <c r="AP407" s="29" t="inlineStr">
        <is>
          <t>RIO DE JANEIRO</t>
        </is>
      </c>
      <c r="AQ407" s="29" t="inlineStr">
        <is>
          <t>RJ</t>
        </is>
      </c>
      <c r="AR407" s="29" t="inlineStr">
        <is>
          <t>Outras sociedades de participação, exceto holdings</t>
        </is>
      </c>
      <c r="AS407" s="29" t="inlineStr">
        <is>
          <t>DEMAIS</t>
        </is>
      </c>
      <c r="AT407" s="29" t="inlineStr">
        <is>
          <t>MID-MARKET</t>
        </is>
      </c>
      <c r="AU407" s="29" t="inlineStr">
        <is>
          <t>16727386</t>
        </is>
      </c>
      <c r="AV407" s="29" t="n">
        <v>1</v>
      </c>
      <c r="AW407" s="29" t="inlineStr">
        <is>
          <t>ALT_VALUE:R$156.656,93 ROWS:p1r48</t>
        </is>
      </c>
    </row>
    <row r="408">
      <c r="A408" s="15" t="inlineStr">
        <is>
          <t>FAN SECURITIZADORA S/A (IGUANA)</t>
        </is>
      </c>
      <c r="B408" s="16" t="n">
        <v>266462.06</v>
      </c>
      <c r="C408" s="17" t="inlineStr">
        <is>
          <t>DIVINA INDUSTRIA DE COURO LTDA - EM RECUPERACAO JUDICIAL</t>
        </is>
      </c>
      <c r="D408" s="18" t="inlineStr">
        <is>
          <t>NEW</t>
        </is>
      </c>
      <c r="E408" s="19" t="inlineStr"/>
      <c r="F408" s="18" t="inlineStr"/>
      <c r="G408" s="19" t="inlineStr"/>
      <c r="H408" s="18" t="inlineStr"/>
      <c r="I408" s="20" t="inlineStr"/>
      <c r="J408" s="20" t="inlineStr"/>
      <c r="K408" s="20" t="inlineStr"/>
      <c r="L408" s="20" t="inlineStr"/>
      <c r="M408" s="20" t="inlineStr"/>
      <c r="N408" s="20" t="inlineStr"/>
      <c r="O408" s="20" t="inlineStr"/>
      <c r="P408" s="20" t="inlineStr"/>
      <c r="Q408" s="20" t="inlineStr"/>
      <c r="R408" s="20" t="inlineStr"/>
      <c r="S408" s="20" t="inlineStr"/>
      <c r="T408" s="21" t="n">
        <v>266462.06</v>
      </c>
      <c r="U408" s="22" t="inlineStr">
        <is>
          <t>B</t>
        </is>
      </c>
      <c r="V408" s="23">
        <f>IFERROR(VLOOKUP(U408,Assumptions!$A$7:$D$11,2,FALSE),0)</f>
        <v/>
      </c>
      <c r="W408" s="24">
        <f>MAX(0.5,IFERROR(VLOOKUP(U408,Assumptions!$A$7:$D$11,3,FALSE),3)+IFERROR(VLOOKUP(U408,Assumptions!$A$7:$D$11,4,FALSE),8)/2-IF(AN408="",0,YEAR(TODAY())-AN408))</f>
        <v/>
      </c>
      <c r="X408" s="21">
        <f>T408*V408/(1+Assumptions!$B$3)^W408</f>
        <v/>
      </c>
      <c r="Y408" s="25">
        <f>IF(T408=0,"",ROUND(X408/T408*100,1))</f>
        <v/>
      </c>
      <c r="Z408" s="26">
        <f>X408*Assumptions!$B$4</f>
        <v/>
      </c>
      <c r="AA408" s="25">
        <f>IF(T408=0,"",ROUND(Z408/T408*100,1))</f>
        <v/>
      </c>
      <c r="AB408" s="26">
        <f>X408-Z408</f>
        <v/>
      </c>
      <c r="AC408" s="25">
        <f>IF(T408=0,"",ROUND((X408-Z408)/T408*100,1))</f>
        <v/>
      </c>
      <c r="AD408" s="27" t="inlineStr">
        <is>
          <t>ESTIMATED</t>
        </is>
      </c>
      <c r="AE408" s="28" t="inlineStr">
        <is>
          <t>https://lrflideres.com.br/wp-content/plugins/download-attachments/includes/download.php?id=6252</t>
        </is>
      </c>
      <c r="AF408" s="27" t="inlineStr">
        <is>
          <t>p2 r38</t>
        </is>
      </c>
      <c r="AG408" s="27" t="inlineStr">
        <is>
          <t>p2: R$ 266.462,06</t>
        </is>
      </c>
      <c r="AH408" s="27" t="inlineStr">
        <is>
          <t>AJ_LIST</t>
        </is>
      </c>
      <c r="AI408" s="27" t="inlineStr">
        <is>
          <t>2024-11-27</t>
        </is>
      </c>
      <c r="AJ408" s="27" t="inlineStr">
        <is>
          <t>QUARANTINED</t>
        </is>
      </c>
      <c r="AK408" s="29" t="inlineStr">
        <is>
          <t>0000721-61.2024.8.17.2620</t>
        </is>
      </c>
      <c r="AL408" s="29" t="inlineStr">
        <is>
          <t>TJPE</t>
        </is>
      </c>
      <c r="AM408" s="29" t="inlineStr">
        <is>
          <t>ACTIVE</t>
        </is>
      </c>
      <c r="AN408" s="29" t="n">
        <v>2024</v>
      </c>
      <c r="AO408" s="29" t="inlineStr">
        <is>
          <t>live case, no plan document yet</t>
        </is>
      </c>
      <c r="AP408" s="29" t="inlineStr"/>
      <c r="AQ408" s="29" t="inlineStr"/>
      <c r="AR408" s="29" t="inlineStr"/>
      <c r="AS408" s="29" t="inlineStr"/>
      <c r="AT408" s="29" t="inlineStr">
        <is>
          <t>MID-MARKET</t>
        </is>
      </c>
      <c r="AU408" s="29" t="inlineStr">
        <is>
          <t>07906625</t>
        </is>
      </c>
      <c r="AV408" s="29" t="n">
        <v>1</v>
      </c>
      <c r="AW408" s="29" t="inlineStr">
        <is>
          <t>LIKELY_FINANCIAL_BY_NAME PARTIAL_DOC_CLASS_III_RECONCILED ROWS:p2r38</t>
        </is>
      </c>
    </row>
    <row r="409">
      <c r="A409" s="15" t="inlineStr">
        <is>
          <t>C.H.F. ONE PARTICIPACOES LTDA</t>
        </is>
      </c>
      <c r="B409" s="16" t="n">
        <v>327670.06</v>
      </c>
      <c r="C409" s="17" t="inlineStr">
        <is>
          <t>BIGOLIN MATERIAIS DE CONSTRUCAO LTDA</t>
        </is>
      </c>
      <c r="D409" s="18" t="inlineStr">
        <is>
          <t>NEW</t>
        </is>
      </c>
      <c r="E409" s="19" t="inlineStr"/>
      <c r="F409" s="18" t="inlineStr"/>
      <c r="G409" s="19" t="inlineStr"/>
      <c r="H409" s="18" t="inlineStr"/>
      <c r="I409" s="20" t="inlineStr">
        <is>
          <t>ALBERTO ENOUT DE ASSUNCAO</t>
        </is>
      </c>
      <c r="J409" s="20" t="inlineStr">
        <is>
          <t>Administrador</t>
        </is>
      </c>
      <c r="K409" s="20" t="inlineStr">
        <is>
          <t>(11) 2087-6740</t>
        </is>
      </c>
      <c r="L409" s="20" t="inlineStr"/>
      <c r="M409" s="20" t="inlineStr"/>
      <c r="N409" s="20" t="inlineStr"/>
      <c r="O409" s="20" t="inlineStr"/>
      <c r="P409" s="20" t="inlineStr">
        <is>
          <t>PAULO JOSE FONTES FRIZZARIM</t>
        </is>
      </c>
      <c r="Q409" s="20" t="inlineStr">
        <is>
          <t>Administrador</t>
        </is>
      </c>
      <c r="R409" s="20" t="inlineStr">
        <is>
          <t>(11) 2087-6740</t>
        </is>
      </c>
      <c r="S409" s="20" t="inlineStr"/>
      <c r="T409" s="21" t="n">
        <v>327670.06</v>
      </c>
      <c r="U409" s="22" t="inlineStr">
        <is>
          <t>B</t>
        </is>
      </c>
      <c r="V409" s="23">
        <f>IFERROR(VLOOKUP(U409,Assumptions!$A$7:$D$11,2,FALSE),0)</f>
        <v/>
      </c>
      <c r="W409" s="24">
        <f>MAX(0.5,IFERROR(VLOOKUP(U409,Assumptions!$A$7:$D$11,3,FALSE),3)+IFERROR(VLOOKUP(U409,Assumptions!$A$7:$D$11,4,FALSE),8)/2-IF(AN409="",0,YEAR(TODAY())-AN409))</f>
        <v/>
      </c>
      <c r="X409" s="21">
        <f>T409*V409/(1+Assumptions!$B$3)^W409</f>
        <v/>
      </c>
      <c r="Y409" s="25">
        <f>IF(T409=0,"",ROUND(X409/T409*100,1))</f>
        <v/>
      </c>
      <c r="Z409" s="26">
        <f>X409*Assumptions!$B$4</f>
        <v/>
      </c>
      <c r="AA409" s="25">
        <f>IF(T409=0,"",ROUND(Z409/T409*100,1))</f>
        <v/>
      </c>
      <c r="AB409" s="26">
        <f>X409-Z409</f>
        <v/>
      </c>
      <c r="AC409" s="25">
        <f>IF(T409=0,"",ROUND((X409-Z409)/T409*100,1))</f>
        <v/>
      </c>
      <c r="AD409" s="27" t="inlineStr">
        <is>
          <t>ESTIMATED</t>
        </is>
      </c>
      <c r="AE409" s="28" t="inlineStr">
        <is>
          <t>https://ativosajce.com.br/admin/download.php?file=files/processo_documento/processo_documento16022716122025_1_.pdf&amp;nome=Relação de credores - art. 52, §1º da Lei 11.101/05 - 15/12/2025</t>
        </is>
      </c>
      <c r="AF409" s="27" t="inlineStr">
        <is>
          <t>p2 r45</t>
        </is>
      </c>
      <c r="AG409" s="27" t="inlineStr">
        <is>
          <t>p2: R$ 327.670,06</t>
        </is>
      </c>
      <c r="AH409" s="27" t="inlineStr">
        <is>
          <t>UNKNOWN</t>
        </is>
      </c>
      <c r="AI409" s="27" t="inlineStr"/>
      <c r="AJ409" s="27" t="inlineStr">
        <is>
          <t>OK_NO_TOTALS</t>
        </is>
      </c>
      <c r="AK409" s="29" t="inlineStr">
        <is>
          <t>4054599-35.2025.8.26.0100</t>
        </is>
      </c>
      <c r="AL409" s="29" t="inlineStr">
        <is>
          <t>TJSP</t>
        </is>
      </c>
      <c r="AM409" s="29" t="inlineStr">
        <is>
          <t>ACTIVE</t>
        </is>
      </c>
      <c r="AN409" s="29" t="n">
        <v>2025</v>
      </c>
      <c r="AO409" s="29" t="inlineStr">
        <is>
          <t>live case, no plan document yet</t>
        </is>
      </c>
      <c r="AP409" s="29" t="inlineStr">
        <is>
          <t>SAO PAULO</t>
        </is>
      </c>
      <c r="AQ409" s="29" t="inlineStr">
        <is>
          <t>SP</t>
        </is>
      </c>
      <c r="AR409" s="29" t="inlineStr">
        <is>
          <t>Holdings de instituições não-financeiras</t>
        </is>
      </c>
      <c r="AS409" s="29" t="inlineStr">
        <is>
          <t>DEMAIS</t>
        </is>
      </c>
      <c r="AT409" s="29" t="inlineStr">
        <is>
          <t>MID-MARKET</t>
        </is>
      </c>
      <c r="AU409" s="29" t="inlineStr">
        <is>
          <t>12222798</t>
        </is>
      </c>
      <c r="AV409" s="29" t="n">
        <v>1</v>
      </c>
      <c r="AW409" s="29" t="inlineStr">
        <is>
          <t>ROWS:p2r45 UNRECONCILED_SOURCE VALUE_COL:Valor</t>
        </is>
      </c>
    </row>
    <row r="410">
      <c r="A410" s="15" t="inlineStr">
        <is>
          <t>BANCO VOTORANTIM S.A.</t>
        </is>
      </c>
      <c r="B410" s="16" t="n">
        <v>415020.29</v>
      </c>
      <c r="C410" s="17" t="inlineStr">
        <is>
          <t>FORMAPLAN FORMAS PLANEJADAS INDUSTRIA E COMERCIO LTDA EM RECUPERACAO JUDICIAL</t>
        </is>
      </c>
      <c r="D410" s="18" t="inlineStr">
        <is>
          <t>NEW</t>
        </is>
      </c>
      <c r="E410" s="19" t="inlineStr"/>
      <c r="F410" s="18" t="inlineStr"/>
      <c r="G410" s="19" t="inlineStr"/>
      <c r="H410" s="18" t="inlineStr"/>
      <c r="I410" s="20" t="inlineStr">
        <is>
          <t>GUSTAVO HENRIQUE SANTOS DE SOUSA</t>
        </is>
      </c>
      <c r="J410" s="20" t="inlineStr">
        <is>
          <t>Presidente</t>
        </is>
      </c>
      <c r="K410" s="20" t="inlineStr">
        <is>
          <t>(11) 5171-2672</t>
        </is>
      </c>
      <c r="L410" s="20" t="inlineStr">
        <is>
          <t>(11) 5171-2488</t>
        </is>
      </c>
      <c r="M410" s="20" t="inlineStr"/>
      <c r="N410" s="20" t="inlineStr"/>
      <c r="O410" s="20" t="inlineStr"/>
      <c r="P410" s="20" t="inlineStr">
        <is>
          <t>ALBERTO WAGNER TEIXEIRA CAMPOS</t>
        </is>
      </c>
      <c r="Q410" s="20" t="inlineStr">
        <is>
          <t>Diretor</t>
        </is>
      </c>
      <c r="R410" s="20" t="inlineStr">
        <is>
          <t>(11) 5171-2488</t>
        </is>
      </c>
      <c r="S410" s="20" t="inlineStr"/>
      <c r="T410" s="21" t="n">
        <v>415020.29</v>
      </c>
      <c r="U410" s="31" t="inlineStr">
        <is>
          <t>C</t>
        </is>
      </c>
      <c r="V410" s="23">
        <f>IFERROR(VLOOKUP(U410,Assumptions!$A$7:$D$11,2,FALSE),0)</f>
        <v/>
      </c>
      <c r="W410" s="24">
        <f>MAX(0.5,IFERROR(VLOOKUP(U410,Assumptions!$A$7:$D$11,3,FALSE),3)+IFERROR(VLOOKUP(U410,Assumptions!$A$7:$D$11,4,FALSE),8)/2-IF(AN410="",0,YEAR(TODAY())-AN410))</f>
        <v/>
      </c>
      <c r="X410" s="21">
        <f>T410*V410/(1+Assumptions!$B$3)^W410</f>
        <v/>
      </c>
      <c r="Y410" s="25">
        <f>IF(T410=0,"",ROUND(X410/T410*100,1))</f>
        <v/>
      </c>
      <c r="Z410" s="26">
        <f>X410*Assumptions!$B$4</f>
        <v/>
      </c>
      <c r="AA410" s="25">
        <f>IF(T410=0,"",ROUND(Z410/T410*100,1))</f>
        <v/>
      </c>
      <c r="AB410" s="26">
        <f>X410-Z410</f>
        <v/>
      </c>
      <c r="AC410" s="25">
        <f>IF(T410=0,"",ROUND((X410-Z410)/T410*100,1))</f>
        <v/>
      </c>
      <c r="AD410" s="27" t="inlineStr">
        <is>
          <t>ESTIMATED</t>
        </is>
      </c>
      <c r="AE410" s="28" t="inlineStr">
        <is>
          <t>https://marquesadmjudicial.com.br/sgc/download.php?file=files/processo_documento/processo_documento15232121112024_1_.pdf&amp;nome=Relação de Credores</t>
        </is>
      </c>
      <c r="AF410" s="27" t="inlineStr">
        <is>
          <t>p13 r10</t>
        </is>
      </c>
      <c r="AG410" s="27" t="inlineStr">
        <is>
          <t>p13: R$ 415.020,29</t>
        </is>
      </c>
      <c r="AH410" s="27" t="inlineStr">
        <is>
          <t>AJ_LIST</t>
        </is>
      </c>
      <c r="AI410" s="27" t="inlineStr">
        <is>
          <t>2021-01-22</t>
        </is>
      </c>
      <c r="AJ410" s="27" t="inlineStr">
        <is>
          <t>QUARANTINED</t>
        </is>
      </c>
      <c r="AK410" s="29" t="inlineStr">
        <is>
          <t>0000410-68.2021.8.16.0174</t>
        </is>
      </c>
      <c r="AL410" s="29" t="inlineStr">
        <is>
          <t>TJPR</t>
        </is>
      </c>
      <c r="AM410" s="29" t="inlineStr">
        <is>
          <t>ACTIVE</t>
        </is>
      </c>
      <c r="AN410" s="29" t="n">
        <v>2021</v>
      </c>
      <c r="AO410" s="29" t="inlineStr">
        <is>
          <t>5y since filing, no plan document</t>
        </is>
      </c>
      <c r="AP410" s="29" t="inlineStr">
        <is>
          <t>SAO PAULO</t>
        </is>
      </c>
      <c r="AQ410" s="29" t="inlineStr">
        <is>
          <t>SP</t>
        </is>
      </c>
      <c r="AR410" s="29" t="inlineStr">
        <is>
          <t>Bancos múltiplos, com carteira comercial</t>
        </is>
      </c>
      <c r="AS410" s="29" t="inlineStr">
        <is>
          <t>DEMAIS</t>
        </is>
      </c>
      <c r="AT410" s="29" t="inlineStr">
        <is>
          <t>LARGE CORP</t>
        </is>
      </c>
      <c r="AU410" s="29" t="inlineStr">
        <is>
          <t>59588111</t>
        </is>
      </c>
      <c r="AV410" s="29" t="n">
        <v>1</v>
      </c>
      <c r="AW410" s="29" t="inlineStr">
        <is>
          <t>LIKELY_FINANCIAL_BY_NAME PARTIAL_DOC_CLASS_III_RECONCILED ROWS:p13r10</t>
        </is>
      </c>
    </row>
    <row r="411">
      <c r="A411" s="15" t="inlineStr">
        <is>
          <t>CAIXA ECONOMICA FEDERAL</t>
        </is>
      </c>
      <c r="B411" s="16" t="n">
        <v>322411.47</v>
      </c>
      <c r="C411" s="17" t="inlineStr">
        <is>
          <t>KADIMA EMPREENDIMENTOS E PARTICIPACOES EM RECUPERACAO JUDICIAL</t>
        </is>
      </c>
      <c r="D411" s="18" t="inlineStr">
        <is>
          <t>NEW</t>
        </is>
      </c>
      <c r="E411" s="19" t="inlineStr"/>
      <c r="F411" s="18" t="inlineStr"/>
      <c r="G411" s="19" t="inlineStr"/>
      <c r="H411" s="18" t="inlineStr"/>
      <c r="I411" s="20" t="inlineStr">
        <is>
          <t>ADRIANO ASSIS MATIAS</t>
        </is>
      </c>
      <c r="J411" s="20" t="inlineStr">
        <is>
          <t>Administrador</t>
        </is>
      </c>
      <c r="K411" s="20" t="inlineStr">
        <is>
          <t>(00) 4004-0104</t>
        </is>
      </c>
      <c r="L411" s="20" t="inlineStr"/>
      <c r="M411" s="20" t="inlineStr"/>
      <c r="N411" s="20" t="inlineStr"/>
      <c r="O411" s="20" t="inlineStr"/>
      <c r="P411" s="20" t="inlineStr">
        <is>
          <t>HENRIETE ALEXANDRA SARTORI BERNABE</t>
        </is>
      </c>
      <c r="Q411" s="20" t="inlineStr">
        <is>
          <t>Administrador</t>
        </is>
      </c>
      <c r="R411" s="20" t="inlineStr">
        <is>
          <t>(00) 4004-0104</t>
        </is>
      </c>
      <c r="S411" s="20" t="inlineStr"/>
      <c r="T411" s="21" t="n">
        <v>322411.47</v>
      </c>
      <c r="U411" s="22" t="inlineStr">
        <is>
          <t>B</t>
        </is>
      </c>
      <c r="V411" s="23">
        <f>IFERROR(VLOOKUP(U411,Assumptions!$A$7:$D$11,2,FALSE),0)</f>
        <v/>
      </c>
      <c r="W411" s="24">
        <f>MAX(0.5,IFERROR(VLOOKUP(U411,Assumptions!$A$7:$D$11,3,FALSE),3)+IFERROR(VLOOKUP(U411,Assumptions!$A$7:$D$11,4,FALSE),8)/2-IF(AN411="",0,YEAR(TODAY())-AN411))</f>
        <v/>
      </c>
      <c r="X411" s="21">
        <f>T411*V411/(1+Assumptions!$B$3)^W411</f>
        <v/>
      </c>
      <c r="Y411" s="25">
        <f>IF(T411=0,"",ROUND(X411/T411*100,1))</f>
        <v/>
      </c>
      <c r="Z411" s="26">
        <f>X411*Assumptions!$B$4</f>
        <v/>
      </c>
      <c r="AA411" s="25">
        <f>IF(T411=0,"",ROUND(Z411/T411*100,1))</f>
        <v/>
      </c>
      <c r="AB411" s="26">
        <f>X411-Z411</f>
        <v/>
      </c>
      <c r="AC411" s="25">
        <f>IF(T411=0,"",ROUND((X411-Z411)/T411*100,1))</f>
        <v/>
      </c>
      <c r="AD411" s="27" t="inlineStr">
        <is>
          <t>ESTIMATED</t>
        </is>
      </c>
      <c r="AE411" s="28" t="inlineStr">
        <is>
          <t>https://marquesadmjudicial.com.br/sgc/download.php?file=files/processo_documento/processo_documento19270817122025_1_.pdf&amp;nome=Relação Nominal de Credores AJ</t>
        </is>
      </c>
      <c r="AF411" s="27" t="inlineStr">
        <is>
          <t>p4 r5</t>
        </is>
      </c>
      <c r="AG411" s="27" t="inlineStr">
        <is>
          <t>p4: R$ 322.411,47</t>
        </is>
      </c>
      <c r="AH411" s="27" t="inlineStr">
        <is>
          <t>AJ_LIST</t>
        </is>
      </c>
      <c r="AI411" s="27" t="inlineStr">
        <is>
          <t>2025-12-17</t>
        </is>
      </c>
      <c r="AJ411" s="27" t="inlineStr">
        <is>
          <t>OK</t>
        </is>
      </c>
      <c r="AK411" s="29" t="inlineStr">
        <is>
          <t>0016033-22.2025.8.16.0017</t>
        </is>
      </c>
      <c r="AL411" s="29" t="inlineStr">
        <is>
          <t>TJPR</t>
        </is>
      </c>
      <c r="AM411" s="29" t="inlineStr">
        <is>
          <t>ACTIVE</t>
        </is>
      </c>
      <c r="AN411" s="29" t="n">
        <v>2025</v>
      </c>
      <c r="AO411" s="29" t="inlineStr">
        <is>
          <t>live case, no plan document yet</t>
        </is>
      </c>
      <c r="AP411" s="29" t="inlineStr">
        <is>
          <t>BRASILIA</t>
        </is>
      </c>
      <c r="AQ411" s="29" t="inlineStr">
        <is>
          <t>DF</t>
        </is>
      </c>
      <c r="AR411" s="29" t="inlineStr">
        <is>
          <t>Caixas econômicas</t>
        </is>
      </c>
      <c r="AS411" s="29" t="inlineStr">
        <is>
          <t>DEMAIS</t>
        </is>
      </c>
      <c r="AT411" s="29" t="inlineStr">
        <is>
          <t>LARGE CORP</t>
        </is>
      </c>
      <c r="AU411" s="29" t="inlineStr">
        <is>
          <t>00360305</t>
        </is>
      </c>
      <c r="AV411" s="29" t="n">
        <v>1</v>
      </c>
      <c r="AW411" s="29" t="inlineStr">
        <is>
          <t>LIKELY_FINANCIAL_BY_NAME ROWS:p4r5</t>
        </is>
      </c>
    </row>
    <row r="412">
      <c r="A412" s="15" t="inlineStr">
        <is>
          <t>AVLA SEGUROS BRASIL S.A.</t>
        </is>
      </c>
      <c r="B412" s="16" t="n">
        <v>321452.22</v>
      </c>
      <c r="C412" s="17" t="inlineStr"/>
      <c r="D412" s="18" t="inlineStr">
        <is>
          <t>NEW</t>
        </is>
      </c>
      <c r="E412" s="19" t="inlineStr"/>
      <c r="F412" s="18" t="inlineStr"/>
      <c r="G412" s="19" t="inlineStr"/>
      <c r="H412" s="18" t="inlineStr"/>
      <c r="I412" s="20" t="inlineStr">
        <is>
          <t>FELIPPE KAC ASTRACHAN</t>
        </is>
      </c>
      <c r="J412" s="20" t="inlineStr">
        <is>
          <t>Presidente</t>
        </is>
      </c>
      <c r="K412" s="20" t="inlineStr">
        <is>
          <t>(11) 2829-7676</t>
        </is>
      </c>
      <c r="L412" s="20" t="inlineStr"/>
      <c r="M412" s="20" t="inlineStr"/>
      <c r="N412" s="20" t="inlineStr"/>
      <c r="O412" s="20" t="inlineStr"/>
      <c r="P412" s="20" t="inlineStr">
        <is>
          <t>ANDRE LUIZ BERTOLINO</t>
        </is>
      </c>
      <c r="Q412" s="20" t="inlineStr">
        <is>
          <t>Diretor</t>
        </is>
      </c>
      <c r="R412" s="20" t="inlineStr">
        <is>
          <t>(11) 2829-7676</t>
        </is>
      </c>
      <c r="S412" s="20" t="inlineStr"/>
      <c r="T412" s="21" t="n">
        <v>321452.22</v>
      </c>
      <c r="U412" s="22" t="inlineStr">
        <is>
          <t>B</t>
        </is>
      </c>
      <c r="V412" s="23">
        <f>IFERROR(VLOOKUP(U412,Assumptions!$A$7:$D$11,2,FALSE),0)</f>
        <v/>
      </c>
      <c r="W412" s="24">
        <f>MAX(0.5,IFERROR(VLOOKUP(U412,Assumptions!$A$7:$D$11,3,FALSE),3)+IFERROR(VLOOKUP(U412,Assumptions!$A$7:$D$11,4,FALSE),8)/2-IF(AN412="",0,YEAR(TODAY())-AN412))</f>
        <v/>
      </c>
      <c r="X412" s="21">
        <f>T412*V412/(1+Assumptions!$B$3)^W412</f>
        <v/>
      </c>
      <c r="Y412" s="25">
        <f>IF(T412=0,"",ROUND(X412/T412*100,1))</f>
        <v/>
      </c>
      <c r="Z412" s="26">
        <f>X412*Assumptions!$B$4</f>
        <v/>
      </c>
      <c r="AA412" s="25">
        <f>IF(T412=0,"",ROUND(Z412/T412*100,1))</f>
        <v/>
      </c>
      <c r="AB412" s="26">
        <f>X412-Z412</f>
        <v/>
      </c>
      <c r="AC412" s="25">
        <f>IF(T412=0,"",ROUND((X412-Z412)/T412*100,1))</f>
        <v/>
      </c>
      <c r="AD412" s="27" t="inlineStr">
        <is>
          <t>UNKNOWN</t>
        </is>
      </c>
      <c r="AE412" s="28" t="inlineStr">
        <is>
          <t>https://credibilita.com.br/wp-content/uploads/2025/09/Relacao-Credores-29.04.2026.pdf</t>
        </is>
      </c>
      <c r="AF412" s="27" t="inlineStr">
        <is>
          <t>p1 r2</t>
        </is>
      </c>
      <c r="AG412" s="27" t="inlineStr">
        <is>
          <t>p1: R$ 321.452,22</t>
        </is>
      </c>
      <c r="AH412" s="27" t="inlineStr">
        <is>
          <t>UNKNOWN</t>
        </is>
      </c>
      <c r="AI412" s="27" t="inlineStr"/>
      <c r="AJ412" s="27" t="inlineStr">
        <is>
          <t>OK_NO_TOTALS</t>
        </is>
      </c>
      <c r="AK412" s="29" t="inlineStr">
        <is>
          <t>5057720-48.2025.8.24.0023</t>
        </is>
      </c>
      <c r="AL412" s="29" t="inlineStr">
        <is>
          <t>TJ</t>
        </is>
      </c>
      <c r="AM412" s="29" t="inlineStr"/>
      <c r="AN412" s="29" t="n">
        <v>2025</v>
      </c>
      <c r="AO412" s="29" t="inlineStr">
        <is>
          <t>live case, no plan document yet</t>
        </is>
      </c>
      <c r="AP412" s="29" t="inlineStr">
        <is>
          <t>SAO PAULO</t>
        </is>
      </c>
      <c r="AQ412" s="29" t="inlineStr">
        <is>
          <t>SP</t>
        </is>
      </c>
      <c r="AR412" s="29" t="inlineStr">
        <is>
          <t>Sociedade seguradora de seguros não vida</t>
        </is>
      </c>
      <c r="AS412" s="29" t="inlineStr">
        <is>
          <t>DEMAIS</t>
        </is>
      </c>
      <c r="AT412" s="29" t="inlineStr">
        <is>
          <t>LARGE CORP</t>
        </is>
      </c>
      <c r="AU412" s="29" t="inlineStr">
        <is>
          <t>41182665</t>
        </is>
      </c>
      <c r="AV412" s="29" t="n">
        <v>1</v>
      </c>
      <c r="AW412" s="29" t="inlineStr">
        <is>
          <t>ROWS:p1r2 UNRECONCILED_SOURCE VALUE_COL:Valor_Após_Analise</t>
        </is>
      </c>
    </row>
    <row r="413">
      <c r="A413" s="15" t="inlineStr">
        <is>
          <t>ITAU UNIBANCO S.A.</t>
        </is>
      </c>
      <c r="B413" s="16" t="n">
        <v>203711.34</v>
      </c>
      <c r="C413" s="17" t="inlineStr">
        <is>
          <t>civilmente LTDA</t>
        </is>
      </c>
      <c r="D413" s="18" t="inlineStr">
        <is>
          <t>NEW</t>
        </is>
      </c>
      <c r="E413" s="19" t="inlineStr"/>
      <c r="F413" s="18" t="inlineStr"/>
      <c r="G413" s="19" t="inlineStr"/>
      <c r="H413" s="18" t="inlineStr"/>
      <c r="I413" s="20" t="inlineStr">
        <is>
          <t>FELIPE SAMPAIO NABUCO</t>
        </is>
      </c>
      <c r="J413" s="20" t="inlineStr">
        <is>
          <t>Administrador</t>
        </is>
      </c>
      <c r="K413" s="20" t="inlineStr">
        <is>
          <t>(11) 3003-4828</t>
        </is>
      </c>
      <c r="L413" s="20" t="inlineStr"/>
      <c r="M413" s="20" t="inlineStr"/>
      <c r="N413" s="20" t="inlineStr"/>
      <c r="O413" s="20" t="inlineStr"/>
      <c r="P413" s="20" t="inlineStr">
        <is>
          <t>MILTON MALUHY FILHO</t>
        </is>
      </c>
      <c r="Q413" s="20" t="inlineStr">
        <is>
          <t>Presidente</t>
        </is>
      </c>
      <c r="R413" s="20" t="inlineStr">
        <is>
          <t>(11) 3003-4828</t>
        </is>
      </c>
      <c r="S413" s="20" t="inlineStr"/>
      <c r="T413" s="21" t="n">
        <v>203711.34</v>
      </c>
      <c r="U413" s="22" t="inlineStr">
        <is>
          <t>B</t>
        </is>
      </c>
      <c r="V413" s="23">
        <f>IFERROR(VLOOKUP(U413,Assumptions!$A$7:$D$11,2,FALSE),0)</f>
        <v/>
      </c>
      <c r="W413" s="24">
        <f>MAX(0.5,IFERROR(VLOOKUP(U413,Assumptions!$A$7:$D$11,3,FALSE),3)+IFERROR(VLOOKUP(U413,Assumptions!$A$7:$D$11,4,FALSE),8)/2-IF(AN413="",0,YEAR(TODAY())-AN413))</f>
        <v/>
      </c>
      <c r="X413" s="21">
        <f>T413*V413/(1+Assumptions!$B$3)^W413</f>
        <v/>
      </c>
      <c r="Y413" s="25">
        <f>IF(T413=0,"",ROUND(X413/T413*100,1))</f>
        <v/>
      </c>
      <c r="Z413" s="26">
        <f>X413*Assumptions!$B$4</f>
        <v/>
      </c>
      <c r="AA413" s="25">
        <f>IF(T413=0,"",ROUND(Z413/T413*100,1))</f>
        <v/>
      </c>
      <c r="AB413" s="26">
        <f>X413-Z413</f>
        <v/>
      </c>
      <c r="AC413" s="25">
        <f>IF(T413=0,"",ROUND((X413-Z413)/T413*100,1))</f>
        <v/>
      </c>
      <c r="AD413" s="27" t="inlineStr">
        <is>
          <t>ESTIMATED</t>
        </is>
      </c>
      <c r="AE413" s="28" t="inlineStr">
        <is>
          <t>http://recuperacaojudicial.squarespace.com/s/LISTA-DE-CREDORES-CONSOLIDADA-ATE-04102024.pdf</t>
        </is>
      </c>
      <c r="AF413" s="27" t="inlineStr">
        <is>
          <t>p6 r13</t>
        </is>
      </c>
      <c r="AG413" s="27" t="inlineStr">
        <is>
          <t>p6: R$ 203.711,34</t>
        </is>
      </c>
      <c r="AH413" s="27" t="inlineStr">
        <is>
          <t>AJ_LIST</t>
        </is>
      </c>
      <c r="AI413" s="27" t="inlineStr">
        <is>
          <t>2024-10-04</t>
        </is>
      </c>
      <c r="AJ413" s="27" t="inlineStr">
        <is>
          <t>OK</t>
        </is>
      </c>
      <c r="AK413" s="29" t="inlineStr">
        <is>
          <t>0800778-16.2023.8.20.5104</t>
        </is>
      </c>
      <c r="AL413" s="29" t="inlineStr">
        <is>
          <t>TJRN</t>
        </is>
      </c>
      <c r="AM413" s="29" t="inlineStr">
        <is>
          <t>ACTIVE</t>
        </is>
      </c>
      <c r="AN413" s="29" t="n">
        <v>2023</v>
      </c>
      <c r="AO413" s="29" t="inlineStr">
        <is>
          <t>live case, no plan document yet</t>
        </is>
      </c>
      <c r="AP413" s="29" t="inlineStr">
        <is>
          <t>SAO PAULO</t>
        </is>
      </c>
      <c r="AQ413" s="29" t="inlineStr">
        <is>
          <t>SP</t>
        </is>
      </c>
      <c r="AR413" s="29" t="inlineStr">
        <is>
          <t>Bancos comerciais</t>
        </is>
      </c>
      <c r="AS413" s="29" t="inlineStr">
        <is>
          <t>DEMAIS</t>
        </is>
      </c>
      <c r="AT413" s="29" t="inlineStr">
        <is>
          <t>LARGE CORP</t>
        </is>
      </c>
      <c r="AU413" s="29" t="inlineStr">
        <is>
          <t>60701190</t>
        </is>
      </c>
      <c r="AV413" s="29" t="n">
        <v>1</v>
      </c>
      <c r="AW413" s="29" t="inlineStr">
        <is>
          <t>LIKELY_FINANCIAL_BY_NAME ROWS:p6r13 VALUE_COL:Valor_Do_Crédito</t>
        </is>
      </c>
    </row>
    <row r="414">
      <c r="A414" s="15" t="inlineStr">
        <is>
          <t>MATRIZ FUNDO DE INVESTIMENTO EM DIREITOS CREDITORIOS</t>
        </is>
      </c>
      <c r="B414" s="16" t="n">
        <v>201560.62</v>
      </c>
      <c r="C414" s="17" t="inlineStr">
        <is>
          <t>BBR AGRO SUPLEMENTOS LTDA EM RECUPERACAO JUDICIAL</t>
        </is>
      </c>
      <c r="D414" s="18" t="inlineStr">
        <is>
          <t>NEW</t>
        </is>
      </c>
      <c r="E414" s="19" t="inlineStr"/>
      <c r="F414" s="18" t="inlineStr"/>
      <c r="G414" s="19" t="inlineStr"/>
      <c r="H414" s="18" t="inlineStr"/>
      <c r="I414" s="20" t="inlineStr"/>
      <c r="J414" s="20" t="inlineStr"/>
      <c r="K414" s="20" t="inlineStr"/>
      <c r="L414" s="20" t="inlineStr"/>
      <c r="M414" s="20" t="inlineStr"/>
      <c r="N414" s="20" t="inlineStr"/>
      <c r="O414" s="20" t="inlineStr"/>
      <c r="P414" s="20" t="inlineStr"/>
      <c r="Q414" s="20" t="inlineStr"/>
      <c r="R414" s="20" t="inlineStr"/>
      <c r="S414" s="20" t="inlineStr"/>
      <c r="T414" s="21" t="n">
        <v>201560.62</v>
      </c>
      <c r="U414" s="22" t="inlineStr">
        <is>
          <t>B</t>
        </is>
      </c>
      <c r="V414" s="23">
        <f>IFERROR(VLOOKUP(U414,Assumptions!$A$7:$D$11,2,FALSE),0)</f>
        <v/>
      </c>
      <c r="W414" s="24">
        <f>MAX(0.5,IFERROR(VLOOKUP(U414,Assumptions!$A$7:$D$11,3,FALSE),3)+IFERROR(VLOOKUP(U414,Assumptions!$A$7:$D$11,4,FALSE),8)/2-IF(AN414="",0,YEAR(TODAY())-AN414))</f>
        <v/>
      </c>
      <c r="X414" s="21">
        <f>T414*V414/(1+Assumptions!$B$3)^W414</f>
        <v/>
      </c>
      <c r="Y414" s="25">
        <f>IF(T414=0,"",ROUND(X414/T414*100,1))</f>
        <v/>
      </c>
      <c r="Z414" s="26">
        <f>X414*Assumptions!$B$4</f>
        <v/>
      </c>
      <c r="AA414" s="25">
        <f>IF(T414=0,"",ROUND(Z414/T414*100,1))</f>
        <v/>
      </c>
      <c r="AB414" s="26">
        <f>X414-Z414</f>
        <v/>
      </c>
      <c r="AC414" s="25">
        <f>IF(T414=0,"",ROUND((X414-Z414)/T414*100,1))</f>
        <v/>
      </c>
      <c r="AD414" s="27" t="inlineStr">
        <is>
          <t>ESTIMATED</t>
        </is>
      </c>
      <c r="AE414" s="28" t="inlineStr">
        <is>
          <t>https://ajruiz.com.br/sites/default/files/public/arquivos-processos/2026-06/alto_uruguai_qgc_junho.2026.pdf</t>
        </is>
      </c>
      <c r="AF414" s="27" t="inlineStr">
        <is>
          <t>p1 r27</t>
        </is>
      </c>
      <c r="AG414" s="27" t="inlineStr">
        <is>
          <t>p1: R$ 201.560,62</t>
        </is>
      </c>
      <c r="AH414" s="27" t="inlineStr">
        <is>
          <t>UNKNOWN</t>
        </is>
      </c>
      <c r="AI414" s="27" t="inlineStr"/>
      <c r="AJ414" s="27" t="inlineStr">
        <is>
          <t>OK</t>
        </is>
      </c>
      <c r="AK414" s="29" t="inlineStr">
        <is>
          <t>5012743-51.2023.8.24.0019</t>
        </is>
      </c>
      <c r="AL414" s="29" t="inlineStr">
        <is>
          <t>TJSC</t>
        </is>
      </c>
      <c r="AM414" s="29" t="inlineStr">
        <is>
          <t>ACTIVE</t>
        </is>
      </c>
      <c r="AN414" s="29" t="n">
        <v>2023</v>
      </c>
      <c r="AO414" s="29" t="inlineStr">
        <is>
          <t>live case, no plan document yet</t>
        </is>
      </c>
      <c r="AP414" s="29" t="inlineStr"/>
      <c r="AQ414" s="29" t="inlineStr"/>
      <c r="AR414" s="29" t="inlineStr"/>
      <c r="AS414" s="29" t="inlineStr"/>
      <c r="AT414" s="29" t="inlineStr">
        <is>
          <t>MID-MARKET</t>
        </is>
      </c>
      <c r="AU414" s="29" t="inlineStr">
        <is>
          <t>32202903</t>
        </is>
      </c>
      <c r="AV414" s="29" t="n">
        <v>1</v>
      </c>
      <c r="AW414" s="29" t="inlineStr">
        <is>
          <t>LIKELY_FINANCIAL_BY_NAME ROWS:p1r27 VALUE_COL:Valor_Do_Crédito</t>
        </is>
      </c>
    </row>
    <row r="415">
      <c r="A415" s="15" t="inlineStr">
        <is>
          <t>JPF FOMENTO MERCANTIL LTDA</t>
        </is>
      </c>
      <c r="B415" s="16" t="n">
        <v>250000</v>
      </c>
      <c r="C415" s="17" t="inlineStr">
        <is>
          <t>DIVINA INDUSTRIA DE COURO LTDA - EM RECUPERACAO JUDICIAL</t>
        </is>
      </c>
      <c r="D415" s="18" t="inlineStr">
        <is>
          <t>NEW</t>
        </is>
      </c>
      <c r="E415" s="19" t="inlineStr"/>
      <c r="F415" s="18" t="inlineStr"/>
      <c r="G415" s="19" t="inlineStr"/>
      <c r="H415" s="18" t="inlineStr"/>
      <c r="I415" s="20" t="inlineStr"/>
      <c r="J415" s="20" t="inlineStr"/>
      <c r="K415" s="20" t="inlineStr"/>
      <c r="L415" s="20" t="inlineStr"/>
      <c r="M415" s="20" t="inlineStr"/>
      <c r="N415" s="20" t="inlineStr"/>
      <c r="O415" s="20" t="inlineStr"/>
      <c r="P415" s="20" t="inlineStr"/>
      <c r="Q415" s="20" t="inlineStr"/>
      <c r="R415" s="20" t="inlineStr"/>
      <c r="S415" s="20" t="inlineStr"/>
      <c r="T415" s="21" t="n">
        <v>250000</v>
      </c>
      <c r="U415" s="22" t="inlineStr">
        <is>
          <t>B</t>
        </is>
      </c>
      <c r="V415" s="23">
        <f>IFERROR(VLOOKUP(U415,Assumptions!$A$7:$D$11,2,FALSE),0)</f>
        <v/>
      </c>
      <c r="W415" s="24">
        <f>MAX(0.5,IFERROR(VLOOKUP(U415,Assumptions!$A$7:$D$11,3,FALSE),3)+IFERROR(VLOOKUP(U415,Assumptions!$A$7:$D$11,4,FALSE),8)/2-IF(AN415="",0,YEAR(TODAY())-AN415))</f>
        <v/>
      </c>
      <c r="X415" s="21">
        <f>T415*V415/(1+Assumptions!$B$3)^W415</f>
        <v/>
      </c>
      <c r="Y415" s="25">
        <f>IF(T415=0,"",ROUND(X415/T415*100,1))</f>
        <v/>
      </c>
      <c r="Z415" s="26">
        <f>X415*Assumptions!$B$4</f>
        <v/>
      </c>
      <c r="AA415" s="25">
        <f>IF(T415=0,"",ROUND(Z415/T415*100,1))</f>
        <v/>
      </c>
      <c r="AB415" s="26">
        <f>X415-Z415</f>
        <v/>
      </c>
      <c r="AC415" s="25">
        <f>IF(T415=0,"",ROUND((X415-Z415)/T415*100,1))</f>
        <v/>
      </c>
      <c r="AD415" s="27" t="inlineStr">
        <is>
          <t>ESTIMATED</t>
        </is>
      </c>
      <c r="AE415" s="28" t="inlineStr">
        <is>
          <t>https://lrflideres.com.br/wp-content/plugins/download-attachments/includes/download.php?id=6252</t>
        </is>
      </c>
      <c r="AF415" s="27" t="inlineStr">
        <is>
          <t>p2 r54</t>
        </is>
      </c>
      <c r="AG415" s="27" t="inlineStr">
        <is>
          <t>p2: R$ 250.000,00</t>
        </is>
      </c>
      <c r="AH415" s="27" t="inlineStr">
        <is>
          <t>AJ_LIST</t>
        </is>
      </c>
      <c r="AI415" s="27" t="inlineStr">
        <is>
          <t>2024-11-27</t>
        </is>
      </c>
      <c r="AJ415" s="27" t="inlineStr">
        <is>
          <t>QUARANTINED</t>
        </is>
      </c>
      <c r="AK415" s="29" t="inlineStr">
        <is>
          <t>0000721-61.2024.8.17.2620</t>
        </is>
      </c>
      <c r="AL415" s="29" t="inlineStr">
        <is>
          <t>TJPE</t>
        </is>
      </c>
      <c r="AM415" s="29" t="inlineStr">
        <is>
          <t>ACTIVE</t>
        </is>
      </c>
      <c r="AN415" s="29" t="n">
        <v>2024</v>
      </c>
      <c r="AO415" s="29" t="inlineStr">
        <is>
          <t>live case, no plan document yet</t>
        </is>
      </c>
      <c r="AP415" s="29" t="inlineStr"/>
      <c r="AQ415" s="29" t="inlineStr"/>
      <c r="AR415" s="29" t="inlineStr"/>
      <c r="AS415" s="29" t="inlineStr"/>
      <c r="AT415" s="29" t="inlineStr">
        <is>
          <t>MID-MARKET</t>
        </is>
      </c>
      <c r="AU415" s="29" t="inlineStr">
        <is>
          <t>16942458</t>
        </is>
      </c>
      <c r="AV415" s="29" t="n">
        <v>1</v>
      </c>
      <c r="AW415" s="29" t="inlineStr">
        <is>
          <t>LIKELY_FINANCIAL_BY_NAME PARTIAL_DOC_CLASS_III_RECONCILED ROWS:p2r54</t>
        </is>
      </c>
    </row>
    <row r="416">
      <c r="A416" s="15" t="inlineStr">
        <is>
          <t>COOPERATIVA DE CREDITO CREDIVALE LTDA - SICOOB CREDIVALE</t>
        </is>
      </c>
      <c r="B416" s="16" t="n">
        <v>245000</v>
      </c>
      <c r="C416" s="17" t="inlineStr">
        <is>
          <t>ATIVOS ADMINISTRAÇÃO JUDICIA</t>
        </is>
      </c>
      <c r="D416" s="18" t="inlineStr">
        <is>
          <t>NEW</t>
        </is>
      </c>
      <c r="E416" s="19" t="inlineStr"/>
      <c r="F416" s="18" t="inlineStr"/>
      <c r="G416" s="19" t="inlineStr"/>
      <c r="H416" s="18" t="inlineStr"/>
      <c r="I416" s="20" t="inlineStr">
        <is>
          <t>FRANCISCO COSTA JUNIOR</t>
        </is>
      </c>
      <c r="J416" s="20" t="inlineStr">
        <is>
          <t>Presidente</t>
        </is>
      </c>
      <c r="K416" s="20" t="inlineStr">
        <is>
          <t>(33) 3529-4800</t>
        </is>
      </c>
      <c r="L416" s="20" t="inlineStr"/>
      <c r="M416" s="20" t="inlineStr"/>
      <c r="N416" s="20" t="inlineStr"/>
      <c r="O416" s="20" t="inlineStr"/>
      <c r="P416" s="20" t="inlineStr">
        <is>
          <t>CELIO SOUZA NEVES</t>
        </is>
      </c>
      <c r="Q416" s="20" t="inlineStr">
        <is>
          <t>Diretor</t>
        </is>
      </c>
      <c r="R416" s="20" t="inlineStr">
        <is>
          <t>(33) 3529-4800</t>
        </is>
      </c>
      <c r="S416" s="20" t="inlineStr"/>
      <c r="T416" s="21" t="n">
        <v>245000</v>
      </c>
      <c r="U416" s="22" t="inlineStr">
        <is>
          <t>B</t>
        </is>
      </c>
      <c r="V416" s="23">
        <f>IFERROR(VLOOKUP(U416,Assumptions!$A$7:$D$11,2,FALSE),0)</f>
        <v/>
      </c>
      <c r="W416" s="24">
        <f>MAX(0.5,IFERROR(VLOOKUP(U416,Assumptions!$A$7:$D$11,3,FALSE),3)+IFERROR(VLOOKUP(U416,Assumptions!$A$7:$D$11,4,FALSE),8)/2-IF(AN416="",0,YEAR(TODAY())-AN416))</f>
        <v/>
      </c>
      <c r="X416" s="21">
        <f>T416*V416/(1+Assumptions!$B$3)^W416</f>
        <v/>
      </c>
      <c r="Y416" s="25">
        <f>IF(T416=0,"",ROUND(X416/T416*100,1))</f>
        <v/>
      </c>
      <c r="Z416" s="26">
        <f>X416*Assumptions!$B$4</f>
        <v/>
      </c>
      <c r="AA416" s="25">
        <f>IF(T416=0,"",ROUND(Z416/T416*100,1))</f>
        <v/>
      </c>
      <c r="AB416" s="26">
        <f>X416-Z416</f>
        <v/>
      </c>
      <c r="AC416" s="25">
        <f>IF(T416=0,"",ROUND((X416-Z416)/T416*100,1))</f>
        <v/>
      </c>
      <c r="AD416" s="27" t="inlineStr">
        <is>
          <t>ESTIMATED</t>
        </is>
      </c>
      <c r="AE416" s="28" t="inlineStr">
        <is>
          <t>https://ativosajce.com.br/admin/download.php?file=files/processo_documento/processo_documento18543908052025_1_.pdf&amp;nome=Relação de Credores - art. 52, §1º da Lei 11.101/05 - 27/01/2025</t>
        </is>
      </c>
      <c r="AF416" s="27" t="inlineStr">
        <is>
          <t>p3 r6</t>
        </is>
      </c>
      <c r="AG416" s="27" t="inlineStr">
        <is>
          <t>p3: R$ 245.000,00</t>
        </is>
      </c>
      <c r="AH416" s="27" t="inlineStr">
        <is>
          <t>UNKNOWN</t>
        </is>
      </c>
      <c r="AI416" s="27" t="inlineStr"/>
      <c r="AJ416" s="27" t="inlineStr">
        <is>
          <t>OK_NO_TOTALS</t>
        </is>
      </c>
      <c r="AK416" s="29" t="inlineStr">
        <is>
          <t>1001174-80.2024.8.26.0359</t>
        </is>
      </c>
      <c r="AL416" s="29" t="inlineStr">
        <is>
          <t>TJSP</t>
        </is>
      </c>
      <c r="AM416" s="29" t="inlineStr">
        <is>
          <t>ACTIVE</t>
        </is>
      </c>
      <c r="AN416" s="29" t="n">
        <v>2024</v>
      </c>
      <c r="AO416" s="29" t="inlineStr">
        <is>
          <t>live case, no plan document yet</t>
        </is>
      </c>
      <c r="AP416" s="29" t="inlineStr">
        <is>
          <t>TEOFILO OTONI</t>
        </is>
      </c>
      <c r="AQ416" s="29" t="inlineStr">
        <is>
          <t>MG</t>
        </is>
      </c>
      <c r="AR416" s="29" t="inlineStr">
        <is>
          <t>Cooperativas de crédito mútuo</t>
        </is>
      </c>
      <c r="AS416" s="29" t="inlineStr">
        <is>
          <t>DEMAIS</t>
        </is>
      </c>
      <c r="AT416" s="29" t="inlineStr">
        <is>
          <t>MID-MARKET</t>
        </is>
      </c>
      <c r="AU416" s="29" t="inlineStr">
        <is>
          <t>25387655</t>
        </is>
      </c>
      <c r="AV416" s="29" t="n">
        <v>1</v>
      </c>
      <c r="AW416" s="29" t="inlineStr">
        <is>
          <t>ROWS:p3r6 UNRECONCILED_SOURCE VALUE_COL:Valor_Do_Créidto</t>
        </is>
      </c>
    </row>
    <row r="417">
      <c r="A417" s="15" t="inlineStr">
        <is>
          <t>BARU SOCIEDADE DE CREDITO, FINANCIAMENTO E INVESTIMENTO S/A</t>
        </is>
      </c>
      <c r="B417" s="16" t="n">
        <v>239740.08</v>
      </c>
      <c r="C417" s="17" t="inlineStr">
        <is>
          <t>DIVINA INDUSTRIA DE COURO LTDA - EM RECUPERACAO JUDICIAL</t>
        </is>
      </c>
      <c r="D417" s="18" t="inlineStr">
        <is>
          <t>NEW</t>
        </is>
      </c>
      <c r="E417" s="19" t="inlineStr"/>
      <c r="F417" s="18" t="inlineStr"/>
      <c r="G417" s="19" t="inlineStr"/>
      <c r="H417" s="18" t="inlineStr"/>
      <c r="I417" s="20" t="inlineStr">
        <is>
          <t>GUILHERME DE SOUZA PREVIDI</t>
        </is>
      </c>
      <c r="J417" s="20" t="inlineStr">
        <is>
          <t>Presidente</t>
        </is>
      </c>
      <c r="K417" s="20" t="inlineStr">
        <is>
          <t>(51) 9383-7496</t>
        </is>
      </c>
      <c r="L417" s="20" t="inlineStr"/>
      <c r="M417" s="20" t="inlineStr"/>
      <c r="N417" s="20" t="inlineStr"/>
      <c r="O417" s="20" t="inlineStr"/>
      <c r="P417" s="20" t="inlineStr">
        <is>
          <t>DIEGO VOLKART</t>
        </is>
      </c>
      <c r="Q417" s="20" t="inlineStr">
        <is>
          <t>Diretor</t>
        </is>
      </c>
      <c r="R417" s="20" t="inlineStr">
        <is>
          <t>(51) 9383-7496</t>
        </is>
      </c>
      <c r="S417" s="20" t="inlineStr"/>
      <c r="T417" s="21" t="n">
        <v>239740.08</v>
      </c>
      <c r="U417" s="22" t="inlineStr">
        <is>
          <t>B</t>
        </is>
      </c>
      <c r="V417" s="23">
        <f>IFERROR(VLOOKUP(U417,Assumptions!$A$7:$D$11,2,FALSE),0)</f>
        <v/>
      </c>
      <c r="W417" s="24">
        <f>MAX(0.5,IFERROR(VLOOKUP(U417,Assumptions!$A$7:$D$11,3,FALSE),3)+IFERROR(VLOOKUP(U417,Assumptions!$A$7:$D$11,4,FALSE),8)/2-IF(AN417="",0,YEAR(TODAY())-AN417))</f>
        <v/>
      </c>
      <c r="X417" s="21">
        <f>T417*V417/(1+Assumptions!$B$3)^W417</f>
        <v/>
      </c>
      <c r="Y417" s="25">
        <f>IF(T417=0,"",ROUND(X417/T417*100,1))</f>
        <v/>
      </c>
      <c r="Z417" s="26">
        <f>X417*Assumptions!$B$4</f>
        <v/>
      </c>
      <c r="AA417" s="25">
        <f>IF(T417=0,"",ROUND(Z417/T417*100,1))</f>
        <v/>
      </c>
      <c r="AB417" s="26">
        <f>X417-Z417</f>
        <v/>
      </c>
      <c r="AC417" s="25">
        <f>IF(T417=0,"",ROUND((X417-Z417)/T417*100,1))</f>
        <v/>
      </c>
      <c r="AD417" s="27" t="inlineStr">
        <is>
          <t>ESTIMATED</t>
        </is>
      </c>
      <c r="AE417" s="28" t="inlineStr">
        <is>
          <t>https://lrflideres.com.br/wp-content/plugins/download-attachments/includes/download.php?id=6252</t>
        </is>
      </c>
      <c r="AF417" s="27" t="inlineStr">
        <is>
          <t>p2 r16</t>
        </is>
      </c>
      <c r="AG417" s="27" t="inlineStr">
        <is>
          <t>p2: R$ 239.740,08</t>
        </is>
      </c>
      <c r="AH417" s="27" t="inlineStr">
        <is>
          <t>AJ_LIST</t>
        </is>
      </c>
      <c r="AI417" s="27" t="inlineStr">
        <is>
          <t>2024-11-27</t>
        </is>
      </c>
      <c r="AJ417" s="27" t="inlineStr">
        <is>
          <t>QUARANTINED</t>
        </is>
      </c>
      <c r="AK417" s="29" t="inlineStr">
        <is>
          <t>0000721-61.2024.8.17.2620</t>
        </is>
      </c>
      <c r="AL417" s="29" t="inlineStr">
        <is>
          <t>TJPE</t>
        </is>
      </c>
      <c r="AM417" s="29" t="inlineStr">
        <is>
          <t>ACTIVE</t>
        </is>
      </c>
      <c r="AN417" s="29" t="n">
        <v>2024</v>
      </c>
      <c r="AO417" s="29" t="inlineStr">
        <is>
          <t>live case, no plan document yet</t>
        </is>
      </c>
      <c r="AP417" s="29" t="inlineStr">
        <is>
          <t>PORTO ALEGRE</t>
        </is>
      </c>
      <c r="AQ417" s="29" t="inlineStr">
        <is>
          <t>RS</t>
        </is>
      </c>
      <c r="AR417" s="29" t="inlineStr">
        <is>
          <t>Sociedades de crédito, financiamento e investimento - financeiras</t>
        </is>
      </c>
      <c r="AS417" s="29" t="inlineStr">
        <is>
          <t>DEMAIS</t>
        </is>
      </c>
      <c r="AT417" s="29" t="inlineStr">
        <is>
          <t>MID-MARKET</t>
        </is>
      </c>
      <c r="AU417" s="29" t="inlineStr">
        <is>
          <t>42723848</t>
        </is>
      </c>
      <c r="AV417" s="29" t="n">
        <v>1</v>
      </c>
      <c r="AW417" s="29" t="inlineStr">
        <is>
          <t>PARTIAL_DOC_CLASS_III_RECONCILED ROWS:p2r16</t>
        </is>
      </c>
    </row>
    <row r="418">
      <c r="A418" s="15" t="inlineStr">
        <is>
          <t>CAIXA ECONOMICA FEDERAL</t>
        </is>
      </c>
      <c r="B418" s="16" t="n">
        <v>236013.46</v>
      </c>
      <c r="C418" s="17" t="inlineStr">
        <is>
          <t>BANCO DO BRASIL SA</t>
        </is>
      </c>
      <c r="D418" s="18" t="inlineStr">
        <is>
          <t>NEW</t>
        </is>
      </c>
      <c r="E418" s="19" t="inlineStr"/>
      <c r="F418" s="18" t="inlineStr"/>
      <c r="G418" s="19" t="inlineStr"/>
      <c r="H418" s="18" t="inlineStr"/>
      <c r="I418" s="20" t="inlineStr">
        <is>
          <t>ADRIANO ASSIS MATIAS</t>
        </is>
      </c>
      <c r="J418" s="20" t="inlineStr">
        <is>
          <t>Administrador</t>
        </is>
      </c>
      <c r="K418" s="20" t="inlineStr">
        <is>
          <t>(00) 4004-0104</t>
        </is>
      </c>
      <c r="L418" s="20" t="inlineStr"/>
      <c r="M418" s="20" t="inlineStr"/>
      <c r="N418" s="20" t="inlineStr"/>
      <c r="O418" s="20" t="inlineStr"/>
      <c r="P418" s="20" t="inlineStr">
        <is>
          <t>HENRIETE ALEXANDRA SARTORI BERNABE</t>
        </is>
      </c>
      <c r="Q418" s="20" t="inlineStr">
        <is>
          <t>Administrador</t>
        </is>
      </c>
      <c r="R418" s="20" t="inlineStr">
        <is>
          <t>(00) 4004-0104</t>
        </is>
      </c>
      <c r="S418" s="20" t="inlineStr"/>
      <c r="T418" s="21" t="n">
        <v>236013.46</v>
      </c>
      <c r="U418" s="22" t="inlineStr">
        <is>
          <t>B</t>
        </is>
      </c>
      <c r="V418" s="23">
        <f>IFERROR(VLOOKUP(U418,Assumptions!$A$7:$D$11,2,FALSE),0)</f>
        <v/>
      </c>
      <c r="W418" s="24">
        <f>MAX(0.5,IFERROR(VLOOKUP(U418,Assumptions!$A$7:$D$11,3,FALSE),3)+IFERROR(VLOOKUP(U418,Assumptions!$A$7:$D$11,4,FALSE),8)/2-IF(AN418="",0,YEAR(TODAY())-AN418))</f>
        <v/>
      </c>
      <c r="X418" s="21">
        <f>T418*V418/(1+Assumptions!$B$3)^W418</f>
        <v/>
      </c>
      <c r="Y418" s="25">
        <f>IF(T418=0,"",ROUND(X418/T418*100,1))</f>
        <v/>
      </c>
      <c r="Z418" s="26">
        <f>X418*Assumptions!$B$4</f>
        <v/>
      </c>
      <c r="AA418" s="25">
        <f>IF(T418=0,"",ROUND(Z418/T418*100,1))</f>
        <v/>
      </c>
      <c r="AB418" s="26">
        <f>X418-Z418</f>
        <v/>
      </c>
      <c r="AC418" s="25">
        <f>IF(T418=0,"",ROUND((X418-Z418)/T418*100,1))</f>
        <v/>
      </c>
      <c r="AD418" s="27" t="inlineStr">
        <is>
          <t>ESTIMATED</t>
        </is>
      </c>
      <c r="AE418" s="28" t="inlineStr">
        <is>
          <t>https://marquesadmjudicial.com.br/sgc/download.php?file=files/processo_documento/processo_documento09391327032025_1_.pdf&amp;nome=Relação Nominal de Credores AJ</t>
        </is>
      </c>
      <c r="AF418" s="27" t="inlineStr">
        <is>
          <t>p4 r6</t>
        </is>
      </c>
      <c r="AG418" s="27" t="inlineStr">
        <is>
          <t>p4: R$ 236.013,46</t>
        </is>
      </c>
      <c r="AH418" s="27" t="inlineStr">
        <is>
          <t>AJ_LIST</t>
        </is>
      </c>
      <c r="AI418" s="27" t="inlineStr">
        <is>
          <t>2025-03-21</t>
        </is>
      </c>
      <c r="AJ418" s="27" t="inlineStr">
        <is>
          <t>QUARANTINED</t>
        </is>
      </c>
      <c r="AK418" s="29" t="inlineStr">
        <is>
          <t>0044747-14.2024.8.16.0021</t>
        </is>
      </c>
      <c r="AL418" s="29" t="inlineStr">
        <is>
          <t>TJPR</t>
        </is>
      </c>
      <c r="AM418" s="29" t="inlineStr">
        <is>
          <t>ACTIVE</t>
        </is>
      </c>
      <c r="AN418" s="29" t="n">
        <v>2024</v>
      </c>
      <c r="AO418" s="29" t="inlineStr">
        <is>
          <t>live case, no plan document yet</t>
        </is>
      </c>
      <c r="AP418" s="29" t="inlineStr">
        <is>
          <t>BRASILIA</t>
        </is>
      </c>
      <c r="AQ418" s="29" t="inlineStr">
        <is>
          <t>DF</t>
        </is>
      </c>
      <c r="AR418" s="29" t="inlineStr">
        <is>
          <t>Caixas econômicas</t>
        </is>
      </c>
      <c r="AS418" s="29" t="inlineStr">
        <is>
          <t>DEMAIS</t>
        </is>
      </c>
      <c r="AT418" s="29" t="inlineStr">
        <is>
          <t>LARGE CORP</t>
        </is>
      </c>
      <c r="AU418" s="29" t="inlineStr">
        <is>
          <t>00360305</t>
        </is>
      </c>
      <c r="AV418" s="29" t="n">
        <v>1</v>
      </c>
      <c r="AW418" s="29" t="inlineStr">
        <is>
          <t>NAME_MISSING PARTIAL_DOC_CLASS_III_RECONCILED ROWS:p4r6</t>
        </is>
      </c>
    </row>
    <row r="419">
      <c r="A419" s="15" t="inlineStr">
        <is>
          <t>CAIXA ECONOMICA FEDERAL</t>
        </is>
      </c>
      <c r="B419" s="16" t="n">
        <v>213965.82</v>
      </c>
      <c r="C419" s="17" t="inlineStr">
        <is>
          <t>CENTRO DE TRATAMENTO RENAL ZONA SUL LTDA - EM RECUPERACAO JUDICIAL</t>
        </is>
      </c>
      <c r="D419" s="18" t="inlineStr">
        <is>
          <t>NEW</t>
        </is>
      </c>
      <c r="E419" s="19" t="inlineStr"/>
      <c r="F419" s="18" t="inlineStr"/>
      <c r="G419" s="19" t="inlineStr"/>
      <c r="H419" s="18" t="inlineStr"/>
      <c r="I419" s="20" t="inlineStr">
        <is>
          <t>ADRIANO ASSIS MATIAS</t>
        </is>
      </c>
      <c r="J419" s="20" t="inlineStr">
        <is>
          <t>Administrador</t>
        </is>
      </c>
      <c r="K419" s="20" t="inlineStr">
        <is>
          <t>(00) 4004-0104</t>
        </is>
      </c>
      <c r="L419" s="20" t="inlineStr"/>
      <c r="M419" s="20" t="inlineStr"/>
      <c r="N419" s="20" t="inlineStr"/>
      <c r="O419" s="20" t="inlineStr"/>
      <c r="P419" s="20" t="inlineStr">
        <is>
          <t>HENRIETE ALEXANDRA SARTORI BERNABE</t>
        </is>
      </c>
      <c r="Q419" s="20" t="inlineStr">
        <is>
          <t>Administrador</t>
        </is>
      </c>
      <c r="R419" s="20" t="inlineStr">
        <is>
          <t>(00) 4004-0104</t>
        </is>
      </c>
      <c r="S419" s="20" t="inlineStr"/>
      <c r="T419" s="21" t="n">
        <v>213965.82</v>
      </c>
      <c r="U419" s="31" t="inlineStr">
        <is>
          <t>C</t>
        </is>
      </c>
      <c r="V419" s="23">
        <f>IFERROR(VLOOKUP(U419,Assumptions!$A$7:$D$11,2,FALSE),0)</f>
        <v/>
      </c>
      <c r="W419" s="24">
        <f>MAX(0.5,IFERROR(VLOOKUP(U419,Assumptions!$A$7:$D$11,3,FALSE),3)+IFERROR(VLOOKUP(U419,Assumptions!$A$7:$D$11,4,FALSE),8)/2-IF(AN419="",0,YEAR(TODAY())-AN419))</f>
        <v/>
      </c>
      <c r="X419" s="21">
        <f>T419*V419/(1+Assumptions!$B$3)^W419</f>
        <v/>
      </c>
      <c r="Y419" s="25">
        <f>IF(T419=0,"",ROUND(X419/T419*100,1))</f>
        <v/>
      </c>
      <c r="Z419" s="26">
        <f>X419*Assumptions!$B$4</f>
        <v/>
      </c>
      <c r="AA419" s="25">
        <f>IF(T419=0,"",ROUND(Z419/T419*100,1))</f>
        <v/>
      </c>
      <c r="AB419" s="26">
        <f>X419-Z419</f>
        <v/>
      </c>
      <c r="AC419" s="25">
        <f>IF(T419=0,"",ROUND((X419-Z419)/T419*100,1))</f>
        <v/>
      </c>
      <c r="AD419" s="27" t="inlineStr">
        <is>
          <t>UNKNOWN</t>
        </is>
      </c>
      <c r="AE419" s="28" t="inlineStr">
        <is>
          <t>https://recuperacaojudicial.squarespace.com/s/4-RJCTREditalda2ListadeCredoresnovembro2019.pdf</t>
        </is>
      </c>
      <c r="AF419" s="27" t="inlineStr">
        <is>
          <t>p3 r4; p3 r9</t>
        </is>
      </c>
      <c r="AG419" s="27" t="inlineStr">
        <is>
          <t>p3: R$ 201.422,22; p3: R$ 12.543,60</t>
        </is>
      </c>
      <c r="AH419" s="27" t="inlineStr">
        <is>
          <t>AJ_LIST</t>
        </is>
      </c>
      <c r="AI419" s="27" t="inlineStr">
        <is>
          <t>2019-11-25</t>
        </is>
      </c>
      <c r="AJ419" s="27" t="inlineStr">
        <is>
          <t>OK</t>
        </is>
      </c>
      <c r="AK419" s="29" t="inlineStr">
        <is>
          <t>0015488-29.2018.8.17.2810</t>
        </is>
      </c>
      <c r="AL419" s="29" t="inlineStr">
        <is>
          <t>TJ</t>
        </is>
      </c>
      <c r="AM419" s="29" t="inlineStr"/>
      <c r="AN419" s="29" t="n">
        <v>2018</v>
      </c>
      <c r="AO419" s="29" t="inlineStr">
        <is>
          <t>8y since filing, no plan document</t>
        </is>
      </c>
      <c r="AP419" s="29" t="inlineStr">
        <is>
          <t>BRASILIA</t>
        </is>
      </c>
      <c r="AQ419" s="29" t="inlineStr">
        <is>
          <t>DF</t>
        </is>
      </c>
      <c r="AR419" s="29" t="inlineStr">
        <is>
          <t>Caixas econômicas</t>
        </is>
      </c>
      <c r="AS419" s="29" t="inlineStr">
        <is>
          <t>DEMAIS</t>
        </is>
      </c>
      <c r="AT419" s="29" t="inlineStr">
        <is>
          <t>LARGE CORP</t>
        </is>
      </c>
      <c r="AU419" s="29" t="inlineStr">
        <is>
          <t>00360305</t>
        </is>
      </c>
      <c r="AV419" s="29" t="n">
        <v>2</v>
      </c>
      <c r="AW419" s="29" t="inlineStr">
        <is>
          <t>ROWS:p3r4,p3r9</t>
        </is>
      </c>
    </row>
    <row r="420">
      <c r="A420" s="15" t="inlineStr">
        <is>
          <t>BANCO BRADESCO S.A.</t>
        </is>
      </c>
      <c r="B420" s="16" t="n">
        <v>232159.83</v>
      </c>
      <c r="C420" s="17" t="inlineStr">
        <is>
          <t>D'AGOSTINI &amp; DIDOMENICO LTDA EM RECUPERACAO JUDICIAL</t>
        </is>
      </c>
      <c r="D420" s="18" t="inlineStr">
        <is>
          <t>NEW</t>
        </is>
      </c>
      <c r="E420" s="19" t="inlineStr"/>
      <c r="F420" s="18" t="inlineStr"/>
      <c r="G420" s="19" t="inlineStr"/>
      <c r="H420" s="18" t="inlineStr"/>
      <c r="I420" s="20" t="inlineStr">
        <is>
          <t>MARCELO DE ARAUJO NORONHA</t>
        </is>
      </c>
      <c r="J420" s="20" t="inlineStr">
        <is>
          <t>Presidente</t>
        </is>
      </c>
      <c r="K420" s="20" t="inlineStr">
        <is>
          <t>(11) 3684-5122</t>
        </is>
      </c>
      <c r="L420" s="20" t="inlineStr"/>
      <c r="M420" s="20" t="inlineStr"/>
      <c r="N420" s="20" t="inlineStr"/>
      <c r="O420" s="20" t="inlineStr"/>
      <c r="P420" s="20" t="inlineStr">
        <is>
          <t>AFRANIO CARLOS CAMARGO DANTZGER</t>
        </is>
      </c>
      <c r="Q420" s="20" t="inlineStr">
        <is>
          <t>Diretor</t>
        </is>
      </c>
      <c r="R420" s="20" t="inlineStr">
        <is>
          <t>(11) 3684-5122</t>
        </is>
      </c>
      <c r="S420" s="20" t="inlineStr"/>
      <c r="T420" s="21" t="n">
        <v>232159.83</v>
      </c>
      <c r="U420" s="22" t="inlineStr">
        <is>
          <t>B</t>
        </is>
      </c>
      <c r="V420" s="23">
        <f>IFERROR(VLOOKUP(U420,Assumptions!$A$7:$D$11,2,FALSE),0)</f>
        <v/>
      </c>
      <c r="W420" s="24">
        <f>MAX(0.5,IFERROR(VLOOKUP(U420,Assumptions!$A$7:$D$11,3,FALSE),3)+IFERROR(VLOOKUP(U420,Assumptions!$A$7:$D$11,4,FALSE),8)/2-IF(AN420="",0,YEAR(TODAY())-AN420))</f>
        <v/>
      </c>
      <c r="X420" s="21">
        <f>T420*V420/(1+Assumptions!$B$3)^W420</f>
        <v/>
      </c>
      <c r="Y420" s="25">
        <f>IF(T420=0,"",ROUND(X420/T420*100,1))</f>
        <v/>
      </c>
      <c r="Z420" s="26">
        <f>X420*Assumptions!$B$4</f>
        <v/>
      </c>
      <c r="AA420" s="25">
        <f>IF(T420=0,"",ROUND(Z420/T420*100,1))</f>
        <v/>
      </c>
      <c r="AB420" s="26">
        <f>X420-Z420</f>
        <v/>
      </c>
      <c r="AC420" s="25">
        <f>IF(T420=0,"",ROUND((X420-Z420)/T420*100,1))</f>
        <v/>
      </c>
      <c r="AD420" s="27" t="inlineStr">
        <is>
          <t>ESTIMATED</t>
        </is>
      </c>
      <c r="AE420" s="28" t="inlineStr">
        <is>
          <t>https://marquesadmjudicial.com.br/sgc/download.php?file=files/processo_documento/processo_documento20014127022025_1_.pdf&amp;nome=Relação Nominal de Credores</t>
        </is>
      </c>
      <c r="AF420" s="27" t="inlineStr">
        <is>
          <t>p4 r6</t>
        </is>
      </c>
      <c r="AG420" s="27" t="inlineStr">
        <is>
          <t>p4: R$ 232.159,83</t>
        </is>
      </c>
      <c r="AH420" s="27" t="inlineStr">
        <is>
          <t>AJ_LIST</t>
        </is>
      </c>
      <c r="AI420" s="27" t="inlineStr">
        <is>
          <t>2024-11-08</t>
        </is>
      </c>
      <c r="AJ420" s="27" t="inlineStr">
        <is>
          <t>QUARANTINED</t>
        </is>
      </c>
      <c r="AK420" s="29" t="inlineStr">
        <is>
          <t>0001943-40.2024.8.16.0115</t>
        </is>
      </c>
      <c r="AL420" s="29" t="inlineStr">
        <is>
          <t>TJPR</t>
        </is>
      </c>
      <c r="AM420" s="29" t="inlineStr">
        <is>
          <t>ACTIVE</t>
        </is>
      </c>
      <c r="AN420" s="29" t="n">
        <v>2024</v>
      </c>
      <c r="AO420" s="29" t="inlineStr">
        <is>
          <t>live case, no plan document yet</t>
        </is>
      </c>
      <c r="AP420" s="29" t="inlineStr">
        <is>
          <t>OSASCO</t>
        </is>
      </c>
      <c r="AQ420" s="29" t="inlineStr">
        <is>
          <t>SP</t>
        </is>
      </c>
      <c r="AR420" s="29" t="inlineStr">
        <is>
          <t>Bancos múltiplos, com carteira comercial</t>
        </is>
      </c>
      <c r="AS420" s="29" t="inlineStr">
        <is>
          <t>DEMAIS</t>
        </is>
      </c>
      <c r="AT420" s="29" t="inlineStr">
        <is>
          <t>LARGE CORP</t>
        </is>
      </c>
      <c r="AU420" s="29" t="inlineStr">
        <is>
          <t>60746948</t>
        </is>
      </c>
      <c r="AV420" s="29" t="n">
        <v>1</v>
      </c>
      <c r="AW420" s="29" t="inlineStr">
        <is>
          <t>LIKELY_FINANCIAL_BY_NAME PARTIAL_DOC_CLASS_III_RECONCILED ROWS:p4r6</t>
        </is>
      </c>
    </row>
    <row r="421">
      <c r="A421" s="15" t="inlineStr">
        <is>
          <t>CAPITAL ANNEX FUNDO DE INVESTIMENTO EM DIREITOS CREDITORIOS MULTISSETORIAL</t>
        </is>
      </c>
      <c r="B421" s="16" t="n">
        <v>286765.7</v>
      </c>
      <c r="C421" s="17" t="inlineStr">
        <is>
          <t>ARRUDA &amp; MELO COMERCIO E DISTRIBUICAO DE ALIMENTOS E BEBIDAS LTDA</t>
        </is>
      </c>
      <c r="D421" s="18" t="inlineStr">
        <is>
          <t>NEW</t>
        </is>
      </c>
      <c r="E421" s="19" t="inlineStr"/>
      <c r="F421" s="18" t="inlineStr"/>
      <c r="G421" s="19" t="inlineStr"/>
      <c r="H421" s="18" t="inlineStr"/>
      <c r="I421" s="20" t="inlineStr"/>
      <c r="J421" s="20" t="inlineStr"/>
      <c r="K421" s="20" t="inlineStr"/>
      <c r="L421" s="20" t="inlineStr"/>
      <c r="M421" s="20" t="inlineStr"/>
      <c r="N421" s="20" t="inlineStr"/>
      <c r="O421" s="20" t="inlineStr"/>
      <c r="P421" s="20" t="inlineStr"/>
      <c r="Q421" s="20" t="inlineStr"/>
      <c r="R421" s="20" t="inlineStr"/>
      <c r="S421" s="20" t="inlineStr"/>
      <c r="T421" s="21" t="n">
        <v>286765.7</v>
      </c>
      <c r="U421" s="22" t="inlineStr">
        <is>
          <t>B</t>
        </is>
      </c>
      <c r="V421" s="23">
        <f>IFERROR(VLOOKUP(U421,Assumptions!$A$7:$D$11,2,FALSE),0)</f>
        <v/>
      </c>
      <c r="W421" s="24">
        <f>MAX(0.5,IFERROR(VLOOKUP(U421,Assumptions!$A$7:$D$11,3,FALSE),3)+IFERROR(VLOOKUP(U421,Assumptions!$A$7:$D$11,4,FALSE),8)/2-IF(AN421="",0,YEAR(TODAY())-AN421))</f>
        <v/>
      </c>
      <c r="X421" s="21">
        <f>T421*V421/(1+Assumptions!$B$3)^W421</f>
        <v/>
      </c>
      <c r="Y421" s="25">
        <f>IF(T421=0,"",ROUND(X421/T421*100,1))</f>
        <v/>
      </c>
      <c r="Z421" s="26">
        <f>X421*Assumptions!$B$4</f>
        <v/>
      </c>
      <c r="AA421" s="25">
        <f>IF(T421=0,"",ROUND(Z421/T421*100,1))</f>
        <v/>
      </c>
      <c r="AB421" s="26">
        <f>X421-Z421</f>
        <v/>
      </c>
      <c r="AC421" s="25">
        <f>IF(T421=0,"",ROUND((X421-Z421)/T421*100,1))</f>
        <v/>
      </c>
      <c r="AD421" s="27" t="inlineStr">
        <is>
          <t>ESTIMATED</t>
        </is>
      </c>
      <c r="AE421" s="28" t="inlineStr">
        <is>
          <t>https://diligence.adm.br/wp-content/uploads/2025/06/Edital-1a-Lista-de-Credores.pdf</t>
        </is>
      </c>
      <c r="AF421" s="27" t="inlineStr">
        <is>
          <t>p5 r68</t>
        </is>
      </c>
      <c r="AG421" s="27" t="inlineStr">
        <is>
          <t>p5: R$ 286.765,70</t>
        </is>
      </c>
      <c r="AH421" s="27" t="inlineStr">
        <is>
          <t>DEBTOR_LIST</t>
        </is>
      </c>
      <c r="AI421" s="27" t="inlineStr">
        <is>
          <t>2025-06-10</t>
        </is>
      </c>
      <c r="AJ421" s="27" t="inlineStr">
        <is>
          <t>OK</t>
        </is>
      </c>
      <c r="AK421" s="29" t="inlineStr">
        <is>
          <t>0008526-45.2025.8.17.2001</t>
        </is>
      </c>
      <c r="AL421" s="29" t="inlineStr">
        <is>
          <t>TJPE</t>
        </is>
      </c>
      <c r="AM421" s="29" t="inlineStr">
        <is>
          <t>ACTIVE</t>
        </is>
      </c>
      <c r="AN421" s="29" t="n">
        <v>2025</v>
      </c>
      <c r="AO421" s="29" t="inlineStr">
        <is>
          <t>live case, no plan document yet</t>
        </is>
      </c>
      <c r="AP421" s="29" t="inlineStr"/>
      <c r="AQ421" s="29" t="inlineStr"/>
      <c r="AR421" s="29" t="inlineStr"/>
      <c r="AS421" s="29" t="inlineStr"/>
      <c r="AT421" s="29" t="inlineStr">
        <is>
          <t>MID-MARKET</t>
        </is>
      </c>
      <c r="AU421" s="29" t="inlineStr">
        <is>
          <t>12093804</t>
        </is>
      </c>
      <c r="AV421" s="29" t="n">
        <v>1</v>
      </c>
      <c r="AW421" s="29" t="inlineStr">
        <is>
          <t>LIKELY_FINANCIAL_BY_NAME ROWS:p5r68</t>
        </is>
      </c>
    </row>
    <row r="422">
      <c r="A422" s="15" t="inlineStr">
        <is>
          <t>BANCO SANTANDER (BRASIL) S.A.</t>
        </is>
      </c>
      <c r="B422" s="16" t="n">
        <v>233956.22</v>
      </c>
      <c r="C422" s="17" t="inlineStr"/>
      <c r="D422" s="18" t="inlineStr">
        <is>
          <t>NEW</t>
        </is>
      </c>
      <c r="E422" s="19" t="inlineStr"/>
      <c r="F422" s="18" t="inlineStr"/>
      <c r="G422" s="19" t="inlineStr"/>
      <c r="H422" s="18" t="inlineStr"/>
      <c r="I422" s="20" t="inlineStr">
        <is>
          <t>GILSON FINKELSZTAIN</t>
        </is>
      </c>
      <c r="J422" s="20" t="inlineStr">
        <is>
          <t>Presidente</t>
        </is>
      </c>
      <c r="K422" s="20" t="inlineStr">
        <is>
          <t>(11) 4004-3535</t>
        </is>
      </c>
      <c r="L422" s="20" t="inlineStr"/>
      <c r="M422" s="20" t="inlineStr"/>
      <c r="N422" s="20" t="inlineStr"/>
      <c r="O422" s="20" t="inlineStr"/>
      <c r="P422" s="20" t="inlineStr">
        <is>
          <t>ALESSANDRO CHAGAS FARIAS</t>
        </is>
      </c>
      <c r="Q422" s="20" t="inlineStr">
        <is>
          <t>Diretor</t>
        </is>
      </c>
      <c r="R422" s="20" t="inlineStr">
        <is>
          <t>(11) 4004-3535</t>
        </is>
      </c>
      <c r="S422" s="20" t="inlineStr"/>
      <c r="T422" s="21" t="n">
        <v>233956.22</v>
      </c>
      <c r="U422" s="31" t="inlineStr">
        <is>
          <t>C</t>
        </is>
      </c>
      <c r="V422" s="23">
        <f>IFERROR(VLOOKUP(U422,Assumptions!$A$7:$D$11,2,FALSE),0)</f>
        <v/>
      </c>
      <c r="W422" s="24">
        <f>MAX(0.5,IFERROR(VLOOKUP(U422,Assumptions!$A$7:$D$11,3,FALSE),3)+IFERROR(VLOOKUP(U422,Assumptions!$A$7:$D$11,4,FALSE),8)/2-IF(AN422="",0,YEAR(TODAY())-AN422))</f>
        <v/>
      </c>
      <c r="X422" s="21">
        <f>T422*V422/(1+Assumptions!$B$3)^W422</f>
        <v/>
      </c>
      <c r="Y422" s="25">
        <f>IF(T422=0,"",ROUND(X422/T422*100,1))</f>
        <v/>
      </c>
      <c r="Z422" s="26">
        <f>X422*Assumptions!$B$4</f>
        <v/>
      </c>
      <c r="AA422" s="25">
        <f>IF(T422=0,"",ROUND(Z422/T422*100,1))</f>
        <v/>
      </c>
      <c r="AB422" s="26">
        <f>X422-Z422</f>
        <v/>
      </c>
      <c r="AC422" s="25">
        <f>IF(T422=0,"",ROUND((X422-Z422)/T422*100,1))</f>
        <v/>
      </c>
      <c r="AD422" s="27" t="inlineStr">
        <is>
          <t>UNKNOWN</t>
        </is>
      </c>
      <c r="AE422" s="28" t="inlineStr">
        <is>
          <t>https://realbrasil.com.br/wp-content/uploads/2018/06/2_LISTA-DE-CREDORES-DA-RECUPERANDA_ROQUE.pdf</t>
        </is>
      </c>
      <c r="AF422" s="27" t="inlineStr">
        <is>
          <t>p2 r8</t>
        </is>
      </c>
      <c r="AG422" s="27" t="inlineStr">
        <is>
          <t>p2: R$ 233.956,22</t>
        </is>
      </c>
      <c r="AH422" s="27" t="inlineStr">
        <is>
          <t>UNKNOWN</t>
        </is>
      </c>
      <c r="AI422" s="27" t="inlineStr"/>
      <c r="AJ422" s="27" t="inlineStr">
        <is>
          <t>OK</t>
        </is>
      </c>
      <c r="AK422" s="29" t="inlineStr">
        <is>
          <t>0802426-35.2019.8.10.0000</t>
        </is>
      </c>
      <c r="AL422" s="29" t="inlineStr">
        <is>
          <t>TJ</t>
        </is>
      </c>
      <c r="AM422" s="29" t="inlineStr"/>
      <c r="AN422" s="29" t="n">
        <v>2019</v>
      </c>
      <c r="AO422" s="29" t="inlineStr">
        <is>
          <t>7y since filing, no plan document</t>
        </is>
      </c>
      <c r="AP422" s="29" t="inlineStr">
        <is>
          <t>SAO PAULO</t>
        </is>
      </c>
      <c r="AQ422" s="29" t="inlineStr">
        <is>
          <t>SP</t>
        </is>
      </c>
      <c r="AR422" s="29" t="inlineStr">
        <is>
          <t>Bancos múltiplos, com carteira comercial</t>
        </is>
      </c>
      <c r="AS422" s="29" t="inlineStr">
        <is>
          <t>DEMAIS</t>
        </is>
      </c>
      <c r="AT422" s="29" t="inlineStr">
        <is>
          <t>LARGE CORP</t>
        </is>
      </c>
      <c r="AU422" s="29" t="inlineStr">
        <is>
          <t>90400888</t>
        </is>
      </c>
      <c r="AV422" s="29" t="n">
        <v>1</v>
      </c>
      <c r="AW422" s="29" t="inlineStr">
        <is>
          <t>ROWS:p2r8 VALUE_COL:Saldo_Total</t>
        </is>
      </c>
    </row>
    <row r="423">
      <c r="A423" s="15" t="inlineStr">
        <is>
          <t>PLATINUM FUNDO DE INVESTIMENTO EM DIREITOS CREDITORIOS MULTISSETORIAL (</t>
        </is>
      </c>
      <c r="B423" s="16" t="n">
        <v>364774.81</v>
      </c>
      <c r="C423" s="17" t="inlineStr">
        <is>
          <t>VECTOR INDUSTRIA DE PRODUTOS METALURGICOS LTDA - EM RECUPERACAO JUDICIAL</t>
        </is>
      </c>
      <c r="D423" s="18" t="inlineStr">
        <is>
          <t>NEW</t>
        </is>
      </c>
      <c r="E423" s="19" t="inlineStr"/>
      <c r="F423" s="18" t="inlineStr"/>
      <c r="G423" s="19" t="inlineStr"/>
      <c r="H423" s="18" t="inlineStr"/>
      <c r="I423" s="20" t="inlineStr"/>
      <c r="J423" s="20" t="inlineStr"/>
      <c r="K423" s="20" t="inlineStr"/>
      <c r="L423" s="20" t="inlineStr"/>
      <c r="M423" s="20" t="inlineStr"/>
      <c r="N423" s="20" t="inlineStr"/>
      <c r="O423" s="20" t="inlineStr"/>
      <c r="P423" s="20" t="inlineStr"/>
      <c r="Q423" s="20" t="inlineStr"/>
      <c r="R423" s="20" t="inlineStr"/>
      <c r="S423" s="20" t="inlineStr"/>
      <c r="T423" s="21" t="n">
        <v>364774.81</v>
      </c>
      <c r="U423" s="31" t="inlineStr">
        <is>
          <t>C</t>
        </is>
      </c>
      <c r="V423" s="23">
        <f>IFERROR(VLOOKUP(U423,Assumptions!$A$7:$D$11,2,FALSE),0)</f>
        <v/>
      </c>
      <c r="W423" s="24">
        <f>MAX(0.5,IFERROR(VLOOKUP(U423,Assumptions!$A$7:$D$11,3,FALSE),3)+IFERROR(VLOOKUP(U423,Assumptions!$A$7:$D$11,4,FALSE),8)/2-IF(AN423="",0,YEAR(TODAY())-AN423))</f>
        <v/>
      </c>
      <c r="X423" s="21">
        <f>T423*V423/(1+Assumptions!$B$3)^W423</f>
        <v/>
      </c>
      <c r="Y423" s="25">
        <f>IF(T423=0,"",ROUND(X423/T423*100,1))</f>
        <v/>
      </c>
      <c r="Z423" s="26">
        <f>X423*Assumptions!$B$4</f>
        <v/>
      </c>
      <c r="AA423" s="25">
        <f>IF(T423=0,"",ROUND(Z423/T423*100,1))</f>
        <v/>
      </c>
      <c r="AB423" s="26">
        <f>X423-Z423</f>
        <v/>
      </c>
      <c r="AC423" s="25">
        <f>IF(T423=0,"",ROUND((X423-Z423)/T423*100,1))</f>
        <v/>
      </c>
      <c r="AD423" s="27" t="inlineStr">
        <is>
          <t>ESTIMATED</t>
        </is>
      </c>
      <c r="AE423" s="28" t="inlineStr">
        <is>
          <t>https://scalzilliaj.com.br/sgc/download.php?file=files/processo_documento/processo_documento15513401112022_1_.pdf&amp;nome=15 - Edital do art. 7º, §2º (segunda lista de credores) e do art. 53 da Lei 11.101/2005 (recebimento do plano)</t>
        </is>
      </c>
      <c r="AF423" s="27" t="inlineStr">
        <is>
          <t>p9 r7</t>
        </is>
      </c>
      <c r="AG423" s="27" t="inlineStr">
        <is>
          <t>p9: R$ 364.774,81</t>
        </is>
      </c>
      <c r="AH423" s="27" t="inlineStr">
        <is>
          <t>AJ_LIST</t>
        </is>
      </c>
      <c r="AI423" s="27" t="inlineStr">
        <is>
          <t>2022-11-01</t>
        </is>
      </c>
      <c r="AJ423" s="27" t="inlineStr">
        <is>
          <t>OK_NO_TOTALS</t>
        </is>
      </c>
      <c r="AK423" s="29" t="inlineStr">
        <is>
          <t>5014104-85.2021.8.21.0010</t>
        </is>
      </c>
      <c r="AL423" s="29" t="inlineStr">
        <is>
          <t>TJRS</t>
        </is>
      </c>
      <c r="AM423" s="29" t="inlineStr">
        <is>
          <t>ACTIVE</t>
        </is>
      </c>
      <c r="AN423" s="29" t="n">
        <v>2021</v>
      </c>
      <c r="AO423" s="29" t="inlineStr">
        <is>
          <t>5y since filing, no plan document</t>
        </is>
      </c>
      <c r="AP423" s="29" t="inlineStr"/>
      <c r="AQ423" s="29" t="inlineStr"/>
      <c r="AR423" s="29" t="inlineStr"/>
      <c r="AS423" s="29" t="inlineStr"/>
      <c r="AT423" s="29" t="inlineStr">
        <is>
          <t>MID-MARKET</t>
        </is>
      </c>
      <c r="AU423" s="29" t="inlineStr">
        <is>
          <t>10774307</t>
        </is>
      </c>
      <c r="AV423" s="29" t="n">
        <v>1</v>
      </c>
      <c r="AW423" s="29" t="inlineStr">
        <is>
          <t>LIKELY_FINANCIAL_BY_NAME ROWS:p9r7 UNRECONCILED_SOURCE</t>
        </is>
      </c>
    </row>
    <row r="424">
      <c r="A424" s="15" t="inlineStr">
        <is>
          <t>CAIXA ECONOMICA FEDERAL</t>
        </is>
      </c>
      <c r="B424" s="16" t="n">
        <v>227255.82</v>
      </c>
      <c r="C424" s="17" t="inlineStr">
        <is>
          <t>CEAM NUCLEO ESPECIALIZADO EM APOIO MULTIDISCIPLINAR LTDA - EM RECUPERACAO JUDICIAL</t>
        </is>
      </c>
      <c r="D424" s="18" t="inlineStr">
        <is>
          <t>NEW</t>
        </is>
      </c>
      <c r="E424" s="19" t="inlineStr"/>
      <c r="F424" s="18" t="inlineStr"/>
      <c r="G424" s="19" t="inlineStr"/>
      <c r="H424" s="18" t="inlineStr"/>
      <c r="I424" s="20" t="inlineStr">
        <is>
          <t>ADRIANO ASSIS MATIAS</t>
        </is>
      </c>
      <c r="J424" s="20" t="inlineStr">
        <is>
          <t>Administrador</t>
        </is>
      </c>
      <c r="K424" s="20" t="inlineStr">
        <is>
          <t>(00) 4004-0104</t>
        </is>
      </c>
      <c r="L424" s="20" t="inlineStr"/>
      <c r="M424" s="20" t="inlineStr"/>
      <c r="N424" s="20" t="inlineStr"/>
      <c r="O424" s="20" t="inlineStr"/>
      <c r="P424" s="20" t="inlineStr">
        <is>
          <t>HENRIETE ALEXANDRA SARTORI BERNABE</t>
        </is>
      </c>
      <c r="Q424" s="20" t="inlineStr">
        <is>
          <t>Administrador</t>
        </is>
      </c>
      <c r="R424" s="20" t="inlineStr">
        <is>
          <t>(00) 4004-0104</t>
        </is>
      </c>
      <c r="S424" s="20" t="inlineStr"/>
      <c r="T424" s="21" t="n">
        <v>227255.82</v>
      </c>
      <c r="U424" s="22" t="inlineStr">
        <is>
          <t>B</t>
        </is>
      </c>
      <c r="V424" s="23">
        <f>IFERROR(VLOOKUP(U424,Assumptions!$A$7:$D$11,2,FALSE),0)</f>
        <v/>
      </c>
      <c r="W424" s="24">
        <f>MAX(0.5,IFERROR(VLOOKUP(U424,Assumptions!$A$7:$D$11,3,FALSE),3)+IFERROR(VLOOKUP(U424,Assumptions!$A$7:$D$11,4,FALSE),8)/2-IF(AN424="",0,YEAR(TODAY())-AN424))</f>
        <v/>
      </c>
      <c r="X424" s="21">
        <f>T424*V424/(1+Assumptions!$B$3)^W424</f>
        <v/>
      </c>
      <c r="Y424" s="25">
        <f>IF(T424=0,"",ROUND(X424/T424*100,1))</f>
        <v/>
      </c>
      <c r="Z424" s="26">
        <f>X424*Assumptions!$B$4</f>
        <v/>
      </c>
      <c r="AA424" s="25">
        <f>IF(T424=0,"",ROUND(Z424/T424*100,1))</f>
        <v/>
      </c>
      <c r="AB424" s="26">
        <f>X424-Z424</f>
        <v/>
      </c>
      <c r="AC424" s="25">
        <f>IF(T424=0,"",ROUND((X424-Z424)/T424*100,1))</f>
        <v/>
      </c>
      <c r="AD424" s="27" t="inlineStr">
        <is>
          <t>ESTIMATED</t>
        </is>
      </c>
      <c r="AE424" s="28" t="inlineStr">
        <is>
          <t>https://recuperasolucoes.com/wp-content/plugins/download-attachments/includes/download.php?id=1492</t>
        </is>
      </c>
      <c r="AF424" s="27" t="inlineStr">
        <is>
          <t>p5 r55</t>
        </is>
      </c>
      <c r="AG424" s="27" t="inlineStr">
        <is>
          <t>p5: R$ 227.255,82</t>
        </is>
      </c>
      <c r="AH424" s="27" t="inlineStr">
        <is>
          <t>AJ_LIST</t>
        </is>
      </c>
      <c r="AI424" s="27" t="inlineStr">
        <is>
          <t>2025-09-12</t>
        </is>
      </c>
      <c r="AJ424" s="27" t="inlineStr">
        <is>
          <t>OK</t>
        </is>
      </c>
      <c r="AK424" s="29" t="inlineStr">
        <is>
          <t>0133628-14.2024.8.17.2001</t>
        </is>
      </c>
      <c r="AL424" s="29" t="inlineStr">
        <is>
          <t>TJPE</t>
        </is>
      </c>
      <c r="AM424" s="29" t="inlineStr">
        <is>
          <t>ACTIVE</t>
        </is>
      </c>
      <c r="AN424" s="29" t="n">
        <v>2024</v>
      </c>
      <c r="AO424" s="29" t="inlineStr">
        <is>
          <t>live case, no plan document yet</t>
        </is>
      </c>
      <c r="AP424" s="29" t="inlineStr">
        <is>
          <t>BRASILIA</t>
        </is>
      </c>
      <c r="AQ424" s="29" t="inlineStr">
        <is>
          <t>DF</t>
        </is>
      </c>
      <c r="AR424" s="29" t="inlineStr">
        <is>
          <t>Caixas econômicas</t>
        </is>
      </c>
      <c r="AS424" s="29" t="inlineStr">
        <is>
          <t>DEMAIS</t>
        </is>
      </c>
      <c r="AT424" s="29" t="inlineStr">
        <is>
          <t>LARGE CORP</t>
        </is>
      </c>
      <c r="AU424" s="29" t="inlineStr">
        <is>
          <t>00360305</t>
        </is>
      </c>
      <c r="AV424" s="29" t="n">
        <v>1</v>
      </c>
      <c r="AW424" s="29" t="inlineStr">
        <is>
          <t>LIKELY_FINANCIAL_BY_NAME ROWS:p5r55</t>
        </is>
      </c>
    </row>
    <row r="425">
      <c r="A425" s="15" t="inlineStr">
        <is>
          <t>BANCO DO BRASIL SA</t>
        </is>
      </c>
      <c r="B425" s="16" t="n">
        <v>352476.89</v>
      </c>
      <c r="C425" s="17" t="inlineStr"/>
      <c r="D425" s="18" t="inlineStr">
        <is>
          <t>NEW</t>
        </is>
      </c>
      <c r="E425" s="19" t="inlineStr"/>
      <c r="F425" s="18" t="inlineStr"/>
      <c r="G425" s="19" t="inlineStr"/>
      <c r="H425" s="18" t="inlineStr"/>
      <c r="I425" s="20" t="inlineStr">
        <is>
          <t>TARCIANA PAULA GOMES MEDEIROS</t>
        </is>
      </c>
      <c r="J425" s="20" t="inlineStr">
        <is>
          <t>Presidente</t>
        </is>
      </c>
      <c r="K425" s="20" t="inlineStr">
        <is>
          <t>(61) 3493-9002</t>
        </is>
      </c>
      <c r="L425" s="20" t="inlineStr"/>
      <c r="M425" s="20" t="inlineStr"/>
      <c r="N425" s="20" t="inlineStr"/>
      <c r="O425" s="20" t="inlineStr"/>
      <c r="P425" s="20" t="inlineStr">
        <is>
          <t>ALAN CARLOS GUEDES DE OLIVEIRA</t>
        </is>
      </c>
      <c r="Q425" s="20" t="inlineStr">
        <is>
          <t>Diretor</t>
        </is>
      </c>
      <c r="R425" s="20" t="inlineStr">
        <is>
          <t>(61) 3493-9002</t>
        </is>
      </c>
      <c r="S425" s="20" t="inlineStr"/>
      <c r="T425" s="21" t="n">
        <v>352476.89</v>
      </c>
      <c r="U425" s="22" t="inlineStr">
        <is>
          <t>B</t>
        </is>
      </c>
      <c r="V425" s="23">
        <f>IFERROR(VLOOKUP(U425,Assumptions!$A$7:$D$11,2,FALSE),0)</f>
        <v/>
      </c>
      <c r="W425" s="24">
        <f>MAX(0.5,IFERROR(VLOOKUP(U425,Assumptions!$A$7:$D$11,3,FALSE),3)+IFERROR(VLOOKUP(U425,Assumptions!$A$7:$D$11,4,FALSE),8)/2-IF(AN425="",0,YEAR(TODAY())-AN425))</f>
        <v/>
      </c>
      <c r="X425" s="21">
        <f>T425*V425/(1+Assumptions!$B$3)^W425</f>
        <v/>
      </c>
      <c r="Y425" s="25">
        <f>IF(T425=0,"",ROUND(X425/T425*100,1))</f>
        <v/>
      </c>
      <c r="Z425" s="26">
        <f>X425*Assumptions!$B$4</f>
        <v/>
      </c>
      <c r="AA425" s="25">
        <f>IF(T425=0,"",ROUND(Z425/T425*100,1))</f>
        <v/>
      </c>
      <c r="AB425" s="26">
        <f>X425-Z425</f>
        <v/>
      </c>
      <c r="AC425" s="25">
        <f>IF(T425=0,"",ROUND((X425-Z425)/T425*100,1))</f>
        <v/>
      </c>
      <c r="AD425" s="27" t="inlineStr">
        <is>
          <t>ESTIMATED</t>
        </is>
      </c>
      <c r="AE425" s="28" t="inlineStr">
        <is>
          <t>https://scalzilliaj.com.br/sgc/download.php?file=files/processo_documento/processo_documento11421222052026_1_.pdf&amp;nome=08. Lista de credores do edital do art. 52, §1º da LREF</t>
        </is>
      </c>
      <c r="AF425" s="27" t="inlineStr">
        <is>
          <t>p4 r8</t>
        </is>
      </c>
      <c r="AG425" s="27" t="inlineStr">
        <is>
          <t>p4: R$ 352.476,89</t>
        </is>
      </c>
      <c r="AH425" s="27" t="inlineStr">
        <is>
          <t>UNKNOWN</t>
        </is>
      </c>
      <c r="AI425" s="27" t="inlineStr"/>
      <c r="AJ425" s="27" t="inlineStr">
        <is>
          <t>OK_NO_TOTALS</t>
        </is>
      </c>
      <c r="AK425" s="29" t="inlineStr">
        <is>
          <t>5011369-81.2026.8.09.0093</t>
        </is>
      </c>
      <c r="AL425" s="29" t="inlineStr">
        <is>
          <t>TJGO</t>
        </is>
      </c>
      <c r="AM425" s="29" t="inlineStr">
        <is>
          <t>ACTIVE</t>
        </is>
      </c>
      <c r="AN425" s="29" t="n">
        <v>2026</v>
      </c>
      <c r="AO425" s="29" t="inlineStr">
        <is>
          <t>live case, no plan document yet</t>
        </is>
      </c>
      <c r="AP425" s="29" t="inlineStr">
        <is>
          <t>BRASILIA</t>
        </is>
      </c>
      <c r="AQ425" s="29" t="inlineStr">
        <is>
          <t>DF</t>
        </is>
      </c>
      <c r="AR425" s="29" t="inlineStr">
        <is>
          <t>Bancos múltiplos, com carteira comercial</t>
        </is>
      </c>
      <c r="AS425" s="29" t="inlineStr">
        <is>
          <t>DEMAIS</t>
        </is>
      </c>
      <c r="AT425" s="29" t="inlineStr">
        <is>
          <t>LARGE CORP</t>
        </is>
      </c>
      <c r="AU425" s="29" t="inlineStr">
        <is>
          <t>00000000</t>
        </is>
      </c>
      <c r="AV425" s="29" t="n">
        <v>1</v>
      </c>
      <c r="AW425" s="29" t="inlineStr">
        <is>
          <t>LIKELY_FINANCIAL_BY_NAME ROWS:p4r8 UNRECONCILED_SOURCE</t>
        </is>
      </c>
    </row>
    <row r="426">
      <c r="A426" s="15" t="inlineStr">
        <is>
          <t>BRADESCO LEASING S.A. - ARRENDAMENTO MERCANTIL</t>
        </is>
      </c>
      <c r="B426" s="16" t="n">
        <v>525845.5600000001</v>
      </c>
      <c r="C426" s="17" t="inlineStr">
        <is>
          <t>EGESA ENGENHARIA S/A (Consórcio ETDI)</t>
        </is>
      </c>
      <c r="D426" s="18" t="inlineStr">
        <is>
          <t>NEW</t>
        </is>
      </c>
      <c r="E426" s="19" t="inlineStr"/>
      <c r="F426" s="18" t="inlineStr"/>
      <c r="G426" s="19" t="inlineStr"/>
      <c r="H426" s="18" t="inlineStr"/>
      <c r="I426" s="20" t="inlineStr">
        <is>
          <t>CLAYTON NEVES XAVIER</t>
        </is>
      </c>
      <c r="J426" s="20" t="inlineStr">
        <is>
          <t>Administrador</t>
        </is>
      </c>
      <c r="K426" s="20" t="inlineStr">
        <is>
          <t>(11) 3681-4011</t>
        </is>
      </c>
      <c r="L426" s="20" t="inlineStr">
        <is>
          <t>(11) 3684-2750</t>
        </is>
      </c>
      <c r="M426" s="20" t="inlineStr"/>
      <c r="N426" s="20" t="inlineStr"/>
      <c r="O426" s="20" t="inlineStr"/>
      <c r="P426" s="20" t="inlineStr">
        <is>
          <t>MARCELO DE ARAUJO NORONHA</t>
        </is>
      </c>
      <c r="Q426" s="20" t="inlineStr">
        <is>
          <t>Presidente</t>
        </is>
      </c>
      <c r="R426" s="20" t="inlineStr">
        <is>
          <t>(11) 3684-2750</t>
        </is>
      </c>
      <c r="S426" s="20" t="inlineStr"/>
      <c r="T426" s="21" t="n">
        <v>525845.5600000001</v>
      </c>
      <c r="U426" s="30" t="inlineStr">
        <is>
          <t>?</t>
        </is>
      </c>
      <c r="V426" s="23">
        <f>IFERROR(VLOOKUP(U426,Assumptions!$A$7:$D$11,2,FALSE),0)</f>
        <v/>
      </c>
      <c r="W426" s="24">
        <f>MAX(0.5,IFERROR(VLOOKUP(U426,Assumptions!$A$7:$D$11,3,FALSE),3)+IFERROR(VLOOKUP(U426,Assumptions!$A$7:$D$11,4,FALSE),8)/2-IF(AN426="",0,YEAR(TODAY())-AN426))</f>
        <v/>
      </c>
      <c r="X426" s="21">
        <f>T426*V426/(1+Assumptions!$B$3)^W426</f>
        <v/>
      </c>
      <c r="Y426" s="25">
        <f>IF(T426=0,"",ROUND(X426/T426*100,1))</f>
        <v/>
      </c>
      <c r="Z426" s="26">
        <f>X426*Assumptions!$B$4</f>
        <v/>
      </c>
      <c r="AA426" s="25">
        <f>IF(T426=0,"",ROUND(Z426/T426*100,1))</f>
        <v/>
      </c>
      <c r="AB426" s="26">
        <f>X426-Z426</f>
        <v/>
      </c>
      <c r="AC426" s="25">
        <f>IF(T426=0,"",ROUND((X426-Z426)/T426*100,1))</f>
        <v/>
      </c>
      <c r="AD426" s="27" t="inlineStr">
        <is>
          <t>UNKNOWN</t>
        </is>
      </c>
      <c r="AE426" s="28" t="inlineStr">
        <is>
          <t>https://scalzilliaj.com.br/sgc/download.php?file=files/processo_documento/processo_documento09514021082025_1_.pdf&amp;nome=04 - Relação de credores das Recuperandas</t>
        </is>
      </c>
      <c r="AF426" s="27" t="inlineStr">
        <is>
          <t>p63 r11</t>
        </is>
      </c>
      <c r="AG426" s="27" t="inlineStr">
        <is>
          <t>p63: R$ 525.845,56</t>
        </is>
      </c>
      <c r="AH426" s="27" t="inlineStr">
        <is>
          <t>DEBTOR_LIST</t>
        </is>
      </c>
      <c r="AI426" s="27" t="inlineStr"/>
      <c r="AJ426" s="27" t="inlineStr">
        <is>
          <t>OK</t>
        </is>
      </c>
      <c r="AK426" s="29" t="inlineStr">
        <is>
          <t>(not printed)</t>
        </is>
      </c>
      <c r="AL426" s="29" t="inlineStr"/>
      <c r="AM426" s="29" t="inlineStr"/>
      <c r="AN426" s="29" t="inlineStr"/>
      <c r="AO426" s="29" t="inlineStr">
        <is>
          <t>RJ case number not identified on the document</t>
        </is>
      </c>
      <c r="AP426" s="29" t="inlineStr">
        <is>
          <t>OSASCO</t>
        </is>
      </c>
      <c r="AQ426" s="29" t="inlineStr">
        <is>
          <t>SP</t>
        </is>
      </c>
      <c r="AR426" s="29" t="inlineStr">
        <is>
          <t>Arrendamento mercantil</t>
        </is>
      </c>
      <c r="AS426" s="29" t="inlineStr">
        <is>
          <t>DEMAIS</t>
        </is>
      </c>
      <c r="AT426" s="29" t="inlineStr">
        <is>
          <t>LARGE CORP</t>
        </is>
      </c>
      <c r="AU426" s="29" t="inlineStr">
        <is>
          <t>47509120</t>
        </is>
      </c>
      <c r="AV426" s="29" t="n">
        <v>1</v>
      </c>
      <c r="AW426" s="29" t="inlineStr">
        <is>
          <t>LIKELY_FINANCIAL_BY_NAME ROWS:p63r11 VALUE_COL:Valor_Atualizado CASE_NUMBER_CORRECTED</t>
        </is>
      </c>
    </row>
    <row r="427">
      <c r="A427" s="15" t="inlineStr">
        <is>
          <t>OXSS SECURITIZADORA FUNDOS DE INVESTIMENTOS EM DIREITOS CREDITORIOS</t>
        </is>
      </c>
      <c r="B427" s="16" t="n">
        <v>222133.2</v>
      </c>
      <c r="C427" s="17" t="inlineStr">
        <is>
          <t>DIVINA INDUSTRIA DE COURO LTDA - EM RECUPERACAO JUDICIAL</t>
        </is>
      </c>
      <c r="D427" s="18" t="inlineStr">
        <is>
          <t>NEW</t>
        </is>
      </c>
      <c r="E427" s="19" t="inlineStr"/>
      <c r="F427" s="18" t="inlineStr"/>
      <c r="G427" s="19" t="inlineStr"/>
      <c r="H427" s="18" t="inlineStr"/>
      <c r="I427" s="20" t="inlineStr"/>
      <c r="J427" s="20" t="inlineStr"/>
      <c r="K427" s="20" t="inlineStr"/>
      <c r="L427" s="20" t="inlineStr"/>
      <c r="M427" s="20" t="inlineStr"/>
      <c r="N427" s="20" t="inlineStr"/>
      <c r="O427" s="20" t="inlineStr"/>
      <c r="P427" s="20" t="inlineStr"/>
      <c r="Q427" s="20" t="inlineStr"/>
      <c r="R427" s="20" t="inlineStr"/>
      <c r="S427" s="20" t="inlineStr"/>
      <c r="T427" s="21" t="n">
        <v>222133.2</v>
      </c>
      <c r="U427" s="22" t="inlineStr">
        <is>
          <t>B</t>
        </is>
      </c>
      <c r="V427" s="23">
        <f>IFERROR(VLOOKUP(U427,Assumptions!$A$7:$D$11,2,FALSE),0)</f>
        <v/>
      </c>
      <c r="W427" s="24">
        <f>MAX(0.5,IFERROR(VLOOKUP(U427,Assumptions!$A$7:$D$11,3,FALSE),3)+IFERROR(VLOOKUP(U427,Assumptions!$A$7:$D$11,4,FALSE),8)/2-IF(AN427="",0,YEAR(TODAY())-AN427))</f>
        <v/>
      </c>
      <c r="X427" s="21">
        <f>T427*V427/(1+Assumptions!$B$3)^W427</f>
        <v/>
      </c>
      <c r="Y427" s="25">
        <f>IF(T427=0,"",ROUND(X427/T427*100,1))</f>
        <v/>
      </c>
      <c r="Z427" s="26">
        <f>X427*Assumptions!$B$4</f>
        <v/>
      </c>
      <c r="AA427" s="25">
        <f>IF(T427=0,"",ROUND(Z427/T427*100,1))</f>
        <v/>
      </c>
      <c r="AB427" s="26">
        <f>X427-Z427</f>
        <v/>
      </c>
      <c r="AC427" s="25">
        <f>IF(T427=0,"",ROUND((X427-Z427)/T427*100,1))</f>
        <v/>
      </c>
      <c r="AD427" s="27" t="inlineStr">
        <is>
          <t>ESTIMATED</t>
        </is>
      </c>
      <c r="AE427" s="28" t="inlineStr">
        <is>
          <t>https://lrflideres.com.br/wp-content/plugins/download-attachments/includes/download.php?id=6252</t>
        </is>
      </c>
      <c r="AF427" s="27" t="inlineStr">
        <is>
          <t>p2 r65</t>
        </is>
      </c>
      <c r="AG427" s="27" t="inlineStr">
        <is>
          <t>p2: R$ 222.133,20</t>
        </is>
      </c>
      <c r="AH427" s="27" t="inlineStr">
        <is>
          <t>AJ_LIST</t>
        </is>
      </c>
      <c r="AI427" s="27" t="inlineStr">
        <is>
          <t>2024-11-27</t>
        </is>
      </c>
      <c r="AJ427" s="27" t="inlineStr">
        <is>
          <t>QUARANTINED</t>
        </is>
      </c>
      <c r="AK427" s="29" t="inlineStr">
        <is>
          <t>0000721-61.2024.8.17.2620</t>
        </is>
      </c>
      <c r="AL427" s="29" t="inlineStr">
        <is>
          <t>TJPE</t>
        </is>
      </c>
      <c r="AM427" s="29" t="inlineStr">
        <is>
          <t>ACTIVE</t>
        </is>
      </c>
      <c r="AN427" s="29" t="n">
        <v>2024</v>
      </c>
      <c r="AO427" s="29" t="inlineStr">
        <is>
          <t>live case, no plan document yet</t>
        </is>
      </c>
      <c r="AP427" s="29" t="inlineStr"/>
      <c r="AQ427" s="29" t="inlineStr"/>
      <c r="AR427" s="29" t="inlineStr"/>
      <c r="AS427" s="29" t="inlineStr"/>
      <c r="AT427" s="29" t="inlineStr">
        <is>
          <t>MID-MARKET</t>
        </is>
      </c>
      <c r="AU427" s="29" t="inlineStr">
        <is>
          <t>24504464</t>
        </is>
      </c>
      <c r="AV427" s="29" t="n">
        <v>1</v>
      </c>
      <c r="AW427" s="29" t="inlineStr">
        <is>
          <t>LIKELY_FINANCIAL_BY_NAME PARTIAL_DOC_CLASS_III_RECONCILED ROWS:p2r65</t>
        </is>
      </c>
    </row>
    <row r="428">
      <c r="A428" s="15" t="inlineStr">
        <is>
          <t>INTERBANK FUNDO DE INVESTIMENTO EM DIREITOS CREDITORIOS</t>
        </is>
      </c>
      <c r="B428" s="16" t="n">
        <v>273047.11</v>
      </c>
      <c r="C428" s="17" t="inlineStr">
        <is>
          <t>NORTESUL COMERCIAL AGRICOLA LTDA EM RECUPERACAO JUDICIAL</t>
        </is>
      </c>
      <c r="D428" s="18" t="inlineStr">
        <is>
          <t>NEW</t>
        </is>
      </c>
      <c r="E428" s="19" t="inlineStr"/>
      <c r="F428" s="18" t="inlineStr"/>
      <c r="G428" s="19" t="inlineStr"/>
      <c r="H428" s="18" t="inlineStr"/>
      <c r="I428" s="20" t="inlineStr"/>
      <c r="J428" s="20" t="inlineStr"/>
      <c r="K428" s="20" t="inlineStr">
        <is>
          <t>(11) 2827-3500</t>
        </is>
      </c>
      <c r="L428" s="20" t="inlineStr"/>
      <c r="M428" s="20" t="inlineStr"/>
      <c r="N428" s="20" t="inlineStr"/>
      <c r="O428" s="20" t="inlineStr"/>
      <c r="P428" s="20" t="inlineStr"/>
      <c r="Q428" s="20" t="inlineStr"/>
      <c r="R428" s="20" t="inlineStr"/>
      <c r="S428" s="20" t="inlineStr"/>
      <c r="T428" s="21" t="n">
        <v>273047.11</v>
      </c>
      <c r="U428" s="22" t="inlineStr">
        <is>
          <t>B</t>
        </is>
      </c>
      <c r="V428" s="23">
        <f>IFERROR(VLOOKUP(U428,Assumptions!$A$7:$D$11,2,FALSE),0)</f>
        <v/>
      </c>
      <c r="W428" s="24">
        <f>MAX(0.5,IFERROR(VLOOKUP(U428,Assumptions!$A$7:$D$11,3,FALSE),3)+IFERROR(VLOOKUP(U428,Assumptions!$A$7:$D$11,4,FALSE),8)/2-IF(AN428="",0,YEAR(TODAY())-AN428))</f>
        <v/>
      </c>
      <c r="X428" s="21">
        <f>T428*V428/(1+Assumptions!$B$3)^W428</f>
        <v/>
      </c>
      <c r="Y428" s="25">
        <f>IF(T428=0,"",ROUND(X428/T428*100,1))</f>
        <v/>
      </c>
      <c r="Z428" s="26">
        <f>X428*Assumptions!$B$4</f>
        <v/>
      </c>
      <c r="AA428" s="25">
        <f>IF(T428=0,"",ROUND(Z428/T428*100,1))</f>
        <v/>
      </c>
      <c r="AB428" s="26">
        <f>X428-Z428</f>
        <v/>
      </c>
      <c r="AC428" s="25">
        <f>IF(T428=0,"",ROUND((X428-Z428)/T428*100,1))</f>
        <v/>
      </c>
      <c r="AD428" s="27" t="inlineStr">
        <is>
          <t>ESTIMATED</t>
        </is>
      </c>
      <c r="AE428" s="28" t="inlineStr">
        <is>
          <t>https://lrflideres.com.br/wp-content/plugins/download-attachments/includes/download.php?id=6879</t>
        </is>
      </c>
      <c r="AF428" s="27" t="inlineStr">
        <is>
          <t>p2 r3</t>
        </is>
      </c>
      <c r="AG428" s="27" t="inlineStr">
        <is>
          <t>p2: R$ 273.047,11</t>
        </is>
      </c>
      <c r="AH428" s="27" t="inlineStr">
        <is>
          <t>AJ_LIST</t>
        </is>
      </c>
      <c r="AI428" s="27" t="inlineStr">
        <is>
          <t>2026-01-15</t>
        </is>
      </c>
      <c r="AJ428" s="27" t="inlineStr">
        <is>
          <t>OK</t>
        </is>
      </c>
      <c r="AK428" s="29" t="inlineStr">
        <is>
          <t>0804401-51.2025.8.14.0039</t>
        </is>
      </c>
      <c r="AL428" s="29" t="inlineStr">
        <is>
          <t>TJPA</t>
        </is>
      </c>
      <c r="AM428" s="29" t="inlineStr">
        <is>
          <t>ACTIVE</t>
        </is>
      </c>
      <c r="AN428" s="29" t="n">
        <v>2025</v>
      </c>
      <c r="AO428" s="29" t="inlineStr">
        <is>
          <t>live case, no plan document yet</t>
        </is>
      </c>
      <c r="AP428" s="29" t="inlineStr">
        <is>
          <t>SAO PAULO</t>
        </is>
      </c>
      <c r="AQ428" s="29" t="inlineStr">
        <is>
          <t>SP</t>
        </is>
      </c>
      <c r="AR428" s="29" t="inlineStr">
        <is>
          <t>Fundos de investimento, exceto previdenciários e imobiliários</t>
        </is>
      </c>
      <c r="AS428" s="29" t="inlineStr">
        <is>
          <t>DEMAIS</t>
        </is>
      </c>
      <c r="AT428" s="29" t="inlineStr">
        <is>
          <t>MID-MARKET</t>
        </is>
      </c>
      <c r="AU428" s="29" t="inlineStr">
        <is>
          <t>20791371</t>
        </is>
      </c>
      <c r="AV428" s="29" t="n">
        <v>1</v>
      </c>
      <c r="AW428" s="29" t="inlineStr">
        <is>
          <t>LIKELY_FINANCIAL_BY_NAME ROWS:p2r3</t>
        </is>
      </c>
    </row>
    <row r="429">
      <c r="A429" s="15" t="inlineStr">
        <is>
          <t>RAFAEL VERCELLI PARTICIPACOES LTDA</t>
        </is>
      </c>
      <c r="B429" s="16" t="n">
        <v>269991.1</v>
      </c>
      <c r="C429" s="17" t="inlineStr">
        <is>
          <t>BIGOLIN MATERIAIS DE CONSTRUCAO LTDA</t>
        </is>
      </c>
      <c r="D429" s="18" t="inlineStr">
        <is>
          <t>NEW</t>
        </is>
      </c>
      <c r="E429" s="19" t="inlineStr"/>
      <c r="F429" s="18" t="inlineStr"/>
      <c r="G429" s="19" t="inlineStr"/>
      <c r="H429" s="18" t="inlineStr"/>
      <c r="I429" s="20" t="inlineStr">
        <is>
          <t>RAFAEL VERCELLI</t>
        </is>
      </c>
      <c r="J429" s="20" t="inlineStr">
        <is>
          <t>Sócio-Administrador</t>
        </is>
      </c>
      <c r="K429" s="20" t="inlineStr">
        <is>
          <t>(11) 2365-1427</t>
        </is>
      </c>
      <c r="L429" s="20" t="inlineStr"/>
      <c r="M429" s="20" t="inlineStr"/>
      <c r="N429" s="20" t="inlineStr"/>
      <c r="O429" s="20" t="inlineStr"/>
      <c r="P429" s="20" t="inlineStr"/>
      <c r="Q429" s="20" t="inlineStr"/>
      <c r="R429" s="20" t="inlineStr"/>
      <c r="S429" s="20" t="inlineStr"/>
      <c r="T429" s="21" t="n">
        <v>269991.1</v>
      </c>
      <c r="U429" s="22" t="inlineStr">
        <is>
          <t>B</t>
        </is>
      </c>
      <c r="V429" s="23">
        <f>IFERROR(VLOOKUP(U429,Assumptions!$A$7:$D$11,2,FALSE),0)</f>
        <v/>
      </c>
      <c r="W429" s="24">
        <f>MAX(0.5,IFERROR(VLOOKUP(U429,Assumptions!$A$7:$D$11,3,FALSE),3)+IFERROR(VLOOKUP(U429,Assumptions!$A$7:$D$11,4,FALSE),8)/2-IF(AN429="",0,YEAR(TODAY())-AN429))</f>
        <v/>
      </c>
      <c r="X429" s="21">
        <f>T429*V429/(1+Assumptions!$B$3)^W429</f>
        <v/>
      </c>
      <c r="Y429" s="25">
        <f>IF(T429=0,"",ROUND(X429/T429*100,1))</f>
        <v/>
      </c>
      <c r="Z429" s="26">
        <f>X429*Assumptions!$B$4</f>
        <v/>
      </c>
      <c r="AA429" s="25">
        <f>IF(T429=0,"",ROUND(Z429/T429*100,1))</f>
        <v/>
      </c>
      <c r="AB429" s="26">
        <f>X429-Z429</f>
        <v/>
      </c>
      <c r="AC429" s="25">
        <f>IF(T429=0,"",ROUND((X429-Z429)/T429*100,1))</f>
        <v/>
      </c>
      <c r="AD429" s="27" t="inlineStr">
        <is>
          <t>ESTIMATED</t>
        </is>
      </c>
      <c r="AE429" s="28" t="inlineStr">
        <is>
          <t>https://ativosajce.com.br/admin/download.php?file=files/processo_documento/processo_documento16022716122025_1_.pdf&amp;nome=Relação de credores - art. 52, §1º da Lei 11.101/05 - 15/12/2025</t>
        </is>
      </c>
      <c r="AF429" s="27" t="inlineStr">
        <is>
          <t>p4 r20</t>
        </is>
      </c>
      <c r="AG429" s="27" t="inlineStr">
        <is>
          <t>p4: R$ 269.991,10</t>
        </is>
      </c>
      <c r="AH429" s="27" t="inlineStr">
        <is>
          <t>UNKNOWN</t>
        </is>
      </c>
      <c r="AI429" s="27" t="inlineStr"/>
      <c r="AJ429" s="27" t="inlineStr">
        <is>
          <t>OK_NO_TOTALS</t>
        </is>
      </c>
      <c r="AK429" s="29" t="inlineStr">
        <is>
          <t>4054599-35.2025.8.26.0100</t>
        </is>
      </c>
      <c r="AL429" s="29" t="inlineStr">
        <is>
          <t>TJSP</t>
        </is>
      </c>
      <c r="AM429" s="29" t="inlineStr">
        <is>
          <t>ACTIVE</t>
        </is>
      </c>
      <c r="AN429" s="29" t="n">
        <v>2025</v>
      </c>
      <c r="AO429" s="29" t="inlineStr">
        <is>
          <t>live case, no plan document yet</t>
        </is>
      </c>
      <c r="AP429" s="29" t="inlineStr">
        <is>
          <t>SAO PAULO</t>
        </is>
      </c>
      <c r="AQ429" s="29" t="inlineStr">
        <is>
          <t>SP</t>
        </is>
      </c>
      <c r="AR429" s="29" t="inlineStr">
        <is>
          <t>Outras sociedades de participação, exceto holdings</t>
        </is>
      </c>
      <c r="AS429" s="29" t="inlineStr">
        <is>
          <t>DEMAIS</t>
        </is>
      </c>
      <c r="AT429" s="29" t="inlineStr">
        <is>
          <t>MID-MARKET</t>
        </is>
      </c>
      <c r="AU429" s="29" t="inlineStr">
        <is>
          <t>51186412</t>
        </is>
      </c>
      <c r="AV429" s="29" t="n">
        <v>1</v>
      </c>
      <c r="AW429" s="29" t="inlineStr">
        <is>
          <t>ROWS:p4r20 UNRECONCILED_SOURCE</t>
        </is>
      </c>
    </row>
    <row r="430">
      <c r="A430" s="15" t="inlineStr">
        <is>
          <t>CAIXA ECONOMICA FEDERAL</t>
        </is>
      </c>
      <c r="B430" s="16" t="n">
        <v>1361785.37</v>
      </c>
      <c r="C430" s="17" t="inlineStr">
        <is>
          <t>MUNDO BIZARRO IMPORTACAO E EXPORTACAO LTDA FALIDO</t>
        </is>
      </c>
      <c r="D430" s="18" t="inlineStr">
        <is>
          <t>NEW</t>
        </is>
      </c>
      <c r="E430" s="19" t="inlineStr"/>
      <c r="F430" s="18" t="inlineStr"/>
      <c r="G430" s="19" t="inlineStr"/>
      <c r="H430" s="18" t="inlineStr"/>
      <c r="I430" s="20" t="inlineStr">
        <is>
          <t>ADRIANO ASSIS MATIAS</t>
        </is>
      </c>
      <c r="J430" s="20" t="inlineStr">
        <is>
          <t>Administrador</t>
        </is>
      </c>
      <c r="K430" s="20" t="inlineStr">
        <is>
          <t>(00) 4004-0104</t>
        </is>
      </c>
      <c r="L430" s="20" t="inlineStr"/>
      <c r="M430" s="20" t="inlineStr"/>
      <c r="N430" s="20" t="inlineStr"/>
      <c r="O430" s="20" t="inlineStr"/>
      <c r="P430" s="20" t="inlineStr">
        <is>
          <t>HENRIETE ALEXANDRA SARTORI BERNABE</t>
        </is>
      </c>
      <c r="Q430" s="20" t="inlineStr">
        <is>
          <t>Administrador</t>
        </is>
      </c>
      <c r="R430" s="20" t="inlineStr">
        <is>
          <t>(00) 4004-0104</t>
        </is>
      </c>
      <c r="S430" s="20" t="inlineStr"/>
      <c r="T430" s="21" t="n">
        <v>1361785.37</v>
      </c>
      <c r="U430" s="33" t="inlineStr">
        <is>
          <t>D</t>
        </is>
      </c>
      <c r="V430" s="23">
        <f>IFERROR(VLOOKUP(U430,Assumptions!$A$7:$D$11,2,FALSE),0)</f>
        <v/>
      </c>
      <c r="W430" s="24">
        <f>MAX(0.5,IFERROR(VLOOKUP(U430,Assumptions!$A$7:$D$11,3,FALSE),3)+IFERROR(VLOOKUP(U430,Assumptions!$A$7:$D$11,4,FALSE),8)/2-IF(AN430="",0,YEAR(TODAY())-AN430))</f>
        <v/>
      </c>
      <c r="X430" s="21">
        <f>T430*V430/(1+Assumptions!$B$3)^W430</f>
        <v/>
      </c>
      <c r="Y430" s="25">
        <f>IF(T430=0,"",ROUND(X430/T430*100,1))</f>
        <v/>
      </c>
      <c r="Z430" s="26">
        <f>X430*Assumptions!$B$4</f>
        <v/>
      </c>
      <c r="AA430" s="25">
        <f>IF(T430=0,"",ROUND(Z430/T430*100,1))</f>
        <v/>
      </c>
      <c r="AB430" s="26">
        <f>X430-Z430</f>
        <v/>
      </c>
      <c r="AC430" s="25">
        <f>IF(T430=0,"",ROUND((X430-Z430)/T430*100,1))</f>
        <v/>
      </c>
      <c r="AD430" s="27" t="inlineStr">
        <is>
          <t>UNKNOWN</t>
        </is>
      </c>
      <c r="AE430" s="28" t="inlineStr">
        <is>
          <t>https://administradorajudicialgs.com.br/wp-content/uploads/2024/10/relacao-de-credores-e-verificacao-de-credito-2025.pdf</t>
        </is>
      </c>
      <c r="AF430" s="27" t="inlineStr">
        <is>
          <t>p16 r4; p17 r3</t>
        </is>
      </c>
      <c r="AG430" s="27" t="inlineStr">
        <is>
          <t>p16: R$ 1.361.785,37; p17: R$ 1.361.785,37</t>
        </is>
      </c>
      <c r="AH430" s="27" t="inlineStr">
        <is>
          <t>AJ_LIST</t>
        </is>
      </c>
      <c r="AI430" s="27" t="inlineStr">
        <is>
          <t>2025-04-24</t>
        </is>
      </c>
      <c r="AJ430" s="27" t="inlineStr">
        <is>
          <t>OK_NO_TOTALS</t>
        </is>
      </c>
      <c r="AK430" s="29" t="inlineStr">
        <is>
          <t>5100227-29.2022.8.24.0023</t>
        </is>
      </c>
      <c r="AL430" s="29" t="inlineStr">
        <is>
          <t>TJ</t>
        </is>
      </c>
      <c r="AM430" s="29" t="inlineStr"/>
      <c r="AN430" s="29" t="n">
        <v>2022</v>
      </c>
      <c r="AO430" s="29" t="inlineStr">
        <is>
          <t>debtor not ATIVA at RFB (04)</t>
        </is>
      </c>
      <c r="AP430" s="29" t="inlineStr">
        <is>
          <t>BRASILIA</t>
        </is>
      </c>
      <c r="AQ430" s="29" t="inlineStr">
        <is>
          <t>DF</t>
        </is>
      </c>
      <c r="AR430" s="29" t="inlineStr">
        <is>
          <t>Caixas econômicas</t>
        </is>
      </c>
      <c r="AS430" s="29" t="inlineStr">
        <is>
          <t>DEMAIS</t>
        </is>
      </c>
      <c r="AT430" s="29" t="inlineStr">
        <is>
          <t>LARGE CORP</t>
        </is>
      </c>
      <c r="AU430" s="29" t="inlineStr">
        <is>
          <t>00360305</t>
        </is>
      </c>
      <c r="AV430" s="29" t="n">
        <v>1</v>
      </c>
      <c r="AW430" s="29" t="inlineStr">
        <is>
          <t>ROWS:p16r4 UNRECONCILED_SOURCE</t>
        </is>
      </c>
    </row>
    <row r="431">
      <c r="A431" s="15" t="inlineStr">
        <is>
          <t>LOURENCO MALULY PARTICIPACOES LTDA</t>
        </is>
      </c>
      <c r="B431" s="16" t="n">
        <v>258139.2</v>
      </c>
      <c r="C431" s="17" t="inlineStr">
        <is>
          <t>BIGOLIN MATERIAIS DE CONSTRUCAO LTDA</t>
        </is>
      </c>
      <c r="D431" s="18" t="inlineStr">
        <is>
          <t>NEW</t>
        </is>
      </c>
      <c r="E431" s="19" t="inlineStr"/>
      <c r="F431" s="18" t="inlineStr"/>
      <c r="G431" s="19" t="inlineStr"/>
      <c r="H431" s="18" t="inlineStr"/>
      <c r="I431" s="20" t="inlineStr">
        <is>
          <t>LOURENCO MALULY CARDOSO</t>
        </is>
      </c>
      <c r="J431" s="20" t="inlineStr">
        <is>
          <t>Sócio-Administrador</t>
        </is>
      </c>
      <c r="K431" s="20" t="inlineStr">
        <is>
          <t>(11) 2365-1427</t>
        </is>
      </c>
      <c r="L431" s="20" t="inlineStr"/>
      <c r="M431" s="20" t="inlineStr"/>
      <c r="N431" s="20" t="inlineStr"/>
      <c r="O431" s="20" t="inlineStr"/>
      <c r="P431" s="20" t="inlineStr"/>
      <c r="Q431" s="20" t="inlineStr"/>
      <c r="R431" s="20" t="inlineStr"/>
      <c r="S431" s="20" t="inlineStr"/>
      <c r="T431" s="21" t="n">
        <v>258139.2</v>
      </c>
      <c r="U431" s="22" t="inlineStr">
        <is>
          <t>B</t>
        </is>
      </c>
      <c r="V431" s="23">
        <f>IFERROR(VLOOKUP(U431,Assumptions!$A$7:$D$11,2,FALSE),0)</f>
        <v/>
      </c>
      <c r="W431" s="24">
        <f>MAX(0.5,IFERROR(VLOOKUP(U431,Assumptions!$A$7:$D$11,3,FALSE),3)+IFERROR(VLOOKUP(U431,Assumptions!$A$7:$D$11,4,FALSE),8)/2-IF(AN431="",0,YEAR(TODAY())-AN431))</f>
        <v/>
      </c>
      <c r="X431" s="21">
        <f>T431*V431/(1+Assumptions!$B$3)^W431</f>
        <v/>
      </c>
      <c r="Y431" s="25">
        <f>IF(T431=0,"",ROUND(X431/T431*100,1))</f>
        <v/>
      </c>
      <c r="Z431" s="26">
        <f>X431*Assumptions!$B$4</f>
        <v/>
      </c>
      <c r="AA431" s="25">
        <f>IF(T431=0,"",ROUND(Z431/T431*100,1))</f>
        <v/>
      </c>
      <c r="AB431" s="26">
        <f>X431-Z431</f>
        <v/>
      </c>
      <c r="AC431" s="25">
        <f>IF(T431=0,"",ROUND((X431-Z431)/T431*100,1))</f>
        <v/>
      </c>
      <c r="AD431" s="27" t="inlineStr">
        <is>
          <t>ESTIMATED</t>
        </is>
      </c>
      <c r="AE431" s="28" t="inlineStr">
        <is>
          <t>https://ativosajce.com.br/admin/download.php?file=files/processo_documento/processo_documento16022716122025_1_.pdf&amp;nome=Relação de credores - art. 52, §1º da Lei 11.101/05 - 15/12/2025</t>
        </is>
      </c>
      <c r="AF431" s="27" t="inlineStr">
        <is>
          <t>p3 r49</t>
        </is>
      </c>
      <c r="AG431" s="27" t="inlineStr">
        <is>
          <t>p3: R$ 258.139,20</t>
        </is>
      </c>
      <c r="AH431" s="27" t="inlineStr">
        <is>
          <t>UNKNOWN</t>
        </is>
      </c>
      <c r="AI431" s="27" t="inlineStr"/>
      <c r="AJ431" s="27" t="inlineStr">
        <is>
          <t>OK_NO_TOTALS</t>
        </is>
      </c>
      <c r="AK431" s="29" t="inlineStr">
        <is>
          <t>4054599-35.2025.8.26.0100</t>
        </is>
      </c>
      <c r="AL431" s="29" t="inlineStr">
        <is>
          <t>TJSP</t>
        </is>
      </c>
      <c r="AM431" s="29" t="inlineStr">
        <is>
          <t>ACTIVE</t>
        </is>
      </c>
      <c r="AN431" s="29" t="n">
        <v>2025</v>
      </c>
      <c r="AO431" s="29" t="inlineStr">
        <is>
          <t>live case, no plan document yet</t>
        </is>
      </c>
      <c r="AP431" s="29" t="inlineStr">
        <is>
          <t>SAO PAULO</t>
        </is>
      </c>
      <c r="AQ431" s="29" t="inlineStr">
        <is>
          <t>SP</t>
        </is>
      </c>
      <c r="AR431" s="29" t="inlineStr">
        <is>
          <t>Outras sociedades de participação, exceto holdings</t>
        </is>
      </c>
      <c r="AS431" s="29" t="inlineStr">
        <is>
          <t>DEMAIS</t>
        </is>
      </c>
      <c r="AT431" s="29" t="inlineStr">
        <is>
          <t>MID-MARKET</t>
        </is>
      </c>
      <c r="AU431" s="29" t="inlineStr">
        <is>
          <t>51473709</t>
        </is>
      </c>
      <c r="AV431" s="29" t="n">
        <v>1</v>
      </c>
      <c r="AW431" s="29" t="inlineStr">
        <is>
          <t>ROWS:p3r49 UNRECONCILED_SOURCE</t>
        </is>
      </c>
    </row>
    <row r="432">
      <c r="A432" s="15" t="inlineStr">
        <is>
          <t>BFC FUNDO DE INVESTIMENTO EM DIREITOS CREDITORIOS</t>
        </is>
      </c>
      <c r="B432" s="16" t="n">
        <v>203934.56</v>
      </c>
      <c r="C432" s="17" t="inlineStr">
        <is>
          <t>DIVINA INDUSTRIA DE COURO LTDA - EM RECUPERACAO JUDICIAL</t>
        </is>
      </c>
      <c r="D432" s="18" t="inlineStr">
        <is>
          <t>NEW</t>
        </is>
      </c>
      <c r="E432" s="19" t="inlineStr"/>
      <c r="F432" s="18" t="inlineStr"/>
      <c r="G432" s="19" t="inlineStr"/>
      <c r="H432" s="18" t="inlineStr"/>
      <c r="I432" s="20" t="inlineStr"/>
      <c r="J432" s="20" t="inlineStr"/>
      <c r="K432" s="20" t="inlineStr">
        <is>
          <t>(11) 2827-3500</t>
        </is>
      </c>
      <c r="L432" s="20" t="inlineStr"/>
      <c r="M432" s="20" t="inlineStr"/>
      <c r="N432" s="20" t="inlineStr"/>
      <c r="O432" s="20" t="inlineStr"/>
      <c r="P432" s="20" t="inlineStr"/>
      <c r="Q432" s="20" t="inlineStr"/>
      <c r="R432" s="20" t="inlineStr"/>
      <c r="S432" s="20" t="inlineStr"/>
      <c r="T432" s="21" t="n">
        <v>203934.56</v>
      </c>
      <c r="U432" s="22" t="inlineStr">
        <is>
          <t>B</t>
        </is>
      </c>
      <c r="V432" s="23">
        <f>IFERROR(VLOOKUP(U432,Assumptions!$A$7:$D$11,2,FALSE),0)</f>
        <v/>
      </c>
      <c r="W432" s="24">
        <f>MAX(0.5,IFERROR(VLOOKUP(U432,Assumptions!$A$7:$D$11,3,FALSE),3)+IFERROR(VLOOKUP(U432,Assumptions!$A$7:$D$11,4,FALSE),8)/2-IF(AN432="",0,YEAR(TODAY())-AN432))</f>
        <v/>
      </c>
      <c r="X432" s="21">
        <f>T432*V432/(1+Assumptions!$B$3)^W432</f>
        <v/>
      </c>
      <c r="Y432" s="25">
        <f>IF(T432=0,"",ROUND(X432/T432*100,1))</f>
        <v/>
      </c>
      <c r="Z432" s="26">
        <f>X432*Assumptions!$B$4</f>
        <v/>
      </c>
      <c r="AA432" s="25">
        <f>IF(T432=0,"",ROUND(Z432/T432*100,1))</f>
        <v/>
      </c>
      <c r="AB432" s="26">
        <f>X432-Z432</f>
        <v/>
      </c>
      <c r="AC432" s="25">
        <f>IF(T432=0,"",ROUND((X432-Z432)/T432*100,1))</f>
        <v/>
      </c>
      <c r="AD432" s="27" t="inlineStr">
        <is>
          <t>ESTIMATED</t>
        </is>
      </c>
      <c r="AE432" s="28" t="inlineStr">
        <is>
          <t>https://lrflideres.com.br/wp-content/plugins/download-attachments/includes/download.php?id=6252</t>
        </is>
      </c>
      <c r="AF432" s="27" t="inlineStr">
        <is>
          <t>p2 r19</t>
        </is>
      </c>
      <c r="AG432" s="27" t="inlineStr">
        <is>
          <t>p2: R$ 203.934,56</t>
        </is>
      </c>
      <c r="AH432" s="27" t="inlineStr">
        <is>
          <t>AJ_LIST</t>
        </is>
      </c>
      <c r="AI432" s="27" t="inlineStr">
        <is>
          <t>2024-11-27</t>
        </is>
      </c>
      <c r="AJ432" s="27" t="inlineStr">
        <is>
          <t>QUARANTINED</t>
        </is>
      </c>
      <c r="AK432" s="29" t="inlineStr">
        <is>
          <t>0000721-61.2024.8.17.2620</t>
        </is>
      </c>
      <c r="AL432" s="29" t="inlineStr">
        <is>
          <t>TJPE</t>
        </is>
      </c>
      <c r="AM432" s="29" t="inlineStr">
        <is>
          <t>ACTIVE</t>
        </is>
      </c>
      <c r="AN432" s="29" t="n">
        <v>2024</v>
      </c>
      <c r="AO432" s="29" t="inlineStr">
        <is>
          <t>live case, no plan document yet</t>
        </is>
      </c>
      <c r="AP432" s="29" t="inlineStr">
        <is>
          <t>SAO PAULO</t>
        </is>
      </c>
      <c r="AQ432" s="29" t="inlineStr">
        <is>
          <t>SP</t>
        </is>
      </c>
      <c r="AR432" s="29" t="inlineStr">
        <is>
          <t>Fundos de investimento, exceto previdenciários e imobiliários</t>
        </is>
      </c>
      <c r="AS432" s="29" t="inlineStr">
        <is>
          <t>DEMAIS</t>
        </is>
      </c>
      <c r="AT432" s="29" t="inlineStr">
        <is>
          <t>MID-MARKET</t>
        </is>
      </c>
      <c r="AU432" s="29" t="inlineStr">
        <is>
          <t>11507489</t>
        </is>
      </c>
      <c r="AV432" s="29" t="n">
        <v>1</v>
      </c>
      <c r="AW432" s="29" t="inlineStr">
        <is>
          <t>LIKELY_FINANCIAL_BY_NAME PARTIAL_DOC_CLASS_III_RECONCILED ROWS:p2r19</t>
        </is>
      </c>
    </row>
    <row r="433">
      <c r="A433" s="15" t="inlineStr">
        <is>
          <t>RED - FUNDO DE INVESTIMENTO EM DIREITOS CREDITORIOS MULTISETORIAL LP (</t>
        </is>
      </c>
      <c r="B433" s="16" t="n">
        <v>325723.67</v>
      </c>
      <c r="C433" s="17" t="inlineStr">
        <is>
          <t>VECTOR INDUSTRIA DE PRODUTOS METALURGICOS LTDA - EM RECUPERACAO JUDICIAL</t>
        </is>
      </c>
      <c r="D433" s="18" t="inlineStr">
        <is>
          <t>NEW</t>
        </is>
      </c>
      <c r="E433" s="19" t="inlineStr"/>
      <c r="F433" s="18" t="inlineStr"/>
      <c r="G433" s="19" t="inlineStr"/>
      <c r="H433" s="18" t="inlineStr"/>
      <c r="I433" s="20" t="inlineStr"/>
      <c r="J433" s="20" t="inlineStr"/>
      <c r="K433" s="20" t="inlineStr"/>
      <c r="L433" s="20" t="inlineStr"/>
      <c r="M433" s="20" t="inlineStr"/>
      <c r="N433" s="20" t="inlineStr"/>
      <c r="O433" s="20" t="inlineStr"/>
      <c r="P433" s="20" t="inlineStr"/>
      <c r="Q433" s="20" t="inlineStr"/>
      <c r="R433" s="20" t="inlineStr"/>
      <c r="S433" s="20" t="inlineStr"/>
      <c r="T433" s="21" t="n">
        <v>325723.67</v>
      </c>
      <c r="U433" s="31" t="inlineStr">
        <is>
          <t>C</t>
        </is>
      </c>
      <c r="V433" s="23">
        <f>IFERROR(VLOOKUP(U433,Assumptions!$A$7:$D$11,2,FALSE),0)</f>
        <v/>
      </c>
      <c r="W433" s="24">
        <f>MAX(0.5,IFERROR(VLOOKUP(U433,Assumptions!$A$7:$D$11,3,FALSE),3)+IFERROR(VLOOKUP(U433,Assumptions!$A$7:$D$11,4,FALSE),8)/2-IF(AN433="",0,YEAR(TODAY())-AN433))</f>
        <v/>
      </c>
      <c r="X433" s="21">
        <f>T433*V433/(1+Assumptions!$B$3)^W433</f>
        <v/>
      </c>
      <c r="Y433" s="25">
        <f>IF(T433=0,"",ROUND(X433/T433*100,1))</f>
        <v/>
      </c>
      <c r="Z433" s="26">
        <f>X433*Assumptions!$B$4</f>
        <v/>
      </c>
      <c r="AA433" s="25">
        <f>IF(T433=0,"",ROUND(Z433/T433*100,1))</f>
        <v/>
      </c>
      <c r="AB433" s="26">
        <f>X433-Z433</f>
        <v/>
      </c>
      <c r="AC433" s="25">
        <f>IF(T433=0,"",ROUND((X433-Z433)/T433*100,1))</f>
        <v/>
      </c>
      <c r="AD433" s="27" t="inlineStr">
        <is>
          <t>ESTIMATED</t>
        </is>
      </c>
      <c r="AE433" s="28" t="inlineStr">
        <is>
          <t>https://scalzilliaj.com.br/sgc/download.php?file=files/processo_documento/processo_documento15513401112022_1_.pdf&amp;nome=15 - Edital do art. 7º, §2º (segunda lista de credores) e do art. 53 da Lei 11.101/2005 (recebimento do plano)</t>
        </is>
      </c>
      <c r="AF433" s="27" t="inlineStr">
        <is>
          <t>p9 r13</t>
        </is>
      </c>
      <c r="AG433" s="27" t="inlineStr">
        <is>
          <t>p9: R$ 325.723,67</t>
        </is>
      </c>
      <c r="AH433" s="27" t="inlineStr">
        <is>
          <t>AJ_LIST</t>
        </is>
      </c>
      <c r="AI433" s="27" t="inlineStr">
        <is>
          <t>2022-11-01</t>
        </is>
      </c>
      <c r="AJ433" s="27" t="inlineStr">
        <is>
          <t>OK_NO_TOTALS</t>
        </is>
      </c>
      <c r="AK433" s="29" t="inlineStr">
        <is>
          <t>5014104-85.2021.8.21.0010</t>
        </is>
      </c>
      <c r="AL433" s="29" t="inlineStr">
        <is>
          <t>TJRS</t>
        </is>
      </c>
      <c r="AM433" s="29" t="inlineStr">
        <is>
          <t>ACTIVE</t>
        </is>
      </c>
      <c r="AN433" s="29" t="n">
        <v>2021</v>
      </c>
      <c r="AO433" s="29" t="inlineStr">
        <is>
          <t>5y since filing, no plan document</t>
        </is>
      </c>
      <c r="AP433" s="29" t="inlineStr"/>
      <c r="AQ433" s="29" t="inlineStr"/>
      <c r="AR433" s="29" t="inlineStr"/>
      <c r="AS433" s="29" t="inlineStr"/>
      <c r="AT433" s="29" t="inlineStr">
        <is>
          <t>MID-MARKET</t>
        </is>
      </c>
      <c r="AU433" s="29" t="inlineStr">
        <is>
          <t>08632394</t>
        </is>
      </c>
      <c r="AV433" s="29" t="n">
        <v>1</v>
      </c>
      <c r="AW433" s="29" t="inlineStr">
        <is>
          <t>LIKELY_FINANCIAL_BY_NAME ROWS:p9r13 UNRECONCILED_SOURCE</t>
        </is>
      </c>
    </row>
    <row r="434">
      <c r="A434" s="15" t="inlineStr">
        <is>
          <t>PRAJA SECURITIZADORA DE CREDITOS S.A.</t>
        </is>
      </c>
      <c r="B434" s="16" t="n">
        <v>249652.14</v>
      </c>
      <c r="C434" s="17" t="inlineStr">
        <is>
          <t>BIGOLIN MATERIAIS DE CONSTRUCAO LTDA</t>
        </is>
      </c>
      <c r="D434" s="18" t="inlineStr">
        <is>
          <t>NEW</t>
        </is>
      </c>
      <c r="E434" s="19" t="inlineStr"/>
      <c r="F434" s="18" t="inlineStr"/>
      <c r="G434" s="19" t="inlineStr"/>
      <c r="H434" s="18" t="inlineStr"/>
      <c r="I434" s="20" t="inlineStr">
        <is>
          <t>RICARDO ARANTES COTRIM</t>
        </is>
      </c>
      <c r="J434" s="20" t="inlineStr">
        <is>
          <t>Diretor</t>
        </is>
      </c>
      <c r="K434" s="20" t="inlineStr">
        <is>
          <t>(11) 1090-0375</t>
        </is>
      </c>
      <c r="L434" s="20" t="inlineStr"/>
      <c r="M434" s="20" t="inlineStr"/>
      <c r="N434" s="20" t="inlineStr"/>
      <c r="O434" s="20" t="inlineStr"/>
      <c r="P434" s="20" t="inlineStr"/>
      <c r="Q434" s="20" t="inlineStr"/>
      <c r="R434" s="20" t="inlineStr"/>
      <c r="S434" s="20" t="inlineStr"/>
      <c r="T434" s="21" t="n">
        <v>249652.14</v>
      </c>
      <c r="U434" s="22" t="inlineStr">
        <is>
          <t>B</t>
        </is>
      </c>
      <c r="V434" s="23">
        <f>IFERROR(VLOOKUP(U434,Assumptions!$A$7:$D$11,2,FALSE),0)</f>
        <v/>
      </c>
      <c r="W434" s="24">
        <f>MAX(0.5,IFERROR(VLOOKUP(U434,Assumptions!$A$7:$D$11,3,FALSE),3)+IFERROR(VLOOKUP(U434,Assumptions!$A$7:$D$11,4,FALSE),8)/2-IF(AN434="",0,YEAR(TODAY())-AN434))</f>
        <v/>
      </c>
      <c r="X434" s="21">
        <f>T434*V434/(1+Assumptions!$B$3)^W434</f>
        <v/>
      </c>
      <c r="Y434" s="25">
        <f>IF(T434=0,"",ROUND(X434/T434*100,1))</f>
        <v/>
      </c>
      <c r="Z434" s="26">
        <f>X434*Assumptions!$B$4</f>
        <v/>
      </c>
      <c r="AA434" s="25">
        <f>IF(T434=0,"",ROUND(Z434/T434*100,1))</f>
        <v/>
      </c>
      <c r="AB434" s="26">
        <f>X434-Z434</f>
        <v/>
      </c>
      <c r="AC434" s="25">
        <f>IF(T434=0,"",ROUND((X434-Z434)/T434*100,1))</f>
        <v/>
      </c>
      <c r="AD434" s="27" t="inlineStr">
        <is>
          <t>ESTIMATED</t>
        </is>
      </c>
      <c r="AE434" s="28" t="inlineStr">
        <is>
          <t>https://ativosajce.com.br/admin/download.php?file=files/processo_documento/processo_documento16022716122025_1_.pdf&amp;nome=Relação de credores - art. 52, §1º da Lei 11.101/05 - 15/12/2025</t>
        </is>
      </c>
      <c r="AF434" s="27" t="inlineStr">
        <is>
          <t>p4 r11</t>
        </is>
      </c>
      <c r="AG434" s="27" t="inlineStr">
        <is>
          <t>p4: R$ 249.652,14</t>
        </is>
      </c>
      <c r="AH434" s="27" t="inlineStr">
        <is>
          <t>UNKNOWN</t>
        </is>
      </c>
      <c r="AI434" s="27" t="inlineStr"/>
      <c r="AJ434" s="27" t="inlineStr">
        <is>
          <t>OK_NO_TOTALS</t>
        </is>
      </c>
      <c r="AK434" s="29" t="inlineStr">
        <is>
          <t>4054599-35.2025.8.26.0100</t>
        </is>
      </c>
      <c r="AL434" s="29" t="inlineStr">
        <is>
          <t>TJSP</t>
        </is>
      </c>
      <c r="AM434" s="29" t="inlineStr">
        <is>
          <t>ACTIVE</t>
        </is>
      </c>
      <c r="AN434" s="29" t="n">
        <v>2025</v>
      </c>
      <c r="AO434" s="29" t="inlineStr">
        <is>
          <t>live case, no plan document yet</t>
        </is>
      </c>
      <c r="AP434" s="29" t="inlineStr">
        <is>
          <t>SAO PAULO</t>
        </is>
      </c>
      <c r="AQ434" s="29" t="inlineStr">
        <is>
          <t>SP</t>
        </is>
      </c>
      <c r="AR434" s="29" t="inlineStr">
        <is>
          <t>Securitização de créditos</t>
        </is>
      </c>
      <c r="AS434" s="29" t="inlineStr">
        <is>
          <t>DEMAIS</t>
        </is>
      </c>
      <c r="AT434" s="29" t="inlineStr">
        <is>
          <t>MID-MARKET</t>
        </is>
      </c>
      <c r="AU434" s="29" t="inlineStr">
        <is>
          <t>36213950</t>
        </is>
      </c>
      <c r="AV434" s="29" t="n">
        <v>1</v>
      </c>
      <c r="AW434" s="29" t="inlineStr">
        <is>
          <t>ROWS:p4r11 UNRECONCILED_SOURCE</t>
        </is>
      </c>
    </row>
    <row r="435">
      <c r="A435" s="15" t="inlineStr">
        <is>
          <t>BANCO BRADESCO S.A.</t>
        </is>
      </c>
      <c r="B435" s="16" t="n">
        <v>1263147.26</v>
      </c>
      <c r="C435" s="17" t="inlineStr">
        <is>
          <t>MUNDO BIZARRO IMPORTACAO E EXPORTACAO LTDA FALIDO</t>
        </is>
      </c>
      <c r="D435" s="18" t="inlineStr">
        <is>
          <t>NEW</t>
        </is>
      </c>
      <c r="E435" s="19" t="inlineStr"/>
      <c r="F435" s="18" t="inlineStr"/>
      <c r="G435" s="19" t="inlineStr"/>
      <c r="H435" s="18" t="inlineStr"/>
      <c r="I435" s="20" t="inlineStr">
        <is>
          <t>MARCELO DE ARAUJO NORONHA</t>
        </is>
      </c>
      <c r="J435" s="20" t="inlineStr">
        <is>
          <t>Presidente</t>
        </is>
      </c>
      <c r="K435" s="20" t="inlineStr">
        <is>
          <t>(11) 3684-5122</t>
        </is>
      </c>
      <c r="L435" s="20" t="inlineStr"/>
      <c r="M435" s="20" t="inlineStr"/>
      <c r="N435" s="20" t="inlineStr"/>
      <c r="O435" s="20" t="inlineStr"/>
      <c r="P435" s="20" t="inlineStr">
        <is>
          <t>AFRANIO CARLOS CAMARGO DANTZGER</t>
        </is>
      </c>
      <c r="Q435" s="20" t="inlineStr">
        <is>
          <t>Diretor</t>
        </is>
      </c>
      <c r="R435" s="20" t="inlineStr">
        <is>
          <t>(11) 3684-5122</t>
        </is>
      </c>
      <c r="S435" s="20" t="inlineStr"/>
      <c r="T435" s="21" t="n">
        <v>1263147.26</v>
      </c>
      <c r="U435" s="33" t="inlineStr">
        <is>
          <t>D</t>
        </is>
      </c>
      <c r="V435" s="23">
        <f>IFERROR(VLOOKUP(U435,Assumptions!$A$7:$D$11,2,FALSE),0)</f>
        <v/>
      </c>
      <c r="W435" s="24">
        <f>MAX(0.5,IFERROR(VLOOKUP(U435,Assumptions!$A$7:$D$11,3,FALSE),3)+IFERROR(VLOOKUP(U435,Assumptions!$A$7:$D$11,4,FALSE),8)/2-IF(AN435="",0,YEAR(TODAY())-AN435))</f>
        <v/>
      </c>
      <c r="X435" s="21">
        <f>T435*V435/(1+Assumptions!$B$3)^W435</f>
        <v/>
      </c>
      <c r="Y435" s="25">
        <f>IF(T435=0,"",ROUND(X435/T435*100,1))</f>
        <v/>
      </c>
      <c r="Z435" s="26">
        <f>X435*Assumptions!$B$4</f>
        <v/>
      </c>
      <c r="AA435" s="25">
        <f>IF(T435=0,"",ROUND(Z435/T435*100,1))</f>
        <v/>
      </c>
      <c r="AB435" s="26">
        <f>X435-Z435</f>
        <v/>
      </c>
      <c r="AC435" s="25">
        <f>IF(T435=0,"",ROUND((X435-Z435)/T435*100,1))</f>
        <v/>
      </c>
      <c r="AD435" s="27" t="inlineStr">
        <is>
          <t>UNKNOWN</t>
        </is>
      </c>
      <c r="AE435" s="28" t="inlineStr">
        <is>
          <t>https://administradorajudicialgs.com.br/wp-content/uploads/2024/10/relacao-de-credores-e-verificacao-de-credito-2025.pdf</t>
        </is>
      </c>
      <c r="AF435" s="27" t="inlineStr">
        <is>
          <t>p16 r1; p17 r1</t>
        </is>
      </c>
      <c r="AG435" s="27" t="inlineStr">
        <is>
          <t>p16: R$ 1.263.147,26; p17: R$ None</t>
        </is>
      </c>
      <c r="AH435" s="27" t="inlineStr">
        <is>
          <t>AJ_LIST</t>
        </is>
      </c>
      <c r="AI435" s="27" t="inlineStr">
        <is>
          <t>2025-04-24</t>
        </is>
      </c>
      <c r="AJ435" s="27" t="inlineStr">
        <is>
          <t>OK_NO_TOTALS</t>
        </is>
      </c>
      <c r="AK435" s="29" t="inlineStr">
        <is>
          <t>5100227-29.2022.8.24.0023</t>
        </is>
      </c>
      <c r="AL435" s="29" t="inlineStr">
        <is>
          <t>TJ</t>
        </is>
      </c>
      <c r="AM435" s="29" t="inlineStr"/>
      <c r="AN435" s="29" t="n">
        <v>2022</v>
      </c>
      <c r="AO435" s="29" t="inlineStr">
        <is>
          <t>debtor not ATIVA at RFB (04)</t>
        </is>
      </c>
      <c r="AP435" s="29" t="inlineStr">
        <is>
          <t>OSASCO</t>
        </is>
      </c>
      <c r="AQ435" s="29" t="inlineStr">
        <is>
          <t>SP</t>
        </is>
      </c>
      <c r="AR435" s="29" t="inlineStr">
        <is>
          <t>Bancos múltiplos, com carteira comercial</t>
        </is>
      </c>
      <c r="AS435" s="29" t="inlineStr">
        <is>
          <t>DEMAIS</t>
        </is>
      </c>
      <c r="AT435" s="29" t="inlineStr">
        <is>
          <t>LARGE CORP</t>
        </is>
      </c>
      <c r="AU435" s="29" t="inlineStr">
        <is>
          <t>60746948</t>
        </is>
      </c>
      <c r="AV435" s="29" t="n">
        <v>1</v>
      </c>
      <c r="AW435" s="29" t="inlineStr">
        <is>
          <t>ROWS:p16r1 UNRECONCILED_SOURCE</t>
        </is>
      </c>
    </row>
    <row r="436">
      <c r="A436" s="15" t="inlineStr">
        <is>
          <t>BANCO DE LAGE LANDEN BRASIL S.A</t>
        </is>
      </c>
      <c r="B436" s="16" t="n">
        <v>302609.01</v>
      </c>
      <c r="C436" s="17" t="inlineStr">
        <is>
          <t>DIAGSON DIAGNOSTICO EM ULTRA SONOGRAFIA MED FETAL LTDA - EM RECUPERACAO JUDICIAL</t>
        </is>
      </c>
      <c r="D436" s="18" t="inlineStr">
        <is>
          <t>NEW</t>
        </is>
      </c>
      <c r="E436" s="19" t="inlineStr"/>
      <c r="F436" s="18" t="inlineStr"/>
      <c r="G436" s="19" t="inlineStr"/>
      <c r="H436" s="18" t="inlineStr"/>
      <c r="I436" s="20" t="inlineStr"/>
      <c r="J436" s="20" t="inlineStr"/>
      <c r="K436" s="20" t="inlineStr"/>
      <c r="L436" s="20" t="inlineStr"/>
      <c r="M436" s="20" t="inlineStr"/>
      <c r="N436" s="20" t="inlineStr"/>
      <c r="O436" s="20" t="inlineStr"/>
      <c r="P436" s="20" t="inlineStr"/>
      <c r="Q436" s="20" t="inlineStr"/>
      <c r="R436" s="20" t="inlineStr"/>
      <c r="S436" s="20" t="inlineStr"/>
      <c r="T436" s="21" t="n">
        <v>302609.01</v>
      </c>
      <c r="U436" s="22" t="inlineStr">
        <is>
          <t>B</t>
        </is>
      </c>
      <c r="V436" s="23">
        <f>IFERROR(VLOOKUP(U436,Assumptions!$A$7:$D$11,2,FALSE),0)</f>
        <v/>
      </c>
      <c r="W436" s="24">
        <f>MAX(0.5,IFERROR(VLOOKUP(U436,Assumptions!$A$7:$D$11,3,FALSE),3)+IFERROR(VLOOKUP(U436,Assumptions!$A$7:$D$11,4,FALSE),8)/2-IF(AN436="",0,YEAR(TODAY())-AN436))</f>
        <v/>
      </c>
      <c r="X436" s="21">
        <f>T436*V436/(1+Assumptions!$B$3)^W436</f>
        <v/>
      </c>
      <c r="Y436" s="25">
        <f>IF(T436=0,"",ROUND(X436/T436*100,1))</f>
        <v/>
      </c>
      <c r="Z436" s="26">
        <f>X436*Assumptions!$B$4</f>
        <v/>
      </c>
      <c r="AA436" s="25">
        <f>IF(T436=0,"",ROUND(Z436/T436*100,1))</f>
        <v/>
      </c>
      <c r="AB436" s="26">
        <f>X436-Z436</f>
        <v/>
      </c>
      <c r="AC436" s="25">
        <f>IF(T436=0,"",ROUND((X436-Z436)/T436*100,1))</f>
        <v/>
      </c>
      <c r="AD436" s="27" t="inlineStr">
        <is>
          <t>ESTIMATED</t>
        </is>
      </c>
      <c r="AE436" s="28" t="inlineStr">
        <is>
          <t>https://lrflideres.com.br/wp-content/plugins/download-attachments/includes/download.php?id=7418</t>
        </is>
      </c>
      <c r="AF436" s="27" t="inlineStr">
        <is>
          <t>p2 r39</t>
        </is>
      </c>
      <c r="AG436" s="27" t="inlineStr">
        <is>
          <t>p2: R$ 302.609,01</t>
        </is>
      </c>
      <c r="AH436" s="27" t="inlineStr">
        <is>
          <t>DEBTOR_LIST</t>
        </is>
      </c>
      <c r="AI436" s="27" t="inlineStr">
        <is>
          <t>2026-07-28</t>
        </is>
      </c>
      <c r="AJ436" s="27" t="inlineStr">
        <is>
          <t>QUARANTINED</t>
        </is>
      </c>
      <c r="AK436" s="29" t="inlineStr">
        <is>
          <t>0822279-56.2026.8.15.2001</t>
        </is>
      </c>
      <c r="AL436" s="29" t="inlineStr">
        <is>
          <t>TJPB</t>
        </is>
      </c>
      <c r="AM436" s="29" t="inlineStr">
        <is>
          <t>ACTIVE</t>
        </is>
      </c>
      <c r="AN436" s="29" t="n">
        <v>2026</v>
      </c>
      <c r="AO436" s="29" t="inlineStr">
        <is>
          <t>live case, no plan document yet</t>
        </is>
      </c>
      <c r="AP436" s="29" t="inlineStr"/>
      <c r="AQ436" s="29" t="inlineStr"/>
      <c r="AR436" s="29" t="inlineStr"/>
      <c r="AS436" s="29" t="inlineStr"/>
      <c r="AT436" s="29" t="inlineStr">
        <is>
          <t>MID-MARKET</t>
        </is>
      </c>
      <c r="AU436" s="29" t="inlineStr">
        <is>
          <t>05040481</t>
        </is>
      </c>
      <c r="AV436" s="29" t="n">
        <v>1</v>
      </c>
      <c r="AW436" s="29" t="inlineStr">
        <is>
          <t>LIKELY_FINANCIAL_BY_NAME PARTIAL_DOC_CLASS_III_RECONCILED ROWS:p2r39</t>
        </is>
      </c>
    </row>
    <row r="437">
      <c r="A437" s="15" t="inlineStr">
        <is>
          <t>YELUM SEGUROS S.A</t>
        </is>
      </c>
      <c r="B437" s="16" t="n">
        <v>246954.81</v>
      </c>
      <c r="C437" s="17" t="inlineStr">
        <is>
          <t>promovida por TRANSLOCOMOTIVA TRANSPORTES RODOVIÁRIOS E DISTRIBUIÇÃO DE CARGAS LTDA</t>
        </is>
      </c>
      <c r="D437" s="18" t="inlineStr">
        <is>
          <t>NEW</t>
        </is>
      </c>
      <c r="E437" s="19" t="inlineStr"/>
      <c r="F437" s="18" t="inlineStr"/>
      <c r="G437" s="19" t="inlineStr"/>
      <c r="H437" s="18" t="inlineStr"/>
      <c r="I437" s="20" t="inlineStr">
        <is>
          <t>FLAVIA VIEIRA PEREIRA</t>
        </is>
      </c>
      <c r="J437" s="20" t="inlineStr">
        <is>
          <t>Administrador</t>
        </is>
      </c>
      <c r="K437" s="20" t="inlineStr">
        <is>
          <t>(11) 2663-4200</t>
        </is>
      </c>
      <c r="L437" s="20" t="inlineStr"/>
      <c r="M437" s="20" t="inlineStr"/>
      <c r="N437" s="20" t="inlineStr"/>
      <c r="O437" s="20" t="inlineStr"/>
      <c r="P437" s="20" t="inlineStr">
        <is>
          <t>ROGERIO DO NASCIMENTO</t>
        </is>
      </c>
      <c r="Q437" s="20" t="inlineStr">
        <is>
          <t>Administrador</t>
        </is>
      </c>
      <c r="R437" s="20" t="inlineStr">
        <is>
          <t>(11) 2663-4200</t>
        </is>
      </c>
      <c r="S437" s="20" t="inlineStr"/>
      <c r="T437" s="21" t="n">
        <v>246954.81</v>
      </c>
      <c r="U437" s="31" t="inlineStr">
        <is>
          <t>C</t>
        </is>
      </c>
      <c r="V437" s="23">
        <f>IFERROR(VLOOKUP(U437,Assumptions!$A$7:$D$11,2,FALSE),0)</f>
        <v/>
      </c>
      <c r="W437" s="24">
        <f>MAX(0.5,IFERROR(VLOOKUP(U437,Assumptions!$A$7:$D$11,3,FALSE),3)+IFERROR(VLOOKUP(U437,Assumptions!$A$7:$D$11,4,FALSE),8)/2-IF(AN437="",0,YEAR(TODAY())-AN437))</f>
        <v/>
      </c>
      <c r="X437" s="21">
        <f>T437*V437/(1+Assumptions!$B$3)^W437</f>
        <v/>
      </c>
      <c r="Y437" s="25">
        <f>IF(T437=0,"",ROUND(X437/T437*100,1))</f>
        <v/>
      </c>
      <c r="Z437" s="26">
        <f>X437*Assumptions!$B$4</f>
        <v/>
      </c>
      <c r="AA437" s="25">
        <f>IF(T437=0,"",ROUND(Z437/T437*100,1))</f>
        <v/>
      </c>
      <c r="AB437" s="26">
        <f>X437-Z437</f>
        <v/>
      </c>
      <c r="AC437" s="25">
        <f>IF(T437=0,"",ROUND((X437-Z437)/T437*100,1))</f>
        <v/>
      </c>
      <c r="AD437" s="27" t="inlineStr">
        <is>
          <t>ESTIMATED</t>
        </is>
      </c>
      <c r="AE437" s="28" t="inlineStr">
        <is>
          <t>https://ativosajce.com.br/admin/download.php?file=files/processo_documento/processo_documento18430011062025_1_.pdf&amp;nome=Relação de Credores - Art. 52º § 1º, da Lei nº 11.101/2005 - 13/08/2020</t>
        </is>
      </c>
      <c r="AF437" s="27" t="inlineStr">
        <is>
          <t>p3 r13</t>
        </is>
      </c>
      <c r="AG437" s="27" t="inlineStr">
        <is>
          <t>p3: R$ 246.954,81</t>
        </is>
      </c>
      <c r="AH437" s="27" t="inlineStr">
        <is>
          <t>AJ_LIST</t>
        </is>
      </c>
      <c r="AI437" s="27" t="inlineStr">
        <is>
          <t>2020-07-19</t>
        </is>
      </c>
      <c r="AJ437" s="27" t="inlineStr">
        <is>
          <t>OK_NO_TOTALS</t>
        </is>
      </c>
      <c r="AK437" s="29" t="inlineStr">
        <is>
          <t>1000117-72.2020.8.26.0260</t>
        </is>
      </c>
      <c r="AL437" s="29" t="inlineStr">
        <is>
          <t>TJSP</t>
        </is>
      </c>
      <c r="AM437" s="29" t="inlineStr">
        <is>
          <t>ACTIVE</t>
        </is>
      </c>
      <c r="AN437" s="29" t="n">
        <v>2020</v>
      </c>
      <c r="AO437" s="29" t="inlineStr">
        <is>
          <t>6y since filing, no plan document</t>
        </is>
      </c>
      <c r="AP437" s="29" t="inlineStr">
        <is>
          <t>SAO PAULO</t>
        </is>
      </c>
      <c r="AQ437" s="29" t="inlineStr">
        <is>
          <t>SP</t>
        </is>
      </c>
      <c r="AR437" s="29" t="inlineStr">
        <is>
          <t>Sociedade seguradora de seguros não vida</t>
        </is>
      </c>
      <c r="AS437" s="29" t="inlineStr">
        <is>
          <t>DEMAIS</t>
        </is>
      </c>
      <c r="AT437" s="29" t="inlineStr">
        <is>
          <t>LARGE CORP</t>
        </is>
      </c>
      <c r="AU437" s="29" t="inlineStr">
        <is>
          <t>61550141</t>
        </is>
      </c>
      <c r="AV437" s="29" t="n">
        <v>1</v>
      </c>
      <c r="AW437" s="29" t="inlineStr">
        <is>
          <t>ROWS:p3r13 UNRECONCILED_SOURCE</t>
        </is>
      </c>
    </row>
    <row r="438">
      <c r="A438" s="15" t="inlineStr">
        <is>
          <t>BNDES - DESENVOLVE</t>
        </is>
      </c>
      <c r="B438" s="16" t="n">
        <v>239911.87</v>
      </c>
      <c r="C438" s="17" t="inlineStr">
        <is>
          <t>ATIVOS ADMINISTRAÇÃO JUDICIA</t>
        </is>
      </c>
      <c r="D438" s="18" t="inlineStr">
        <is>
          <t>NEW</t>
        </is>
      </c>
      <c r="E438" s="19" t="inlineStr"/>
      <c r="F438" s="18" t="inlineStr"/>
      <c r="G438" s="19" t="inlineStr"/>
      <c r="H438" s="18" t="inlineStr"/>
      <c r="I438" s="20" t="inlineStr"/>
      <c r="J438" s="20" t="inlineStr"/>
      <c r="K438" s="20" t="inlineStr"/>
      <c r="L438" s="20" t="inlineStr"/>
      <c r="M438" s="20" t="inlineStr"/>
      <c r="N438" s="20" t="inlineStr"/>
      <c r="O438" s="20" t="inlineStr"/>
      <c r="P438" s="20" t="inlineStr"/>
      <c r="Q438" s="20" t="inlineStr"/>
      <c r="R438" s="20" t="inlineStr"/>
      <c r="S438" s="20" t="inlineStr"/>
      <c r="T438" s="21" t="n">
        <v>239911.87</v>
      </c>
      <c r="U438" s="22" t="inlineStr">
        <is>
          <t>B</t>
        </is>
      </c>
      <c r="V438" s="23">
        <f>IFERROR(VLOOKUP(U438,Assumptions!$A$7:$D$11,2,FALSE),0)</f>
        <v/>
      </c>
      <c r="W438" s="24">
        <f>MAX(0.5,IFERROR(VLOOKUP(U438,Assumptions!$A$7:$D$11,3,FALSE),3)+IFERROR(VLOOKUP(U438,Assumptions!$A$7:$D$11,4,FALSE),8)/2-IF(AN438="",0,YEAR(TODAY())-AN438))</f>
        <v/>
      </c>
      <c r="X438" s="21">
        <f>T438*V438/(1+Assumptions!$B$3)^W438</f>
        <v/>
      </c>
      <c r="Y438" s="25">
        <f>IF(T438=0,"",ROUND(X438/T438*100,1))</f>
        <v/>
      </c>
      <c r="Z438" s="26">
        <f>X438*Assumptions!$B$4</f>
        <v/>
      </c>
      <c r="AA438" s="25">
        <f>IF(T438=0,"",ROUND(Z438/T438*100,1))</f>
        <v/>
      </c>
      <c r="AB438" s="26">
        <f>X438-Z438</f>
        <v/>
      </c>
      <c r="AC438" s="25">
        <f>IF(T438=0,"",ROUND((X438-Z438)/T438*100,1))</f>
        <v/>
      </c>
      <c r="AD438" s="27" t="inlineStr">
        <is>
          <t>ESTIMATED</t>
        </is>
      </c>
      <c r="AE438" s="28" t="inlineStr">
        <is>
          <t>https://ativosajce.com.br/admin/download.php?file=files/processo_documento/processo_documento13422625032025_1_.pdf&amp;nome=Relação de Credores - Art. 52º § 1º, da Lei nº 11.101/2005 - 25/02/2025</t>
        </is>
      </c>
      <c r="AF438" s="27" t="inlineStr">
        <is>
          <t>p3 r30</t>
        </is>
      </c>
      <c r="AG438" s="27" t="inlineStr">
        <is>
          <t>p3: R$ 239.911,87</t>
        </is>
      </c>
      <c r="AH438" s="27" t="inlineStr">
        <is>
          <t>UNKNOWN</t>
        </is>
      </c>
      <c r="AI438" s="27" t="inlineStr">
        <is>
          <t>2025-02-28</t>
        </is>
      </c>
      <c r="AJ438" s="27" t="inlineStr">
        <is>
          <t>OK_NO_TOTALS</t>
        </is>
      </c>
      <c r="AK438" s="29" t="inlineStr">
        <is>
          <t>1000119-75.2025.8.26.0354</t>
        </is>
      </c>
      <c r="AL438" s="29" t="inlineStr">
        <is>
          <t>TJSP</t>
        </is>
      </c>
      <c r="AM438" s="29" t="inlineStr">
        <is>
          <t>ACTIVE</t>
        </is>
      </c>
      <c r="AN438" s="29" t="n">
        <v>2025</v>
      </c>
      <c r="AO438" s="29" t="inlineStr">
        <is>
          <t>live case, no plan document yet</t>
        </is>
      </c>
      <c r="AP438" s="29" t="inlineStr"/>
      <c r="AQ438" s="29" t="inlineStr"/>
      <c r="AR438" s="29" t="inlineStr"/>
      <c r="AS438" s="29" t="inlineStr"/>
      <c r="AT438" s="29" t="inlineStr">
        <is>
          <t>MID-MARKET</t>
        </is>
      </c>
      <c r="AU438" s="29" t="inlineStr">
        <is>
          <t>33657248</t>
        </is>
      </c>
      <c r="AV438" s="29" t="n">
        <v>1</v>
      </c>
      <c r="AW438" s="29" t="inlineStr">
        <is>
          <t>LIKELY_FINANCIAL_BY_NAME ROWS:p3r30 UNRECONCILED_SOURCE</t>
        </is>
      </c>
    </row>
    <row r="439">
      <c r="A439" s="15" t="inlineStr">
        <is>
          <t>BPLACE SECURITIZADORA S.A. (</t>
        </is>
      </c>
      <c r="B439" s="16" t="n">
        <v>303480.05</v>
      </c>
      <c r="C439" s="17" t="inlineStr">
        <is>
          <t>VECTOR INDUSTRIA DE PRODUTOS METALURGICOS LTDA - EM RECUPERACAO JUDICIAL</t>
        </is>
      </c>
      <c r="D439" s="18" t="inlineStr">
        <is>
          <t>NEW</t>
        </is>
      </c>
      <c r="E439" s="19" t="inlineStr"/>
      <c r="F439" s="18" t="inlineStr"/>
      <c r="G439" s="19" t="inlineStr"/>
      <c r="H439" s="18" t="inlineStr"/>
      <c r="I439" s="20" t="inlineStr"/>
      <c r="J439" s="20" t="inlineStr"/>
      <c r="K439" s="20" t="inlineStr"/>
      <c r="L439" s="20" t="inlineStr"/>
      <c r="M439" s="20" t="inlineStr"/>
      <c r="N439" s="20" t="inlineStr"/>
      <c r="O439" s="20" t="inlineStr"/>
      <c r="P439" s="20" t="inlineStr"/>
      <c r="Q439" s="20" t="inlineStr"/>
      <c r="R439" s="20" t="inlineStr"/>
      <c r="S439" s="20" t="inlineStr"/>
      <c r="T439" s="21" t="n">
        <v>303480.05</v>
      </c>
      <c r="U439" s="31" t="inlineStr">
        <is>
          <t>C</t>
        </is>
      </c>
      <c r="V439" s="23">
        <f>IFERROR(VLOOKUP(U439,Assumptions!$A$7:$D$11,2,FALSE),0)</f>
        <v/>
      </c>
      <c r="W439" s="24">
        <f>MAX(0.5,IFERROR(VLOOKUP(U439,Assumptions!$A$7:$D$11,3,FALSE),3)+IFERROR(VLOOKUP(U439,Assumptions!$A$7:$D$11,4,FALSE),8)/2-IF(AN439="",0,YEAR(TODAY())-AN439))</f>
        <v/>
      </c>
      <c r="X439" s="21">
        <f>T439*V439/(1+Assumptions!$B$3)^W439</f>
        <v/>
      </c>
      <c r="Y439" s="25">
        <f>IF(T439=0,"",ROUND(X439/T439*100,1))</f>
        <v/>
      </c>
      <c r="Z439" s="26">
        <f>X439*Assumptions!$B$4</f>
        <v/>
      </c>
      <c r="AA439" s="25">
        <f>IF(T439=0,"",ROUND(Z439/T439*100,1))</f>
        <v/>
      </c>
      <c r="AB439" s="26">
        <f>X439-Z439</f>
        <v/>
      </c>
      <c r="AC439" s="25">
        <f>IF(T439=0,"",ROUND((X439-Z439)/T439*100,1))</f>
        <v/>
      </c>
      <c r="AD439" s="27" t="inlineStr">
        <is>
          <t>ESTIMATED</t>
        </is>
      </c>
      <c r="AE439" s="28" t="inlineStr">
        <is>
          <t>https://scalzilliaj.com.br/sgc/download.php?file=files/processo_documento/processo_documento15513401112022_1_.pdf&amp;nome=15 - Edital do art. 7º, §2º (segunda lista de credores) e do art. 53 da Lei 11.101/2005 (recebimento do plano)</t>
        </is>
      </c>
      <c r="AF439" s="27" t="inlineStr">
        <is>
          <t>p6 r4</t>
        </is>
      </c>
      <c r="AG439" s="27" t="inlineStr">
        <is>
          <t>p6: R$ 303.480,05</t>
        </is>
      </c>
      <c r="AH439" s="27" t="inlineStr">
        <is>
          <t>AJ_LIST</t>
        </is>
      </c>
      <c r="AI439" s="27" t="inlineStr">
        <is>
          <t>2022-11-01</t>
        </is>
      </c>
      <c r="AJ439" s="27" t="inlineStr">
        <is>
          <t>OK_NO_TOTALS</t>
        </is>
      </c>
      <c r="AK439" s="29" t="inlineStr">
        <is>
          <t>5014104-85.2021.8.21.0010</t>
        </is>
      </c>
      <c r="AL439" s="29" t="inlineStr">
        <is>
          <t>TJRS</t>
        </is>
      </c>
      <c r="AM439" s="29" t="inlineStr">
        <is>
          <t>ACTIVE</t>
        </is>
      </c>
      <c r="AN439" s="29" t="n">
        <v>2021</v>
      </c>
      <c r="AO439" s="29" t="inlineStr">
        <is>
          <t>5y since filing, no plan document</t>
        </is>
      </c>
      <c r="AP439" s="29" t="inlineStr"/>
      <c r="AQ439" s="29" t="inlineStr"/>
      <c r="AR439" s="29" t="inlineStr"/>
      <c r="AS439" s="29" t="inlineStr"/>
      <c r="AT439" s="29" t="inlineStr">
        <is>
          <t>MID-MARKET</t>
        </is>
      </c>
      <c r="AU439" s="29" t="inlineStr">
        <is>
          <t>27695272</t>
        </is>
      </c>
      <c r="AV439" s="29" t="n">
        <v>1</v>
      </c>
      <c r="AW439" s="29" t="inlineStr">
        <is>
          <t>LIKELY_FINANCIAL_BY_NAME ROWS:p6r4 UNRECONCILED_SOURCE</t>
        </is>
      </c>
    </row>
    <row r="440">
      <c r="A440" s="15" t="inlineStr">
        <is>
          <t>BTG PACTUAL LOGCP FUNDO DE INVESTIMENTO IMOBILIARIO RESPONSABILIDADE LIMITADA</t>
        </is>
      </c>
      <c r="B440" s="16" t="n">
        <v>236115.91</v>
      </c>
      <c r="C440" s="17" t="inlineStr"/>
      <c r="D440" s="18" t="inlineStr">
        <is>
          <t>NEW</t>
        </is>
      </c>
      <c r="E440" s="19" t="inlineStr"/>
      <c r="F440" s="18" t="inlineStr"/>
      <c r="G440" s="19" t="inlineStr"/>
      <c r="H440" s="18" t="inlineStr"/>
      <c r="I440" s="20" t="inlineStr"/>
      <c r="J440" s="20" t="inlineStr"/>
      <c r="K440" s="20" t="inlineStr">
        <is>
          <t>(21) 3262-9600</t>
        </is>
      </c>
      <c r="L440" s="20" t="inlineStr"/>
      <c r="M440" s="20" t="inlineStr"/>
      <c r="N440" s="20" t="inlineStr"/>
      <c r="O440" s="20" t="inlineStr"/>
      <c r="P440" s="20" t="inlineStr"/>
      <c r="Q440" s="20" t="inlineStr"/>
      <c r="R440" s="20" t="inlineStr"/>
      <c r="S440" s="20" t="inlineStr"/>
      <c r="T440" s="21" t="n">
        <v>236115.91</v>
      </c>
      <c r="U440" s="22" t="inlineStr">
        <is>
          <t>B</t>
        </is>
      </c>
      <c r="V440" s="23">
        <f>IFERROR(VLOOKUP(U440,Assumptions!$A$7:$D$11,2,FALSE),0)</f>
        <v/>
      </c>
      <c r="W440" s="24">
        <f>MAX(0.5,IFERROR(VLOOKUP(U440,Assumptions!$A$7:$D$11,3,FALSE),3)+IFERROR(VLOOKUP(U440,Assumptions!$A$7:$D$11,4,FALSE),8)/2-IF(AN440="",0,YEAR(TODAY())-AN440))</f>
        <v/>
      </c>
      <c r="X440" s="21">
        <f>T440*V440/(1+Assumptions!$B$3)^W440</f>
        <v/>
      </c>
      <c r="Y440" s="25">
        <f>IF(T440=0,"",ROUND(X440/T440*100,1))</f>
        <v/>
      </c>
      <c r="Z440" s="26">
        <f>X440*Assumptions!$B$4</f>
        <v/>
      </c>
      <c r="AA440" s="25">
        <f>IF(T440=0,"",ROUND(Z440/T440*100,1))</f>
        <v/>
      </c>
      <c r="AB440" s="26">
        <f>X440-Z440</f>
        <v/>
      </c>
      <c r="AC440" s="25">
        <f>IF(T440=0,"",ROUND((X440-Z440)/T440*100,1))</f>
        <v/>
      </c>
      <c r="AD440" s="27" t="inlineStr">
        <is>
          <t>UNKNOWN</t>
        </is>
      </c>
      <c r="AE440" s="28" t="inlineStr">
        <is>
          <t>https://credibilita.com.br/wp-content/uploads/2025/09/Relacao-Credores-29.04.2026.pdf</t>
        </is>
      </c>
      <c r="AF440" s="27" t="inlineStr">
        <is>
          <t>p1 r17</t>
        </is>
      </c>
      <c r="AG440" s="27" t="inlineStr">
        <is>
          <t>p1: R$ 236.115,91</t>
        </is>
      </c>
      <c r="AH440" s="27" t="inlineStr">
        <is>
          <t>UNKNOWN</t>
        </is>
      </c>
      <c r="AI440" s="27" t="inlineStr"/>
      <c r="AJ440" s="27" t="inlineStr">
        <is>
          <t>OK_NO_TOTALS</t>
        </is>
      </c>
      <c r="AK440" s="29" t="inlineStr">
        <is>
          <t>5057720-48.2025.8.24.0023</t>
        </is>
      </c>
      <c r="AL440" s="29" t="inlineStr">
        <is>
          <t>TJ</t>
        </is>
      </c>
      <c r="AM440" s="29" t="inlineStr"/>
      <c r="AN440" s="29" t="n">
        <v>2025</v>
      </c>
      <c r="AO440" s="29" t="inlineStr">
        <is>
          <t>live case, no plan document yet</t>
        </is>
      </c>
      <c r="AP440" s="29" t="inlineStr">
        <is>
          <t>RIO DE JANEIRO</t>
        </is>
      </c>
      <c r="AQ440" s="29" t="inlineStr">
        <is>
          <t>RJ</t>
        </is>
      </c>
      <c r="AR440" s="29" t="inlineStr">
        <is>
          <t>Fundos de investimento imobiliários</t>
        </is>
      </c>
      <c r="AS440" s="29" t="inlineStr">
        <is>
          <t>DEMAIS</t>
        </is>
      </c>
      <c r="AT440" s="29" t="inlineStr">
        <is>
          <t>MID-MARKET</t>
        </is>
      </c>
      <c r="AU440" s="29" t="inlineStr">
        <is>
          <t>50479122</t>
        </is>
      </c>
      <c r="AV440" s="29" t="n">
        <v>1</v>
      </c>
      <c r="AW440" s="29" t="inlineStr">
        <is>
          <t>ROWS:p1r17 UNRECONCILED_SOURCE VALUE_COL:Valor_Após_Analise</t>
        </is>
      </c>
    </row>
    <row r="441">
      <c r="A441" s="15" t="inlineStr">
        <is>
          <t>BANCO DAYCOVAL S.A.</t>
        </is>
      </c>
      <c r="B441" s="16" t="n">
        <v>233943.48</v>
      </c>
      <c r="C441" s="17" t="inlineStr">
        <is>
          <t>ATIVOS ADMINISTRAÇÃO JUDICIA</t>
        </is>
      </c>
      <c r="D441" s="18" t="inlineStr">
        <is>
          <t>NEW</t>
        </is>
      </c>
      <c r="E441" s="19" t="inlineStr"/>
      <c r="F441" s="18" t="inlineStr"/>
      <c r="G441" s="19" t="inlineStr"/>
      <c r="H441" s="18" t="inlineStr"/>
      <c r="I441" s="20" t="inlineStr">
        <is>
          <t>ADELY DAYAN HAMOUI</t>
        </is>
      </c>
      <c r="J441" s="20" t="inlineStr">
        <is>
          <t>Diretor</t>
        </is>
      </c>
      <c r="K441" s="20" t="inlineStr">
        <is>
          <t>(11) 3138-0500</t>
        </is>
      </c>
      <c r="L441" s="20" t="inlineStr"/>
      <c r="M441" s="20" t="inlineStr"/>
      <c r="N441" s="20" t="inlineStr"/>
      <c r="O441" s="20" t="inlineStr"/>
      <c r="P441" s="20" t="inlineStr">
        <is>
          <t>ALBERT ROUBEN</t>
        </is>
      </c>
      <c r="Q441" s="20" t="inlineStr">
        <is>
          <t>Diretor</t>
        </is>
      </c>
      <c r="R441" s="20" t="inlineStr">
        <is>
          <t>(11) 3138-0500</t>
        </is>
      </c>
      <c r="S441" s="20" t="inlineStr"/>
      <c r="T441" s="21" t="n">
        <v>233943.48</v>
      </c>
      <c r="U441" s="22" t="inlineStr">
        <is>
          <t>B</t>
        </is>
      </c>
      <c r="V441" s="23">
        <f>IFERROR(VLOOKUP(U441,Assumptions!$A$7:$D$11,2,FALSE),0)</f>
        <v/>
      </c>
      <c r="W441" s="24">
        <f>MAX(0.5,IFERROR(VLOOKUP(U441,Assumptions!$A$7:$D$11,3,FALSE),3)+IFERROR(VLOOKUP(U441,Assumptions!$A$7:$D$11,4,FALSE),8)/2-IF(AN441="",0,YEAR(TODAY())-AN441))</f>
        <v/>
      </c>
      <c r="X441" s="21">
        <f>T441*V441/(1+Assumptions!$B$3)^W441</f>
        <v/>
      </c>
      <c r="Y441" s="25">
        <f>IF(T441=0,"",ROUND(X441/T441*100,1))</f>
        <v/>
      </c>
      <c r="Z441" s="26">
        <f>X441*Assumptions!$B$4</f>
        <v/>
      </c>
      <c r="AA441" s="25">
        <f>IF(T441=0,"",ROUND(Z441/T441*100,1))</f>
        <v/>
      </c>
      <c r="AB441" s="26">
        <f>X441-Z441</f>
        <v/>
      </c>
      <c r="AC441" s="25">
        <f>IF(T441=0,"",ROUND((X441-Z441)/T441*100,1))</f>
        <v/>
      </c>
      <c r="AD441" s="27" t="inlineStr">
        <is>
          <t>ESTIMATED</t>
        </is>
      </c>
      <c r="AE441" s="28" t="inlineStr">
        <is>
          <t>https://ativosajce.com.br/admin/download.php?file=files/processo_documento/processo_documento13422625032025_1_.pdf&amp;nome=Relação de Credores - Art. 52º § 1º, da Lei nº 11.101/2005 - 25/02/2025</t>
        </is>
      </c>
      <c r="AF441" s="27" t="inlineStr">
        <is>
          <t>p3 r16</t>
        </is>
      </c>
      <c r="AG441" s="27" t="inlineStr">
        <is>
          <t>p3: R$ 233.943,48</t>
        </is>
      </c>
      <c r="AH441" s="27" t="inlineStr">
        <is>
          <t>UNKNOWN</t>
        </is>
      </c>
      <c r="AI441" s="27" t="inlineStr">
        <is>
          <t>2025-02-28</t>
        </is>
      </c>
      <c r="AJ441" s="27" t="inlineStr">
        <is>
          <t>OK_NO_TOTALS</t>
        </is>
      </c>
      <c r="AK441" s="29" t="inlineStr">
        <is>
          <t>1000119-75.2025.8.26.0354</t>
        </is>
      </c>
      <c r="AL441" s="29" t="inlineStr">
        <is>
          <t>TJSP</t>
        </is>
      </c>
      <c r="AM441" s="29" t="inlineStr">
        <is>
          <t>ACTIVE</t>
        </is>
      </c>
      <c r="AN441" s="29" t="n">
        <v>2025</v>
      </c>
      <c r="AO441" s="29" t="inlineStr">
        <is>
          <t>live case, no plan document yet</t>
        </is>
      </c>
      <c r="AP441" s="29" t="inlineStr">
        <is>
          <t>SAO PAULO</t>
        </is>
      </c>
      <c r="AQ441" s="29" t="inlineStr">
        <is>
          <t>SP</t>
        </is>
      </c>
      <c r="AR441" s="29" t="inlineStr">
        <is>
          <t>Bancos múltiplos, com carteira comercial</t>
        </is>
      </c>
      <c r="AS441" s="29" t="inlineStr">
        <is>
          <t>DEMAIS</t>
        </is>
      </c>
      <c r="AT441" s="29" t="inlineStr">
        <is>
          <t>LARGE CORP</t>
        </is>
      </c>
      <c r="AU441" s="29" t="inlineStr">
        <is>
          <t>62232889</t>
        </is>
      </c>
      <c r="AV441" s="29" t="n">
        <v>1</v>
      </c>
      <c r="AW441" s="29" t="inlineStr">
        <is>
          <t>LIKELY_FINANCIAL_BY_NAME ROWS:p3r16 UNRECONCILED_SOURCE</t>
        </is>
      </c>
    </row>
    <row r="442">
      <c r="A442" s="15" t="inlineStr">
        <is>
          <t>CENTRUM – FUNDO DE INVESTIMENTO EM DIREITOS CREDITÓRIOS MULTISSETORIAL NÃO-PADRONIZADOS</t>
        </is>
      </c>
      <c r="B442" s="16" t="n">
        <v>216559.56</v>
      </c>
      <c r="C442" s="17" t="inlineStr">
        <is>
          <t>E FALENCIA</t>
        </is>
      </c>
      <c r="D442" s="18" t="inlineStr">
        <is>
          <t>NEW</t>
        </is>
      </c>
      <c r="E442" s="19" t="inlineStr"/>
      <c r="F442" s="18" t="inlineStr"/>
      <c r="G442" s="19" t="inlineStr"/>
      <c r="H442" s="18" t="inlineStr"/>
      <c r="I442" s="20" t="inlineStr"/>
      <c r="J442" s="20" t="inlineStr"/>
      <c r="K442" s="20" t="inlineStr"/>
      <c r="L442" s="20" t="inlineStr"/>
      <c r="M442" s="20" t="inlineStr"/>
      <c r="N442" s="20" t="inlineStr"/>
      <c r="O442" s="20" t="inlineStr"/>
      <c r="P442" s="20" t="inlineStr"/>
      <c r="Q442" s="20" t="inlineStr"/>
      <c r="R442" s="20" t="inlineStr"/>
      <c r="S442" s="20" t="inlineStr"/>
      <c r="T442" s="21" t="n">
        <v>216559.56</v>
      </c>
      <c r="U442" s="22" t="inlineStr">
        <is>
          <t>B</t>
        </is>
      </c>
      <c r="V442" s="23">
        <f>IFERROR(VLOOKUP(U442,Assumptions!$A$7:$D$11,2,FALSE),0)</f>
        <v/>
      </c>
      <c r="W442" s="24">
        <f>MAX(0.5,IFERROR(VLOOKUP(U442,Assumptions!$A$7:$D$11,3,FALSE),3)+IFERROR(VLOOKUP(U442,Assumptions!$A$7:$D$11,4,FALSE),8)/2-IF(AN442="",0,YEAR(TODAY())-AN442))</f>
        <v/>
      </c>
      <c r="X442" s="21">
        <f>T442*V442/(1+Assumptions!$B$3)^W442</f>
        <v/>
      </c>
      <c r="Y442" s="25">
        <f>IF(T442=0,"",ROUND(X442/T442*100,1))</f>
        <v/>
      </c>
      <c r="Z442" s="26">
        <f>X442*Assumptions!$B$4</f>
        <v/>
      </c>
      <c r="AA442" s="25">
        <f>IF(T442=0,"",ROUND(Z442/T442*100,1))</f>
        <v/>
      </c>
      <c r="AB442" s="26">
        <f>X442-Z442</f>
        <v/>
      </c>
      <c r="AC442" s="25">
        <f>IF(T442=0,"",ROUND((X442-Z442)/T442*100,1))</f>
        <v/>
      </c>
      <c r="AD442" s="27" t="inlineStr">
        <is>
          <t>ESTIMATED</t>
        </is>
      </c>
      <c r="AE442" s="28" t="inlineStr">
        <is>
          <t>https://diligence.adm.br/wp-content/plugins/download-attachments/includes/download.php?id=6284</t>
        </is>
      </c>
      <c r="AF442" s="27" t="inlineStr">
        <is>
          <t>p5 r7</t>
        </is>
      </c>
      <c r="AG442" s="27" t="inlineStr">
        <is>
          <t>p5: R$ 216.559,56</t>
        </is>
      </c>
      <c r="AH442" s="27" t="inlineStr">
        <is>
          <t>AJ_LIST</t>
        </is>
      </c>
      <c r="AI442" s="27" t="inlineStr">
        <is>
          <t>2026-07-22</t>
        </is>
      </c>
      <c r="AJ442" s="27" t="inlineStr">
        <is>
          <t>OK</t>
        </is>
      </c>
      <c r="AK442" s="29" t="inlineStr">
        <is>
          <t>0077403-37.2025.8.17.2001</t>
        </is>
      </c>
      <c r="AL442" s="29" t="inlineStr">
        <is>
          <t>TJPE</t>
        </is>
      </c>
      <c r="AM442" s="29" t="inlineStr">
        <is>
          <t>ACTIVE</t>
        </is>
      </c>
      <c r="AN442" s="29" t="n">
        <v>2025</v>
      </c>
      <c r="AO442" s="29" t="inlineStr">
        <is>
          <t>live case, no plan document yet</t>
        </is>
      </c>
      <c r="AP442" s="29" t="inlineStr"/>
      <c r="AQ442" s="29" t="inlineStr"/>
      <c r="AR442" s="29" t="inlineStr"/>
      <c r="AS442" s="29" t="inlineStr"/>
      <c r="AT442" s="29" t="inlineStr">
        <is>
          <t>MID-MARKET</t>
        </is>
      </c>
      <c r="AU442" s="29" t="inlineStr">
        <is>
          <t>17213074</t>
        </is>
      </c>
      <c r="AV442" s="29" t="n">
        <v>1</v>
      </c>
      <c r="AW442" s="29" t="inlineStr">
        <is>
          <t>LIKELY_FINANCIAL_BY_NAME ROWS:p5r7</t>
        </is>
      </c>
    </row>
    <row r="443">
      <c r="A443" s="15" t="inlineStr">
        <is>
          <t>LUGUS SECURITIZADORA S/A (</t>
        </is>
      </c>
      <c r="B443" s="16" t="n">
        <v>275417.56</v>
      </c>
      <c r="C443" s="17" t="inlineStr">
        <is>
          <t>VECTOR INDUSTRIA DE PRODUTOS METALURGICOS LTDA - EM RECUPERACAO JUDICIAL</t>
        </is>
      </c>
      <c r="D443" s="18" t="inlineStr">
        <is>
          <t>NEW</t>
        </is>
      </c>
      <c r="E443" s="19" t="inlineStr"/>
      <c r="F443" s="18" t="inlineStr"/>
      <c r="G443" s="19" t="inlineStr"/>
      <c r="H443" s="18" t="inlineStr"/>
      <c r="I443" s="20" t="inlineStr"/>
      <c r="J443" s="20" t="inlineStr"/>
      <c r="K443" s="20" t="inlineStr"/>
      <c r="L443" s="20" t="inlineStr"/>
      <c r="M443" s="20" t="inlineStr"/>
      <c r="N443" s="20" t="inlineStr"/>
      <c r="O443" s="20" t="inlineStr"/>
      <c r="P443" s="20" t="inlineStr"/>
      <c r="Q443" s="20" t="inlineStr"/>
      <c r="R443" s="20" t="inlineStr"/>
      <c r="S443" s="20" t="inlineStr"/>
      <c r="T443" s="21" t="n">
        <v>275417.56</v>
      </c>
      <c r="U443" s="31" t="inlineStr">
        <is>
          <t>C</t>
        </is>
      </c>
      <c r="V443" s="23">
        <f>IFERROR(VLOOKUP(U443,Assumptions!$A$7:$D$11,2,FALSE),0)</f>
        <v/>
      </c>
      <c r="W443" s="24">
        <f>MAX(0.5,IFERROR(VLOOKUP(U443,Assumptions!$A$7:$D$11,3,FALSE),3)+IFERROR(VLOOKUP(U443,Assumptions!$A$7:$D$11,4,FALSE),8)/2-IF(AN443="",0,YEAR(TODAY())-AN443))</f>
        <v/>
      </c>
      <c r="X443" s="21">
        <f>T443*V443/(1+Assumptions!$B$3)^W443</f>
        <v/>
      </c>
      <c r="Y443" s="25">
        <f>IF(T443=0,"",ROUND(X443/T443*100,1))</f>
        <v/>
      </c>
      <c r="Z443" s="26">
        <f>X443*Assumptions!$B$4</f>
        <v/>
      </c>
      <c r="AA443" s="25">
        <f>IF(T443=0,"",ROUND(Z443/T443*100,1))</f>
        <v/>
      </c>
      <c r="AB443" s="26">
        <f>X443-Z443</f>
        <v/>
      </c>
      <c r="AC443" s="25">
        <f>IF(T443=0,"",ROUND((X443-Z443)/T443*100,1))</f>
        <v/>
      </c>
      <c r="AD443" s="27" t="inlineStr">
        <is>
          <t>ESTIMATED</t>
        </is>
      </c>
      <c r="AE443" s="28" t="inlineStr">
        <is>
          <t>https://scalzilliaj.com.br/sgc/download.php?file=files/processo_documento/processo_documento15513401112022_1_.pdf&amp;nome=15 - Edital do art. 7º, §2º (segunda lista de credores) e do art. 53 da Lei 11.101/2005 (recebimento do plano)</t>
        </is>
      </c>
      <c r="AF443" s="27" t="inlineStr">
        <is>
          <t>p8 r8</t>
        </is>
      </c>
      <c r="AG443" s="27" t="inlineStr">
        <is>
          <t>p8: R$ 275.417,56</t>
        </is>
      </c>
      <c r="AH443" s="27" t="inlineStr">
        <is>
          <t>AJ_LIST</t>
        </is>
      </c>
      <c r="AI443" s="27" t="inlineStr">
        <is>
          <t>2022-11-01</t>
        </is>
      </c>
      <c r="AJ443" s="27" t="inlineStr">
        <is>
          <t>OK_NO_TOTALS</t>
        </is>
      </c>
      <c r="AK443" s="29" t="inlineStr">
        <is>
          <t>5014104-85.2021.8.21.0010</t>
        </is>
      </c>
      <c r="AL443" s="29" t="inlineStr">
        <is>
          <t>TJRS</t>
        </is>
      </c>
      <c r="AM443" s="29" t="inlineStr">
        <is>
          <t>ACTIVE</t>
        </is>
      </c>
      <c r="AN443" s="29" t="n">
        <v>2021</v>
      </c>
      <c r="AO443" s="29" t="inlineStr">
        <is>
          <t>5y since filing, no plan document</t>
        </is>
      </c>
      <c r="AP443" s="29" t="inlineStr"/>
      <c r="AQ443" s="29" t="inlineStr"/>
      <c r="AR443" s="29" t="inlineStr"/>
      <c r="AS443" s="29" t="inlineStr"/>
      <c r="AT443" s="29" t="inlineStr">
        <is>
          <t>MID-MARKET</t>
        </is>
      </c>
      <c r="AU443" s="29" t="inlineStr">
        <is>
          <t>34548181</t>
        </is>
      </c>
      <c r="AV443" s="29" t="n">
        <v>1</v>
      </c>
      <c r="AW443" s="29" t="inlineStr">
        <is>
          <t>LIKELY_FINANCIAL_BY_NAME ROWS:p8r8 UNRECONCILED_SOURCE</t>
        </is>
      </c>
    </row>
    <row r="444">
      <c r="A444" s="15" t="inlineStr">
        <is>
          <t>RANDON ADMINISTRADORA DE CONSÓRCIO LTDA</t>
        </is>
      </c>
      <c r="B444" s="16" t="n">
        <v>219518.57</v>
      </c>
      <c r="C444" s="17" t="inlineStr">
        <is>
          <t>promovida por TRANSLOCOMOTIVA TRANSPORTES RODOVIÁRIOS E DISTRIBUIÇÃO DE CARGAS LTDA</t>
        </is>
      </c>
      <c r="D444" s="18" t="inlineStr">
        <is>
          <t>NEW</t>
        </is>
      </c>
      <c r="E444" s="19" t="inlineStr"/>
      <c r="F444" s="18" t="inlineStr"/>
      <c r="G444" s="19" t="inlineStr"/>
      <c r="H444" s="18" t="inlineStr"/>
      <c r="I444" s="20" t="inlineStr"/>
      <c r="J444" s="20" t="inlineStr"/>
      <c r="K444" s="20" t="inlineStr"/>
      <c r="L444" s="20" t="inlineStr"/>
      <c r="M444" s="20" t="inlineStr"/>
      <c r="N444" s="20" t="inlineStr"/>
      <c r="O444" s="20" t="inlineStr"/>
      <c r="P444" s="20" t="inlineStr"/>
      <c r="Q444" s="20" t="inlineStr"/>
      <c r="R444" s="20" t="inlineStr"/>
      <c r="S444" s="20" t="inlineStr"/>
      <c r="T444" s="21" t="n">
        <v>219518.57</v>
      </c>
      <c r="U444" s="31" t="inlineStr">
        <is>
          <t>C</t>
        </is>
      </c>
      <c r="V444" s="23">
        <f>IFERROR(VLOOKUP(U444,Assumptions!$A$7:$D$11,2,FALSE),0)</f>
        <v/>
      </c>
      <c r="W444" s="24">
        <f>MAX(0.5,IFERROR(VLOOKUP(U444,Assumptions!$A$7:$D$11,3,FALSE),3)+IFERROR(VLOOKUP(U444,Assumptions!$A$7:$D$11,4,FALSE),8)/2-IF(AN444="",0,YEAR(TODAY())-AN444))</f>
        <v/>
      </c>
      <c r="X444" s="21">
        <f>T444*V444/(1+Assumptions!$B$3)^W444</f>
        <v/>
      </c>
      <c r="Y444" s="25">
        <f>IF(T444=0,"",ROUND(X444/T444*100,1))</f>
        <v/>
      </c>
      <c r="Z444" s="26">
        <f>X444*Assumptions!$B$4</f>
        <v/>
      </c>
      <c r="AA444" s="25">
        <f>IF(T444=0,"",ROUND(Z444/T444*100,1))</f>
        <v/>
      </c>
      <c r="AB444" s="26">
        <f>X444-Z444</f>
        <v/>
      </c>
      <c r="AC444" s="25">
        <f>IF(T444=0,"",ROUND((X444-Z444)/T444*100,1))</f>
        <v/>
      </c>
      <c r="AD444" s="27" t="inlineStr">
        <is>
          <t>ESTIMATED</t>
        </is>
      </c>
      <c r="AE444" s="28" t="inlineStr">
        <is>
          <t>https://ativosajce.com.br/admin/download.php?file=files/processo_documento/processo_documento18430011062025_1_.pdf&amp;nome=Relação de Credores - Art. 52º § 1º, da Lei nº 11.101/2005 - 13/08/2020</t>
        </is>
      </c>
      <c r="AF444" s="27" t="inlineStr">
        <is>
          <t>p3 r16</t>
        </is>
      </c>
      <c r="AG444" s="27" t="inlineStr">
        <is>
          <t>p3: R$ 219.518,57</t>
        </is>
      </c>
      <c r="AH444" s="27" t="inlineStr">
        <is>
          <t>AJ_LIST</t>
        </is>
      </c>
      <c r="AI444" s="27" t="inlineStr">
        <is>
          <t>2020-07-19</t>
        </is>
      </c>
      <c r="AJ444" s="27" t="inlineStr">
        <is>
          <t>OK_NO_TOTALS</t>
        </is>
      </c>
      <c r="AK444" s="29" t="inlineStr">
        <is>
          <t>1000117-72.2020.8.26.0260</t>
        </is>
      </c>
      <c r="AL444" s="29" t="inlineStr">
        <is>
          <t>TJSP</t>
        </is>
      </c>
      <c r="AM444" s="29" t="inlineStr">
        <is>
          <t>ACTIVE</t>
        </is>
      </c>
      <c r="AN444" s="29" t="n">
        <v>2020</v>
      </c>
      <c r="AO444" s="29" t="inlineStr">
        <is>
          <t>6y since filing, no plan document</t>
        </is>
      </c>
      <c r="AP444" s="29" t="inlineStr"/>
      <c r="AQ444" s="29" t="inlineStr"/>
      <c r="AR444" s="29" t="inlineStr"/>
      <c r="AS444" s="29" t="inlineStr"/>
      <c r="AT444" s="29" t="inlineStr">
        <is>
          <t>MID-MARKET</t>
        </is>
      </c>
      <c r="AU444" s="29" t="inlineStr">
        <is>
          <t>91108027</t>
        </is>
      </c>
      <c r="AV444" s="29" t="n">
        <v>1</v>
      </c>
      <c r="AW444" s="29" t="inlineStr">
        <is>
          <t>LIKELY_FINANCIAL_BY_NAME ROWS:p3r16 UNRECONCILED_SOURCE</t>
        </is>
      </c>
    </row>
    <row r="445">
      <c r="A445" s="15" t="inlineStr">
        <is>
          <t>M&amp;T CAPITAL SECURITIZADORA S/A (FIDEM BANK) (</t>
        </is>
      </c>
      <c r="B445" s="16" t="n">
        <v>264374.51</v>
      </c>
      <c r="C445" s="17" t="inlineStr">
        <is>
          <t>VECTOR INDUSTRIA DE PRODUTOS METALURGICOS LTDA - EM RECUPERACAO JUDICIAL</t>
        </is>
      </c>
      <c r="D445" s="18" t="inlineStr">
        <is>
          <t>NEW</t>
        </is>
      </c>
      <c r="E445" s="19" t="inlineStr"/>
      <c r="F445" s="18" t="inlineStr"/>
      <c r="G445" s="19" t="inlineStr"/>
      <c r="H445" s="18" t="inlineStr"/>
      <c r="I445" s="20" t="inlineStr"/>
      <c r="J445" s="20" t="inlineStr"/>
      <c r="K445" s="20" t="inlineStr"/>
      <c r="L445" s="20" t="inlineStr"/>
      <c r="M445" s="20" t="inlineStr"/>
      <c r="N445" s="20" t="inlineStr"/>
      <c r="O445" s="20" t="inlineStr"/>
      <c r="P445" s="20" t="inlineStr"/>
      <c r="Q445" s="20" t="inlineStr"/>
      <c r="R445" s="20" t="inlineStr"/>
      <c r="S445" s="20" t="inlineStr"/>
      <c r="T445" s="21" t="n">
        <v>264374.51</v>
      </c>
      <c r="U445" s="31" t="inlineStr">
        <is>
          <t>C</t>
        </is>
      </c>
      <c r="V445" s="23">
        <f>IFERROR(VLOOKUP(U445,Assumptions!$A$7:$D$11,2,FALSE),0)</f>
        <v/>
      </c>
      <c r="W445" s="24">
        <f>MAX(0.5,IFERROR(VLOOKUP(U445,Assumptions!$A$7:$D$11,3,FALSE),3)+IFERROR(VLOOKUP(U445,Assumptions!$A$7:$D$11,4,FALSE),8)/2-IF(AN445="",0,YEAR(TODAY())-AN445))</f>
        <v/>
      </c>
      <c r="X445" s="21">
        <f>T445*V445/(1+Assumptions!$B$3)^W445</f>
        <v/>
      </c>
      <c r="Y445" s="25">
        <f>IF(T445=0,"",ROUND(X445/T445*100,1))</f>
        <v/>
      </c>
      <c r="Z445" s="26">
        <f>X445*Assumptions!$B$4</f>
        <v/>
      </c>
      <c r="AA445" s="25">
        <f>IF(T445=0,"",ROUND(Z445/T445*100,1))</f>
        <v/>
      </c>
      <c r="AB445" s="26">
        <f>X445-Z445</f>
        <v/>
      </c>
      <c r="AC445" s="25">
        <f>IF(T445=0,"",ROUND((X445-Z445)/T445*100,1))</f>
        <v/>
      </c>
      <c r="AD445" s="27" t="inlineStr">
        <is>
          <t>ESTIMATED</t>
        </is>
      </c>
      <c r="AE445" s="28" t="inlineStr">
        <is>
          <t>https://scalzilliaj.com.br/sgc/download.php?file=files/processo_documento/processo_documento15513401112022_1_.pdf&amp;nome=15 - Edital do art. 7º, §2º (segunda lista de credores) e do art. 53 da Lei 11.101/2005 (recebimento do plano)</t>
        </is>
      </c>
      <c r="AF445" s="27" t="inlineStr">
        <is>
          <t>p8 r11</t>
        </is>
      </c>
      <c r="AG445" s="27" t="inlineStr">
        <is>
          <t>p8: R$ 264.374,51</t>
        </is>
      </c>
      <c r="AH445" s="27" t="inlineStr">
        <is>
          <t>AJ_LIST</t>
        </is>
      </c>
      <c r="AI445" s="27" t="inlineStr">
        <is>
          <t>2022-11-01</t>
        </is>
      </c>
      <c r="AJ445" s="27" t="inlineStr">
        <is>
          <t>OK_NO_TOTALS</t>
        </is>
      </c>
      <c r="AK445" s="29" t="inlineStr">
        <is>
          <t>5014104-85.2021.8.21.0010</t>
        </is>
      </c>
      <c r="AL445" s="29" t="inlineStr">
        <is>
          <t>TJRS</t>
        </is>
      </c>
      <c r="AM445" s="29" t="inlineStr">
        <is>
          <t>ACTIVE</t>
        </is>
      </c>
      <c r="AN445" s="29" t="n">
        <v>2021</v>
      </c>
      <c r="AO445" s="29" t="inlineStr">
        <is>
          <t>5y since filing, no plan document</t>
        </is>
      </c>
      <c r="AP445" s="29" t="inlineStr"/>
      <c r="AQ445" s="29" t="inlineStr"/>
      <c r="AR445" s="29" t="inlineStr"/>
      <c r="AS445" s="29" t="inlineStr"/>
      <c r="AT445" s="29" t="inlineStr">
        <is>
          <t>MID-MARKET</t>
        </is>
      </c>
      <c r="AU445" s="29" t="inlineStr">
        <is>
          <t>34816202</t>
        </is>
      </c>
      <c r="AV445" s="29" t="n">
        <v>1</v>
      </c>
      <c r="AW445" s="29" t="inlineStr">
        <is>
          <t>LIKELY_FINANCIAL_BY_NAME ROWS:p8r11 UNRECONCILED_SOURCE</t>
        </is>
      </c>
    </row>
    <row r="446">
      <c r="A446" s="15" t="inlineStr">
        <is>
          <t>BANCO ITAUCARD S.A.</t>
        </is>
      </c>
      <c r="B446" s="16" t="n">
        <v>249135.42</v>
      </c>
      <c r="C446" s="17" t="inlineStr"/>
      <c r="D446" s="18" t="inlineStr">
        <is>
          <t>NEW</t>
        </is>
      </c>
      <c r="E446" s="19" t="inlineStr"/>
      <c r="F446" s="18" t="inlineStr"/>
      <c r="G446" s="19" t="inlineStr"/>
      <c r="H446" s="18" t="inlineStr"/>
      <c r="I446" s="20" t="inlineStr">
        <is>
          <t>RUBENS FOGLI NETTO</t>
        </is>
      </c>
      <c r="J446" s="20" t="inlineStr">
        <is>
          <t>Presidente</t>
        </is>
      </c>
      <c r="K446" s="20" t="inlineStr">
        <is>
          <t>(11) 3003-4828</t>
        </is>
      </c>
      <c r="L446" s="20" t="inlineStr"/>
      <c r="M446" s="20" t="inlineStr"/>
      <c r="N446" s="20" t="inlineStr"/>
      <c r="O446" s="20" t="inlineStr"/>
      <c r="P446" s="20" t="inlineStr">
        <is>
          <t>ALBANO MANOEL ALMEIDA</t>
        </is>
      </c>
      <c r="Q446" s="20" t="inlineStr">
        <is>
          <t>Diretor</t>
        </is>
      </c>
      <c r="R446" s="20" t="inlineStr">
        <is>
          <t>(11) 3003-4828</t>
        </is>
      </c>
      <c r="S446" s="20" t="inlineStr"/>
      <c r="T446" s="21" t="n">
        <v>249135.42</v>
      </c>
      <c r="U446" s="22" t="inlineStr">
        <is>
          <t>B</t>
        </is>
      </c>
      <c r="V446" s="23">
        <f>IFERROR(VLOOKUP(U446,Assumptions!$A$7:$D$11,2,FALSE),0)</f>
        <v/>
      </c>
      <c r="W446" s="24">
        <f>MAX(0.5,IFERROR(VLOOKUP(U446,Assumptions!$A$7:$D$11,3,FALSE),3)+IFERROR(VLOOKUP(U446,Assumptions!$A$7:$D$11,4,FALSE),8)/2-IF(AN446="",0,YEAR(TODAY())-AN446))</f>
        <v/>
      </c>
      <c r="X446" s="21">
        <f>T446*V446/(1+Assumptions!$B$3)^W446</f>
        <v/>
      </c>
      <c r="Y446" s="25">
        <f>IF(T446=0,"",ROUND(X446/T446*100,1))</f>
        <v/>
      </c>
      <c r="Z446" s="26">
        <f>X446*Assumptions!$B$4</f>
        <v/>
      </c>
      <c r="AA446" s="25">
        <f>IF(T446=0,"",ROUND(Z446/T446*100,1))</f>
        <v/>
      </c>
      <c r="AB446" s="26">
        <f>X446-Z446</f>
        <v/>
      </c>
      <c r="AC446" s="25">
        <f>IF(T446=0,"",ROUND((X446-Z446)/T446*100,1))</f>
        <v/>
      </c>
      <c r="AD446" s="27" t="inlineStr">
        <is>
          <t>ESTIMATED</t>
        </is>
      </c>
      <c r="AE446" s="28" t="inlineStr">
        <is>
          <t>https://scalzilliaj.com.br/sgc/download.php?file=files/processo_documento/processo_documento11421222052026_1_.pdf&amp;nome=08. Lista de credores do edital do art. 52, §1º da LREF</t>
        </is>
      </c>
      <c r="AF446" s="27" t="inlineStr">
        <is>
          <t>p4 r9</t>
        </is>
      </c>
      <c r="AG446" s="27" t="inlineStr">
        <is>
          <t>p4: R$ 249.135,42</t>
        </is>
      </c>
      <c r="AH446" s="27" t="inlineStr">
        <is>
          <t>UNKNOWN</t>
        </is>
      </c>
      <c r="AI446" s="27" t="inlineStr"/>
      <c r="AJ446" s="27" t="inlineStr">
        <is>
          <t>OK_NO_TOTALS</t>
        </is>
      </c>
      <c r="AK446" s="29" t="inlineStr">
        <is>
          <t>5011369-81.2026.8.09.0093</t>
        </is>
      </c>
      <c r="AL446" s="29" t="inlineStr">
        <is>
          <t>TJGO</t>
        </is>
      </c>
      <c r="AM446" s="29" t="inlineStr">
        <is>
          <t>ACTIVE</t>
        </is>
      </c>
      <c r="AN446" s="29" t="n">
        <v>2026</v>
      </c>
      <c r="AO446" s="29" t="inlineStr">
        <is>
          <t>live case, no plan document yet</t>
        </is>
      </c>
      <c r="AP446" s="29" t="inlineStr">
        <is>
          <t>SAO PAULO</t>
        </is>
      </c>
      <c r="AQ446" s="29" t="inlineStr">
        <is>
          <t>SP</t>
        </is>
      </c>
      <c r="AR446" s="29" t="inlineStr">
        <is>
          <t>Bancos múltiplos, sem carteira comercial</t>
        </is>
      </c>
      <c r="AS446" s="29" t="inlineStr">
        <is>
          <t>DEMAIS</t>
        </is>
      </c>
      <c r="AT446" s="29" t="inlineStr">
        <is>
          <t>LARGE CORP</t>
        </is>
      </c>
      <c r="AU446" s="29" t="inlineStr">
        <is>
          <t>17192451</t>
        </is>
      </c>
      <c r="AV446" s="29" t="n">
        <v>1</v>
      </c>
      <c r="AW446" s="29" t="inlineStr">
        <is>
          <t>LIKELY_FINANCIAL_BY_NAME ROWS:p4r9 UNRECONCILED_SOURCE</t>
        </is>
      </c>
    </row>
    <row r="447">
      <c r="A447" s="15" t="inlineStr">
        <is>
          <t>META FUNDO DE INVESTIMENTO EM DIREITOS CREDITÓRIOS MULTISSETORIAL LP (</t>
        </is>
      </c>
      <c r="B447" s="16" t="n">
        <v>252513.58</v>
      </c>
      <c r="C447" s="17" t="inlineStr">
        <is>
          <t>VECTOR INDUSTRIA DE PRODUTOS METALURGICOS LTDA - EM RECUPERACAO JUDICIAL</t>
        </is>
      </c>
      <c r="D447" s="18" t="inlineStr">
        <is>
          <t>NEW</t>
        </is>
      </c>
      <c r="E447" s="19" t="inlineStr"/>
      <c r="F447" s="18" t="inlineStr"/>
      <c r="G447" s="19" t="inlineStr"/>
      <c r="H447" s="18" t="inlineStr"/>
      <c r="I447" s="20" t="inlineStr"/>
      <c r="J447" s="20" t="inlineStr"/>
      <c r="K447" s="20" t="inlineStr"/>
      <c r="L447" s="20" t="inlineStr"/>
      <c r="M447" s="20" t="inlineStr"/>
      <c r="N447" s="20" t="inlineStr"/>
      <c r="O447" s="20" t="inlineStr"/>
      <c r="P447" s="20" t="inlineStr"/>
      <c r="Q447" s="20" t="inlineStr"/>
      <c r="R447" s="20" t="inlineStr"/>
      <c r="S447" s="20" t="inlineStr"/>
      <c r="T447" s="21" t="n">
        <v>252513.58</v>
      </c>
      <c r="U447" s="31" t="inlineStr">
        <is>
          <t>C</t>
        </is>
      </c>
      <c r="V447" s="23">
        <f>IFERROR(VLOOKUP(U447,Assumptions!$A$7:$D$11,2,FALSE),0)</f>
        <v/>
      </c>
      <c r="W447" s="24">
        <f>MAX(0.5,IFERROR(VLOOKUP(U447,Assumptions!$A$7:$D$11,3,FALSE),3)+IFERROR(VLOOKUP(U447,Assumptions!$A$7:$D$11,4,FALSE),8)/2-IF(AN447="",0,YEAR(TODAY())-AN447))</f>
        <v/>
      </c>
      <c r="X447" s="21">
        <f>T447*V447/(1+Assumptions!$B$3)^W447</f>
        <v/>
      </c>
      <c r="Y447" s="25">
        <f>IF(T447=0,"",ROUND(X447/T447*100,1))</f>
        <v/>
      </c>
      <c r="Z447" s="26">
        <f>X447*Assumptions!$B$4</f>
        <v/>
      </c>
      <c r="AA447" s="25">
        <f>IF(T447=0,"",ROUND(Z447/T447*100,1))</f>
        <v/>
      </c>
      <c r="AB447" s="26">
        <f>X447-Z447</f>
        <v/>
      </c>
      <c r="AC447" s="25">
        <f>IF(T447=0,"",ROUND((X447-Z447)/T447*100,1))</f>
        <v/>
      </c>
      <c r="AD447" s="27" t="inlineStr">
        <is>
          <t>ESTIMATED</t>
        </is>
      </c>
      <c r="AE447" s="28" t="inlineStr">
        <is>
          <t>https://scalzilliaj.com.br/sgc/download.php?file=files/processo_documento/processo_documento15513401112022_1_.pdf&amp;nome=15 - Edital do art. 7º, §2º (segunda lista de credores) e do art. 53 da Lei 11.101/2005 (recebimento do plano)</t>
        </is>
      </c>
      <c r="AF447" s="27" t="inlineStr">
        <is>
          <t>p8 r21</t>
        </is>
      </c>
      <c r="AG447" s="27" t="inlineStr">
        <is>
          <t>p8: R$ 252.513,58</t>
        </is>
      </c>
      <c r="AH447" s="27" t="inlineStr">
        <is>
          <t>AJ_LIST</t>
        </is>
      </c>
      <c r="AI447" s="27" t="inlineStr">
        <is>
          <t>2022-11-01</t>
        </is>
      </c>
      <c r="AJ447" s="27" t="inlineStr">
        <is>
          <t>OK_NO_TOTALS</t>
        </is>
      </c>
      <c r="AK447" s="29" t="inlineStr">
        <is>
          <t>5014104-85.2021.8.21.0010</t>
        </is>
      </c>
      <c r="AL447" s="29" t="inlineStr">
        <is>
          <t>TJRS</t>
        </is>
      </c>
      <c r="AM447" s="29" t="inlineStr">
        <is>
          <t>ACTIVE</t>
        </is>
      </c>
      <c r="AN447" s="29" t="n">
        <v>2021</v>
      </c>
      <c r="AO447" s="29" t="inlineStr">
        <is>
          <t>5y since filing, no plan document</t>
        </is>
      </c>
      <c r="AP447" s="29" t="inlineStr"/>
      <c r="AQ447" s="29" t="inlineStr"/>
      <c r="AR447" s="29" t="inlineStr"/>
      <c r="AS447" s="29" t="inlineStr"/>
      <c r="AT447" s="29" t="inlineStr">
        <is>
          <t>MID-MARKET</t>
        </is>
      </c>
      <c r="AU447" s="29" t="inlineStr">
        <is>
          <t>62285390</t>
        </is>
      </c>
      <c r="AV447" s="29" t="n">
        <v>1</v>
      </c>
      <c r="AW447" s="29" t="inlineStr">
        <is>
          <t>LIKELY_FINANCIAL_BY_NAME ROWS:p8r21 UNRECONCILED_SOURCE</t>
        </is>
      </c>
    </row>
    <row r="448">
      <c r="A448" s="15" t="inlineStr">
        <is>
          <t>SB CREDITO FUNDO DE INVESTIMENTO EM DIREITOS CREDITORIOS MULTISSETORIAL (</t>
        </is>
      </c>
      <c r="B448" s="16" t="n">
        <v>229189.08</v>
      </c>
      <c r="C448" s="17" t="inlineStr">
        <is>
          <t>VECTOR INDUSTRIA DE PRODUTOS METALURGICOS LTDA - EM RECUPERACAO JUDICIAL</t>
        </is>
      </c>
      <c r="D448" s="18" t="inlineStr">
        <is>
          <t>NEW</t>
        </is>
      </c>
      <c r="E448" s="19" t="inlineStr"/>
      <c r="F448" s="18" t="inlineStr"/>
      <c r="G448" s="19" t="inlineStr"/>
      <c r="H448" s="18" t="inlineStr"/>
      <c r="I448" s="20" t="inlineStr"/>
      <c r="J448" s="20" t="inlineStr"/>
      <c r="K448" s="20" t="inlineStr"/>
      <c r="L448" s="20" t="inlineStr"/>
      <c r="M448" s="20" t="inlineStr"/>
      <c r="N448" s="20" t="inlineStr"/>
      <c r="O448" s="20" t="inlineStr"/>
      <c r="P448" s="20" t="inlineStr"/>
      <c r="Q448" s="20" t="inlineStr"/>
      <c r="R448" s="20" t="inlineStr"/>
      <c r="S448" s="20" t="inlineStr"/>
      <c r="T448" s="21" t="n">
        <v>229189.08</v>
      </c>
      <c r="U448" s="31" t="inlineStr">
        <is>
          <t>C</t>
        </is>
      </c>
      <c r="V448" s="23">
        <f>IFERROR(VLOOKUP(U448,Assumptions!$A$7:$D$11,2,FALSE),0)</f>
        <v/>
      </c>
      <c r="W448" s="24">
        <f>MAX(0.5,IFERROR(VLOOKUP(U448,Assumptions!$A$7:$D$11,3,FALSE),3)+IFERROR(VLOOKUP(U448,Assumptions!$A$7:$D$11,4,FALSE),8)/2-IF(AN448="",0,YEAR(TODAY())-AN448))</f>
        <v/>
      </c>
      <c r="X448" s="21">
        <f>T448*V448/(1+Assumptions!$B$3)^W448</f>
        <v/>
      </c>
      <c r="Y448" s="25">
        <f>IF(T448=0,"",ROUND(X448/T448*100,1))</f>
        <v/>
      </c>
      <c r="Z448" s="26">
        <f>X448*Assumptions!$B$4</f>
        <v/>
      </c>
      <c r="AA448" s="25">
        <f>IF(T448=0,"",ROUND(Z448/T448*100,1))</f>
        <v/>
      </c>
      <c r="AB448" s="26">
        <f>X448-Z448</f>
        <v/>
      </c>
      <c r="AC448" s="25">
        <f>IF(T448=0,"",ROUND((X448-Z448)/T448*100,1))</f>
        <v/>
      </c>
      <c r="AD448" s="27" t="inlineStr">
        <is>
          <t>ESTIMATED</t>
        </is>
      </c>
      <c r="AE448" s="28" t="inlineStr">
        <is>
          <t>https://scalzilliaj.com.br/sgc/download.php?file=files/processo_documento/processo_documento15513401112022_1_.pdf&amp;nome=15 - Edital do art. 7º, §2º (segunda lista de credores) e do art. 53 da Lei 11.101/2005 (recebimento do plano)</t>
        </is>
      </c>
      <c r="AF448" s="27" t="inlineStr">
        <is>
          <t>p9 r28</t>
        </is>
      </c>
      <c r="AG448" s="27" t="inlineStr">
        <is>
          <t>p9: R$ 229.189,08</t>
        </is>
      </c>
      <c r="AH448" s="27" t="inlineStr">
        <is>
          <t>AJ_LIST</t>
        </is>
      </c>
      <c r="AI448" s="27" t="inlineStr">
        <is>
          <t>2022-11-01</t>
        </is>
      </c>
      <c r="AJ448" s="27" t="inlineStr">
        <is>
          <t>OK_NO_TOTALS</t>
        </is>
      </c>
      <c r="AK448" s="29" t="inlineStr">
        <is>
          <t>5014104-85.2021.8.21.0010</t>
        </is>
      </c>
      <c r="AL448" s="29" t="inlineStr">
        <is>
          <t>TJRS</t>
        </is>
      </c>
      <c r="AM448" s="29" t="inlineStr">
        <is>
          <t>ACTIVE</t>
        </is>
      </c>
      <c r="AN448" s="29" t="n">
        <v>2021</v>
      </c>
      <c r="AO448" s="29" t="inlineStr">
        <is>
          <t>5y since filing, no plan document</t>
        </is>
      </c>
      <c r="AP448" s="29" t="inlineStr"/>
      <c r="AQ448" s="29" t="inlineStr"/>
      <c r="AR448" s="29" t="inlineStr"/>
      <c r="AS448" s="29" t="inlineStr"/>
      <c r="AT448" s="29" t="inlineStr">
        <is>
          <t>MID-MARKET</t>
        </is>
      </c>
      <c r="AU448" s="29" t="inlineStr">
        <is>
          <t>23956882</t>
        </is>
      </c>
      <c r="AV448" s="29" t="n">
        <v>1</v>
      </c>
      <c r="AW448" s="29" t="inlineStr">
        <is>
          <t>LIKELY_FINANCIAL_BY_NAME ROWS:p9r28 UNRECONCILED_SOURCE</t>
        </is>
      </c>
    </row>
    <row r="449">
      <c r="A449" s="15" t="inlineStr">
        <is>
          <t>META FUNDO DE INVESTIMENTO EM DIREITOS CREDITORIOS (</t>
        </is>
      </c>
      <c r="B449" s="16" t="n">
        <v>205684.95</v>
      </c>
      <c r="C449" s="17" t="inlineStr">
        <is>
          <t>VECTOR INDUSTRIA DE PRODUTOS METALURGICOS LTDA - EM RECUPERACAO JUDICIAL</t>
        </is>
      </c>
      <c r="D449" s="18" t="inlineStr">
        <is>
          <t>NEW</t>
        </is>
      </c>
      <c r="E449" s="19" t="inlineStr"/>
      <c r="F449" s="18" t="inlineStr"/>
      <c r="G449" s="19" t="inlineStr"/>
      <c r="H449" s="18" t="inlineStr"/>
      <c r="I449" s="20" t="inlineStr"/>
      <c r="J449" s="20" t="inlineStr"/>
      <c r="K449" s="20" t="inlineStr"/>
      <c r="L449" s="20" t="inlineStr"/>
      <c r="M449" s="20" t="inlineStr"/>
      <c r="N449" s="20" t="inlineStr"/>
      <c r="O449" s="20" t="inlineStr"/>
      <c r="P449" s="20" t="inlineStr"/>
      <c r="Q449" s="20" t="inlineStr"/>
      <c r="R449" s="20" t="inlineStr"/>
      <c r="S449" s="20" t="inlineStr"/>
      <c r="T449" s="21" t="n">
        <v>205684.95</v>
      </c>
      <c r="U449" s="31" t="inlineStr">
        <is>
          <t>C</t>
        </is>
      </c>
      <c r="V449" s="23">
        <f>IFERROR(VLOOKUP(U449,Assumptions!$A$7:$D$11,2,FALSE),0)</f>
        <v/>
      </c>
      <c r="W449" s="24">
        <f>MAX(0.5,IFERROR(VLOOKUP(U449,Assumptions!$A$7:$D$11,3,FALSE),3)+IFERROR(VLOOKUP(U449,Assumptions!$A$7:$D$11,4,FALSE),8)/2-IF(AN449="",0,YEAR(TODAY())-AN449))</f>
        <v/>
      </c>
      <c r="X449" s="21">
        <f>T449*V449/(1+Assumptions!$B$3)^W449</f>
        <v/>
      </c>
      <c r="Y449" s="25">
        <f>IF(T449=0,"",ROUND(X449/T449*100,1))</f>
        <v/>
      </c>
      <c r="Z449" s="26">
        <f>X449*Assumptions!$B$4</f>
        <v/>
      </c>
      <c r="AA449" s="25">
        <f>IF(T449=0,"",ROUND(Z449/T449*100,1))</f>
        <v/>
      </c>
      <c r="AB449" s="26">
        <f>X449-Z449</f>
        <v/>
      </c>
      <c r="AC449" s="25">
        <f>IF(T449=0,"",ROUND((X449-Z449)/T449*100,1))</f>
        <v/>
      </c>
      <c r="AD449" s="27" t="inlineStr">
        <is>
          <t>ESTIMATED</t>
        </is>
      </c>
      <c r="AE449" s="28" t="inlineStr">
        <is>
          <t>https://scalzilliaj.com.br/sgc/download.php?file=files/processo_documento/processo_documento15513401112022_1_.pdf&amp;nome=15 - Edital do art. 7º, §2º (segunda lista de credores) e do art. 53 da Lei 11.101/2005 (recebimento do plano)</t>
        </is>
      </c>
      <c r="AF449" s="27" t="inlineStr">
        <is>
          <t>p8 r20</t>
        </is>
      </c>
      <c r="AG449" s="27" t="inlineStr">
        <is>
          <t>p8: R$ 205.684,95</t>
        </is>
      </c>
      <c r="AH449" s="27" t="inlineStr">
        <is>
          <t>AJ_LIST</t>
        </is>
      </c>
      <c r="AI449" s="27" t="inlineStr">
        <is>
          <t>2022-11-01</t>
        </is>
      </c>
      <c r="AJ449" s="27" t="inlineStr">
        <is>
          <t>OK_NO_TOTALS</t>
        </is>
      </c>
      <c r="AK449" s="29" t="inlineStr">
        <is>
          <t>5014104-85.2021.8.21.0010</t>
        </is>
      </c>
      <c r="AL449" s="29" t="inlineStr">
        <is>
          <t>TJRS</t>
        </is>
      </c>
      <c r="AM449" s="29" t="inlineStr">
        <is>
          <t>ACTIVE</t>
        </is>
      </c>
      <c r="AN449" s="29" t="n">
        <v>2021</v>
      </c>
      <c r="AO449" s="29" t="inlineStr">
        <is>
          <t>5y since filing, no plan document</t>
        </is>
      </c>
      <c r="AP449" s="29" t="inlineStr"/>
      <c r="AQ449" s="29" t="inlineStr"/>
      <c r="AR449" s="29" t="inlineStr"/>
      <c r="AS449" s="29" t="inlineStr"/>
      <c r="AT449" s="29" t="inlineStr">
        <is>
          <t>MID-MARKET</t>
        </is>
      </c>
      <c r="AU449" s="29" t="inlineStr">
        <is>
          <t>29953928</t>
        </is>
      </c>
      <c r="AV449" s="29" t="n">
        <v>1</v>
      </c>
      <c r="AW449" s="29" t="inlineStr">
        <is>
          <t>LIKELY_FINANCIAL_BY_NAME ROWS:p8r20 UNRECONCILED_SOURCE</t>
        </is>
      </c>
    </row>
    <row r="450">
      <c r="A450" s="15" t="inlineStr">
        <is>
          <t>BANCO SANTANDER (BRASIL) S.A.</t>
        </is>
      </c>
      <c r="B450" s="16" t="n">
        <v>710368.89</v>
      </c>
      <c r="C450" s="17" t="inlineStr">
        <is>
          <t>MUNDO BIZARRO IMPORTACAO E EXPORTACAO LTDA FALIDO</t>
        </is>
      </c>
      <c r="D450" s="18" t="inlineStr">
        <is>
          <t>NEW</t>
        </is>
      </c>
      <c r="E450" s="19" t="inlineStr"/>
      <c r="F450" s="18" t="inlineStr"/>
      <c r="G450" s="19" t="inlineStr"/>
      <c r="H450" s="18" t="inlineStr"/>
      <c r="I450" s="20" t="inlineStr">
        <is>
          <t>GILSON FINKELSZTAIN</t>
        </is>
      </c>
      <c r="J450" s="20" t="inlineStr">
        <is>
          <t>Presidente</t>
        </is>
      </c>
      <c r="K450" s="20" t="inlineStr">
        <is>
          <t>(11) 4004-3535</t>
        </is>
      </c>
      <c r="L450" s="20" t="inlineStr"/>
      <c r="M450" s="20" t="inlineStr"/>
      <c r="N450" s="20" t="inlineStr"/>
      <c r="O450" s="20" t="inlineStr"/>
      <c r="P450" s="20" t="inlineStr">
        <is>
          <t>ALESSANDRO CHAGAS FARIAS</t>
        </is>
      </c>
      <c r="Q450" s="20" t="inlineStr">
        <is>
          <t>Diretor</t>
        </is>
      </c>
      <c r="R450" s="20" t="inlineStr">
        <is>
          <t>(11) 4004-3535</t>
        </is>
      </c>
      <c r="S450" s="20" t="inlineStr"/>
      <c r="T450" s="21" t="n">
        <v>710368.89</v>
      </c>
      <c r="U450" s="33" t="inlineStr">
        <is>
          <t>D</t>
        </is>
      </c>
      <c r="V450" s="23">
        <f>IFERROR(VLOOKUP(U450,Assumptions!$A$7:$D$11,2,FALSE),0)</f>
        <v/>
      </c>
      <c r="W450" s="24">
        <f>MAX(0.5,IFERROR(VLOOKUP(U450,Assumptions!$A$7:$D$11,3,FALSE),3)+IFERROR(VLOOKUP(U450,Assumptions!$A$7:$D$11,4,FALSE),8)/2-IF(AN450="",0,YEAR(TODAY())-AN450))</f>
        <v/>
      </c>
      <c r="X450" s="21">
        <f>T450*V450/(1+Assumptions!$B$3)^W450</f>
        <v/>
      </c>
      <c r="Y450" s="25">
        <f>IF(T450=0,"",ROUND(X450/T450*100,1))</f>
        <v/>
      </c>
      <c r="Z450" s="26">
        <f>X450*Assumptions!$B$4</f>
        <v/>
      </c>
      <c r="AA450" s="25">
        <f>IF(T450=0,"",ROUND(Z450/T450*100,1))</f>
        <v/>
      </c>
      <c r="AB450" s="26">
        <f>X450-Z450</f>
        <v/>
      </c>
      <c r="AC450" s="25">
        <f>IF(T450=0,"",ROUND((X450-Z450)/T450*100,1))</f>
        <v/>
      </c>
      <c r="AD450" s="27" t="inlineStr">
        <is>
          <t>UNKNOWN</t>
        </is>
      </c>
      <c r="AE450" s="28" t="inlineStr">
        <is>
          <t>https://administradorajudicialgs.com.br/wp-content/uploads/2024/10/relacao-de-credores-e-verificacao-de-credito-2025.pdf</t>
        </is>
      </c>
      <c r="AF450" s="27" t="inlineStr">
        <is>
          <t>p16 r3; p17 r2</t>
        </is>
      </c>
      <c r="AG450" s="27" t="inlineStr">
        <is>
          <t>p16: R$ 710.368,89; p17: R$ 710.368,89</t>
        </is>
      </c>
      <c r="AH450" s="27" t="inlineStr">
        <is>
          <t>AJ_LIST</t>
        </is>
      </c>
      <c r="AI450" s="27" t="inlineStr">
        <is>
          <t>2025-04-24</t>
        </is>
      </c>
      <c r="AJ450" s="27" t="inlineStr">
        <is>
          <t>OK_NO_TOTALS</t>
        </is>
      </c>
      <c r="AK450" s="29" t="inlineStr">
        <is>
          <t>5100227-29.2022.8.24.0023</t>
        </is>
      </c>
      <c r="AL450" s="29" t="inlineStr">
        <is>
          <t>TJ</t>
        </is>
      </c>
      <c r="AM450" s="29" t="inlineStr"/>
      <c r="AN450" s="29" t="n">
        <v>2022</v>
      </c>
      <c r="AO450" s="29" t="inlineStr">
        <is>
          <t>debtor not ATIVA at RFB (04)</t>
        </is>
      </c>
      <c r="AP450" s="29" t="inlineStr">
        <is>
          <t>SAO PAULO</t>
        </is>
      </c>
      <c r="AQ450" s="29" t="inlineStr">
        <is>
          <t>SP</t>
        </is>
      </c>
      <c r="AR450" s="29" t="inlineStr">
        <is>
          <t>Bancos múltiplos, com carteira comercial</t>
        </is>
      </c>
      <c r="AS450" s="29" t="inlineStr">
        <is>
          <t>DEMAIS</t>
        </is>
      </c>
      <c r="AT450" s="29" t="inlineStr">
        <is>
          <t>LARGE CORP</t>
        </is>
      </c>
      <c r="AU450" s="29" t="inlineStr">
        <is>
          <t>90400888</t>
        </is>
      </c>
      <c r="AV450" s="29" t="n">
        <v>1</v>
      </c>
      <c r="AW450" s="29" t="inlineStr">
        <is>
          <t>ROWS:p16r3 UNRECONCILED_SOURCE</t>
        </is>
      </c>
    </row>
    <row r="451">
      <c r="A451" s="15" t="inlineStr">
        <is>
          <t>BANCO COOPERATIVO SICOOB S.A.</t>
        </is>
      </c>
      <c r="B451" s="16" t="n">
        <v>448885.44</v>
      </c>
      <c r="C451" s="17" t="inlineStr">
        <is>
          <t>MUNDO BIZARRO IMPORTACAO E EXPORTACAO LTDA FALIDO</t>
        </is>
      </c>
      <c r="D451" s="18" t="inlineStr">
        <is>
          <t>NEW</t>
        </is>
      </c>
      <c r="E451" s="19" t="inlineStr"/>
      <c r="F451" s="18" t="inlineStr"/>
      <c r="G451" s="19" t="inlineStr"/>
      <c r="H451" s="18" t="inlineStr"/>
      <c r="I451" s="20" t="inlineStr">
        <is>
          <t>MARCO AURELIO BORGES DE ALMADA ABREU</t>
        </is>
      </c>
      <c r="J451" s="20" t="inlineStr">
        <is>
          <t>Presidente</t>
        </is>
      </c>
      <c r="K451" s="20" t="inlineStr">
        <is>
          <t>(61) 3217-5200</t>
        </is>
      </c>
      <c r="L451" s="20" t="inlineStr"/>
      <c r="M451" s="20" t="inlineStr"/>
      <c r="N451" s="20" t="inlineStr"/>
      <c r="O451" s="20" t="inlineStr"/>
      <c r="P451" s="20" t="inlineStr">
        <is>
          <t>ANTONIO CANDIDO VILACA JUNIOR</t>
        </is>
      </c>
      <c r="Q451" s="20" t="inlineStr">
        <is>
          <t>Diretor</t>
        </is>
      </c>
      <c r="R451" s="20" t="inlineStr">
        <is>
          <t>(61) 3217-5200</t>
        </is>
      </c>
      <c r="S451" s="20" t="inlineStr"/>
      <c r="T451" s="21" t="n">
        <v>448885.44</v>
      </c>
      <c r="U451" s="33" t="inlineStr">
        <is>
          <t>D</t>
        </is>
      </c>
      <c r="V451" s="23">
        <f>IFERROR(VLOOKUP(U451,Assumptions!$A$7:$D$11,2,FALSE),0)</f>
        <v/>
      </c>
      <c r="W451" s="24">
        <f>MAX(0.5,IFERROR(VLOOKUP(U451,Assumptions!$A$7:$D$11,3,FALSE),3)+IFERROR(VLOOKUP(U451,Assumptions!$A$7:$D$11,4,FALSE),8)/2-IF(AN451="",0,YEAR(TODAY())-AN451))</f>
        <v/>
      </c>
      <c r="X451" s="21">
        <f>T451*V451/(1+Assumptions!$B$3)^W451</f>
        <v/>
      </c>
      <c r="Y451" s="25">
        <f>IF(T451=0,"",ROUND(X451/T451*100,1))</f>
        <v/>
      </c>
      <c r="Z451" s="26">
        <f>X451*Assumptions!$B$4</f>
        <v/>
      </c>
      <c r="AA451" s="25">
        <f>IF(T451=0,"",ROUND(Z451/T451*100,1))</f>
        <v/>
      </c>
      <c r="AB451" s="26">
        <f>X451-Z451</f>
        <v/>
      </c>
      <c r="AC451" s="25">
        <f>IF(T451=0,"",ROUND((X451-Z451)/T451*100,1))</f>
        <v/>
      </c>
      <c r="AD451" s="27" t="inlineStr">
        <is>
          <t>UNKNOWN</t>
        </is>
      </c>
      <c r="AE451" s="28" t="inlineStr">
        <is>
          <t>https://administradorajudicialgs.com.br/wp-content/uploads/2024/10/relacao-de-credores-e-verificacao-de-credito-2025.pdf</t>
        </is>
      </c>
      <c r="AF451" s="27" t="inlineStr">
        <is>
          <t>p16 r5</t>
        </is>
      </c>
      <c r="AG451" s="27" t="inlineStr">
        <is>
          <t>p16: R$ 448.885,44</t>
        </is>
      </c>
      <c r="AH451" s="27" t="inlineStr">
        <is>
          <t>AJ_LIST</t>
        </is>
      </c>
      <c r="AI451" s="27" t="inlineStr">
        <is>
          <t>2025-04-24</t>
        </is>
      </c>
      <c r="AJ451" s="27" t="inlineStr">
        <is>
          <t>OK_NO_TOTALS</t>
        </is>
      </c>
      <c r="AK451" s="29" t="inlineStr">
        <is>
          <t>5100227-29.2022.8.24.0023</t>
        </is>
      </c>
      <c r="AL451" s="29" t="inlineStr">
        <is>
          <t>TJ</t>
        </is>
      </c>
      <c r="AM451" s="29" t="inlineStr"/>
      <c r="AN451" s="29" t="n">
        <v>2022</v>
      </c>
      <c r="AO451" s="29" t="inlineStr">
        <is>
          <t>debtor not ATIVA at RFB (04)</t>
        </is>
      </c>
      <c r="AP451" s="29" t="inlineStr">
        <is>
          <t>BRASILIA</t>
        </is>
      </c>
      <c r="AQ451" s="29" t="inlineStr">
        <is>
          <t>DF</t>
        </is>
      </c>
      <c r="AR451" s="29" t="inlineStr">
        <is>
          <t>Bancos cooperativos</t>
        </is>
      </c>
      <c r="AS451" s="29" t="inlineStr">
        <is>
          <t>DEMAIS</t>
        </is>
      </c>
      <c r="AT451" s="29" t="inlineStr">
        <is>
          <t>LARGE CORP</t>
        </is>
      </c>
      <c r="AU451" s="29" t="inlineStr">
        <is>
          <t>02038232</t>
        </is>
      </c>
      <c r="AV451" s="29" t="n">
        <v>1</v>
      </c>
      <c r="AW451" s="29" t="inlineStr">
        <is>
          <t>ROWS:p16r5 UNRECONCILED_SOURCE</t>
        </is>
      </c>
    </row>
  </sheetData>
  <autoFilter ref="A1:AW451"/>
  <conditionalFormatting sqref="D2:D451">
    <cfRule type="cellIs" priority="1" operator="equal" dxfId="0">
      <formula>"DEAL"</formula>
    </cfRule>
    <cfRule type="cellIs" priority="2" operator="equal" dxfId="0">
      <formula>"INTERESTED"</formula>
    </cfRule>
    <cfRule type="cellIs" priority="3" operator="equal" dxfId="1">
      <formula>"DEAD"</formula>
    </cfRule>
    <cfRule type="cellIs" priority="4" operator="equal" dxfId="1">
      <formula>"NOT INTERESTED"</formula>
    </cfRule>
  </conditionalFormatting>
  <conditionalFormatting sqref="G2:G451">
    <cfRule type="expression" priority="5" dxfId="1">
      <formula>AND(G2&lt;&gt;"",G2&lt;TODAY(),D2&lt;&gt;"DEAD",D2&lt;&gt;"DEAL")</formula>
    </cfRule>
    <cfRule type="expression" priority="6" dxfId="2">
      <formula>G2=TODAY()</formula>
    </cfRule>
  </conditionalFormatting>
  <dataValidations count="2">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showDropDown="0" showInputMessage="0" showErrorMessage="0" allowBlank="1" type="list">
      <formula1>"NEW,QUEUED,EMAILED,CALLED,VOICEMAIL,CONNECTED,INTERESTED,NOT INTERESTED,CALL BACK,DEAD,DEAL"</formula1>
    </dataValidation>
    <dataValidation sqref="U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U203 U204 U205 U206 U207 U208 U209 U210 U211 U212 U213 U214 U215 U216 U217 U218 U219 U220 U221 U222 U223 U224 U225 U226 U227 U228 U229 U230 U231 U232 U233 U234 U235 U236 U237 U238 U239 U240 U241 U242 U243 U244 U245 U246 U247 U248 U249 U250 U251 U252 U253 U254 U255 U256 U257 U258 U259 U260 U261 U262 U263 U264 U265 U266 U267 U268 U269 U270 U271 U272 U273 U274 U275 U276 U277 U278 U279 U280 U281 U282 U283 U284 U285 U286 U287 U288 U289 U290 U291 U292 U293 U294 U295 U296 U297 U298 U299 U300 U301 U302 U303 U304 U305 U306 U307 U308 U309 U310 U311 U312 U313 U314 U315 U316 U317 U318 U319 U320 U321 U322 U323 U324 U325 U326 U327 U328 U329 U330 U331 U332 U333 U334 U335 U336 U337 U338 U339 U340 U341 U342 U343 U344 U345 U346 U347 U348 U349 U350 U351 U352 U353 U354 U355 U356 U357 U358 U359 U360 U361 U362 U363 U364 U365 U366 U367 U368 U369 U370 U371 U372 U373 U374 U375 U376 U377 U378 U379 U380 U381 U382 U383 U384 U385 U386 U387 U388 U389 U390 U391 U392 U393 U394 U395 U396 U397 U398 U399 U400 U401 U402 U403 U404 U405 U406 U407 U408 U409 U410 U411 U412 U413 U414 U415 U416 U417 U418 U419 U420 U421 U422 U423 U424 U425 U426 U427 U428 U429 U430 U431 U432 U433 U434 U435 U436 U437 U438 U439 U440 U441 U442 U443 U444 U445 U446 U447 U448 U449 U450 U451" showDropDown="0" showInputMessage="0" showErrorMessage="0" allowBlank="1" type="list">
      <formula1>"A,B,C,D,?"</formula1>
    </dataValidation>
  </dataValidations>
  <hyperlinks>
    <hyperlink xmlns:r="http://schemas.openxmlformats.org/officeDocument/2006/relationships" ref="AE2" r:id="rId1"/>
    <hyperlink xmlns:r="http://schemas.openxmlformats.org/officeDocument/2006/relationships" ref="AE3" r:id="rId2"/>
    <hyperlink xmlns:r="http://schemas.openxmlformats.org/officeDocument/2006/relationships" ref="AE4" r:id="rId3"/>
    <hyperlink xmlns:r="http://schemas.openxmlformats.org/officeDocument/2006/relationships" ref="AE5" r:id="rId4"/>
    <hyperlink xmlns:r="http://schemas.openxmlformats.org/officeDocument/2006/relationships" ref="AE6" r:id="rId5"/>
    <hyperlink xmlns:r="http://schemas.openxmlformats.org/officeDocument/2006/relationships" ref="AE7" r:id="rId6"/>
    <hyperlink xmlns:r="http://schemas.openxmlformats.org/officeDocument/2006/relationships" ref="AE8" r:id="rId7"/>
    <hyperlink xmlns:r="http://schemas.openxmlformats.org/officeDocument/2006/relationships" ref="AE9" r:id="rId8"/>
    <hyperlink xmlns:r="http://schemas.openxmlformats.org/officeDocument/2006/relationships" ref="AE10" r:id="rId9"/>
    <hyperlink xmlns:r="http://schemas.openxmlformats.org/officeDocument/2006/relationships" ref="AE11" r:id="rId10"/>
    <hyperlink xmlns:r="http://schemas.openxmlformats.org/officeDocument/2006/relationships" ref="AE12" r:id="rId11"/>
    <hyperlink xmlns:r="http://schemas.openxmlformats.org/officeDocument/2006/relationships" ref="AE13" r:id="rId12"/>
    <hyperlink xmlns:r="http://schemas.openxmlformats.org/officeDocument/2006/relationships" ref="AE14" r:id="rId13"/>
    <hyperlink xmlns:r="http://schemas.openxmlformats.org/officeDocument/2006/relationships" ref="AE15" r:id="rId14"/>
    <hyperlink xmlns:r="http://schemas.openxmlformats.org/officeDocument/2006/relationships" ref="AE16" r:id="rId15"/>
    <hyperlink xmlns:r="http://schemas.openxmlformats.org/officeDocument/2006/relationships" ref="AE17" r:id="rId16"/>
    <hyperlink xmlns:r="http://schemas.openxmlformats.org/officeDocument/2006/relationships" ref="AE18" r:id="rId17"/>
    <hyperlink xmlns:r="http://schemas.openxmlformats.org/officeDocument/2006/relationships" ref="AE19" r:id="rId18"/>
    <hyperlink xmlns:r="http://schemas.openxmlformats.org/officeDocument/2006/relationships" ref="AE20" r:id="rId19"/>
    <hyperlink xmlns:r="http://schemas.openxmlformats.org/officeDocument/2006/relationships" ref="AE21" r:id="rId20"/>
    <hyperlink xmlns:r="http://schemas.openxmlformats.org/officeDocument/2006/relationships" ref="AE22" r:id="rId21"/>
    <hyperlink xmlns:r="http://schemas.openxmlformats.org/officeDocument/2006/relationships" ref="AE23" r:id="rId22"/>
    <hyperlink xmlns:r="http://schemas.openxmlformats.org/officeDocument/2006/relationships" ref="AE24" r:id="rId23"/>
    <hyperlink xmlns:r="http://schemas.openxmlformats.org/officeDocument/2006/relationships" ref="AE25" r:id="rId24"/>
    <hyperlink xmlns:r="http://schemas.openxmlformats.org/officeDocument/2006/relationships" ref="AE26" r:id="rId25"/>
    <hyperlink xmlns:r="http://schemas.openxmlformats.org/officeDocument/2006/relationships" ref="AE27" r:id="rId26"/>
    <hyperlink xmlns:r="http://schemas.openxmlformats.org/officeDocument/2006/relationships" ref="AE28" r:id="rId27"/>
    <hyperlink xmlns:r="http://schemas.openxmlformats.org/officeDocument/2006/relationships" ref="AE29" r:id="rId28"/>
    <hyperlink xmlns:r="http://schemas.openxmlformats.org/officeDocument/2006/relationships" ref="AE30" r:id="rId29"/>
    <hyperlink xmlns:r="http://schemas.openxmlformats.org/officeDocument/2006/relationships" ref="AE31" r:id="rId30"/>
    <hyperlink xmlns:r="http://schemas.openxmlformats.org/officeDocument/2006/relationships" ref="AE32" r:id="rId31"/>
    <hyperlink xmlns:r="http://schemas.openxmlformats.org/officeDocument/2006/relationships" ref="AE33" r:id="rId32"/>
    <hyperlink xmlns:r="http://schemas.openxmlformats.org/officeDocument/2006/relationships" ref="AE34" r:id="rId33"/>
    <hyperlink xmlns:r="http://schemas.openxmlformats.org/officeDocument/2006/relationships" ref="AE35" r:id="rId34"/>
    <hyperlink xmlns:r="http://schemas.openxmlformats.org/officeDocument/2006/relationships" ref="AE36" r:id="rId35"/>
    <hyperlink xmlns:r="http://schemas.openxmlformats.org/officeDocument/2006/relationships" ref="AE37" r:id="rId36"/>
    <hyperlink xmlns:r="http://schemas.openxmlformats.org/officeDocument/2006/relationships" ref="AE38" r:id="rId37"/>
    <hyperlink xmlns:r="http://schemas.openxmlformats.org/officeDocument/2006/relationships" ref="AE39" r:id="rId38"/>
    <hyperlink xmlns:r="http://schemas.openxmlformats.org/officeDocument/2006/relationships" ref="AE40" r:id="rId39"/>
    <hyperlink xmlns:r="http://schemas.openxmlformats.org/officeDocument/2006/relationships" ref="AE41" r:id="rId40"/>
    <hyperlink xmlns:r="http://schemas.openxmlformats.org/officeDocument/2006/relationships" ref="AE42" r:id="rId41"/>
    <hyperlink xmlns:r="http://schemas.openxmlformats.org/officeDocument/2006/relationships" ref="AE43" r:id="rId42"/>
    <hyperlink xmlns:r="http://schemas.openxmlformats.org/officeDocument/2006/relationships" ref="AE44" r:id="rId43"/>
    <hyperlink xmlns:r="http://schemas.openxmlformats.org/officeDocument/2006/relationships" ref="AE45" r:id="rId44"/>
    <hyperlink xmlns:r="http://schemas.openxmlformats.org/officeDocument/2006/relationships" ref="AE46" r:id="rId45"/>
    <hyperlink xmlns:r="http://schemas.openxmlformats.org/officeDocument/2006/relationships" ref="AE47" r:id="rId46"/>
    <hyperlink xmlns:r="http://schemas.openxmlformats.org/officeDocument/2006/relationships" ref="AE48" r:id="rId47"/>
    <hyperlink xmlns:r="http://schemas.openxmlformats.org/officeDocument/2006/relationships" ref="AE49" r:id="rId48"/>
    <hyperlink xmlns:r="http://schemas.openxmlformats.org/officeDocument/2006/relationships" ref="AE50" r:id="rId49"/>
    <hyperlink xmlns:r="http://schemas.openxmlformats.org/officeDocument/2006/relationships" ref="AE51" r:id="rId50"/>
    <hyperlink xmlns:r="http://schemas.openxmlformats.org/officeDocument/2006/relationships" ref="AE52" r:id="rId51"/>
    <hyperlink xmlns:r="http://schemas.openxmlformats.org/officeDocument/2006/relationships" ref="AE53" r:id="rId52"/>
    <hyperlink xmlns:r="http://schemas.openxmlformats.org/officeDocument/2006/relationships" ref="AE54" r:id="rId53"/>
    <hyperlink xmlns:r="http://schemas.openxmlformats.org/officeDocument/2006/relationships" ref="AE55" r:id="rId54"/>
    <hyperlink xmlns:r="http://schemas.openxmlformats.org/officeDocument/2006/relationships" ref="AE56" r:id="rId55"/>
    <hyperlink xmlns:r="http://schemas.openxmlformats.org/officeDocument/2006/relationships" ref="AE57" r:id="rId56"/>
    <hyperlink xmlns:r="http://schemas.openxmlformats.org/officeDocument/2006/relationships" ref="AE58" r:id="rId57"/>
    <hyperlink xmlns:r="http://schemas.openxmlformats.org/officeDocument/2006/relationships" ref="AE59" r:id="rId58"/>
    <hyperlink xmlns:r="http://schemas.openxmlformats.org/officeDocument/2006/relationships" ref="AE60" r:id="rId59"/>
    <hyperlink xmlns:r="http://schemas.openxmlformats.org/officeDocument/2006/relationships" ref="AE61" r:id="rId60"/>
    <hyperlink xmlns:r="http://schemas.openxmlformats.org/officeDocument/2006/relationships" ref="AE62" r:id="rId61"/>
    <hyperlink xmlns:r="http://schemas.openxmlformats.org/officeDocument/2006/relationships" ref="AE63" r:id="rId62"/>
    <hyperlink xmlns:r="http://schemas.openxmlformats.org/officeDocument/2006/relationships" ref="AE64" r:id="rId63"/>
    <hyperlink xmlns:r="http://schemas.openxmlformats.org/officeDocument/2006/relationships" ref="AE65" r:id="rId64"/>
    <hyperlink xmlns:r="http://schemas.openxmlformats.org/officeDocument/2006/relationships" ref="AE66" r:id="rId65"/>
    <hyperlink xmlns:r="http://schemas.openxmlformats.org/officeDocument/2006/relationships" ref="AE67" r:id="rId66"/>
    <hyperlink xmlns:r="http://schemas.openxmlformats.org/officeDocument/2006/relationships" ref="AE68" r:id="rId67"/>
    <hyperlink xmlns:r="http://schemas.openxmlformats.org/officeDocument/2006/relationships" ref="AE69" r:id="rId68"/>
    <hyperlink xmlns:r="http://schemas.openxmlformats.org/officeDocument/2006/relationships" ref="AE70" r:id="rId69"/>
    <hyperlink xmlns:r="http://schemas.openxmlformats.org/officeDocument/2006/relationships" ref="AE71" r:id="rId70"/>
    <hyperlink xmlns:r="http://schemas.openxmlformats.org/officeDocument/2006/relationships" ref="AE72" r:id="rId71"/>
    <hyperlink xmlns:r="http://schemas.openxmlformats.org/officeDocument/2006/relationships" ref="AE73" r:id="rId72"/>
    <hyperlink xmlns:r="http://schemas.openxmlformats.org/officeDocument/2006/relationships" ref="AE74" r:id="rId73"/>
    <hyperlink xmlns:r="http://schemas.openxmlformats.org/officeDocument/2006/relationships" ref="AE75" r:id="rId74"/>
    <hyperlink xmlns:r="http://schemas.openxmlformats.org/officeDocument/2006/relationships" ref="AE76" r:id="rId75"/>
    <hyperlink xmlns:r="http://schemas.openxmlformats.org/officeDocument/2006/relationships" ref="AE77" r:id="rId76"/>
    <hyperlink xmlns:r="http://schemas.openxmlformats.org/officeDocument/2006/relationships" ref="AE78" r:id="rId77"/>
    <hyperlink xmlns:r="http://schemas.openxmlformats.org/officeDocument/2006/relationships" ref="AE79" r:id="rId78"/>
    <hyperlink xmlns:r="http://schemas.openxmlformats.org/officeDocument/2006/relationships" ref="AE80" r:id="rId79"/>
    <hyperlink xmlns:r="http://schemas.openxmlformats.org/officeDocument/2006/relationships" ref="AE81" r:id="rId80"/>
    <hyperlink xmlns:r="http://schemas.openxmlformats.org/officeDocument/2006/relationships" ref="AE82" r:id="rId81"/>
    <hyperlink xmlns:r="http://schemas.openxmlformats.org/officeDocument/2006/relationships" ref="AE83" r:id="rId82"/>
    <hyperlink xmlns:r="http://schemas.openxmlformats.org/officeDocument/2006/relationships" ref="AE84" r:id="rId83"/>
    <hyperlink xmlns:r="http://schemas.openxmlformats.org/officeDocument/2006/relationships" ref="AE85" r:id="rId84"/>
    <hyperlink xmlns:r="http://schemas.openxmlformats.org/officeDocument/2006/relationships" ref="AE86" r:id="rId85"/>
    <hyperlink xmlns:r="http://schemas.openxmlformats.org/officeDocument/2006/relationships" ref="AE87" r:id="rId86"/>
    <hyperlink xmlns:r="http://schemas.openxmlformats.org/officeDocument/2006/relationships" ref="AE88" r:id="rId87"/>
    <hyperlink xmlns:r="http://schemas.openxmlformats.org/officeDocument/2006/relationships" ref="AE89" r:id="rId88"/>
    <hyperlink xmlns:r="http://schemas.openxmlformats.org/officeDocument/2006/relationships" ref="AE90" r:id="rId89"/>
    <hyperlink xmlns:r="http://schemas.openxmlformats.org/officeDocument/2006/relationships" ref="AE91" r:id="rId90"/>
    <hyperlink xmlns:r="http://schemas.openxmlformats.org/officeDocument/2006/relationships" ref="AE92" r:id="rId91"/>
    <hyperlink xmlns:r="http://schemas.openxmlformats.org/officeDocument/2006/relationships" ref="AE93" r:id="rId92"/>
    <hyperlink xmlns:r="http://schemas.openxmlformats.org/officeDocument/2006/relationships" ref="AE94" r:id="rId93"/>
    <hyperlink xmlns:r="http://schemas.openxmlformats.org/officeDocument/2006/relationships" ref="AE95" r:id="rId94"/>
    <hyperlink xmlns:r="http://schemas.openxmlformats.org/officeDocument/2006/relationships" ref="AE96" r:id="rId95"/>
    <hyperlink xmlns:r="http://schemas.openxmlformats.org/officeDocument/2006/relationships" ref="AE97" r:id="rId96"/>
    <hyperlink xmlns:r="http://schemas.openxmlformats.org/officeDocument/2006/relationships" ref="AE98" r:id="rId97"/>
    <hyperlink xmlns:r="http://schemas.openxmlformats.org/officeDocument/2006/relationships" ref="AE99" r:id="rId98"/>
    <hyperlink xmlns:r="http://schemas.openxmlformats.org/officeDocument/2006/relationships" ref="AE100" r:id="rId99"/>
    <hyperlink xmlns:r="http://schemas.openxmlformats.org/officeDocument/2006/relationships" ref="AE101" r:id="rId100"/>
    <hyperlink xmlns:r="http://schemas.openxmlformats.org/officeDocument/2006/relationships" ref="AE102" r:id="rId101"/>
    <hyperlink xmlns:r="http://schemas.openxmlformats.org/officeDocument/2006/relationships" ref="AE103" r:id="rId102"/>
    <hyperlink xmlns:r="http://schemas.openxmlformats.org/officeDocument/2006/relationships" ref="AE104" r:id="rId103"/>
    <hyperlink xmlns:r="http://schemas.openxmlformats.org/officeDocument/2006/relationships" ref="AE105" r:id="rId104"/>
    <hyperlink xmlns:r="http://schemas.openxmlformats.org/officeDocument/2006/relationships" ref="AE106" r:id="rId105"/>
    <hyperlink xmlns:r="http://schemas.openxmlformats.org/officeDocument/2006/relationships" ref="AE107" r:id="rId106"/>
    <hyperlink xmlns:r="http://schemas.openxmlformats.org/officeDocument/2006/relationships" ref="AE108" r:id="rId107"/>
    <hyperlink xmlns:r="http://schemas.openxmlformats.org/officeDocument/2006/relationships" ref="AE109" r:id="rId108"/>
    <hyperlink xmlns:r="http://schemas.openxmlformats.org/officeDocument/2006/relationships" ref="AE110" r:id="rId109"/>
    <hyperlink xmlns:r="http://schemas.openxmlformats.org/officeDocument/2006/relationships" ref="AE111" r:id="rId110"/>
    <hyperlink xmlns:r="http://schemas.openxmlformats.org/officeDocument/2006/relationships" ref="AE112" r:id="rId111"/>
    <hyperlink xmlns:r="http://schemas.openxmlformats.org/officeDocument/2006/relationships" ref="AE113" r:id="rId112"/>
    <hyperlink xmlns:r="http://schemas.openxmlformats.org/officeDocument/2006/relationships" ref="AE114" r:id="rId113"/>
    <hyperlink xmlns:r="http://schemas.openxmlformats.org/officeDocument/2006/relationships" ref="AE115" r:id="rId114"/>
    <hyperlink xmlns:r="http://schemas.openxmlformats.org/officeDocument/2006/relationships" ref="AE116" r:id="rId115"/>
    <hyperlink xmlns:r="http://schemas.openxmlformats.org/officeDocument/2006/relationships" ref="AE117" r:id="rId116"/>
    <hyperlink xmlns:r="http://schemas.openxmlformats.org/officeDocument/2006/relationships" ref="AE118" r:id="rId117"/>
    <hyperlink xmlns:r="http://schemas.openxmlformats.org/officeDocument/2006/relationships" ref="AE119" r:id="rId118"/>
    <hyperlink xmlns:r="http://schemas.openxmlformats.org/officeDocument/2006/relationships" ref="AE120" r:id="rId119"/>
    <hyperlink xmlns:r="http://schemas.openxmlformats.org/officeDocument/2006/relationships" ref="AE121" r:id="rId120"/>
    <hyperlink xmlns:r="http://schemas.openxmlformats.org/officeDocument/2006/relationships" ref="AE122" r:id="rId121"/>
    <hyperlink xmlns:r="http://schemas.openxmlformats.org/officeDocument/2006/relationships" ref="AE123" r:id="rId122"/>
    <hyperlink xmlns:r="http://schemas.openxmlformats.org/officeDocument/2006/relationships" ref="AE124" r:id="rId123"/>
    <hyperlink xmlns:r="http://schemas.openxmlformats.org/officeDocument/2006/relationships" ref="AE125" r:id="rId124"/>
    <hyperlink xmlns:r="http://schemas.openxmlformats.org/officeDocument/2006/relationships" ref="AE126" r:id="rId125"/>
    <hyperlink xmlns:r="http://schemas.openxmlformats.org/officeDocument/2006/relationships" ref="AE127" r:id="rId126"/>
    <hyperlink xmlns:r="http://schemas.openxmlformats.org/officeDocument/2006/relationships" ref="AE128" r:id="rId127"/>
    <hyperlink xmlns:r="http://schemas.openxmlformats.org/officeDocument/2006/relationships" ref="AE129" r:id="rId128"/>
    <hyperlink xmlns:r="http://schemas.openxmlformats.org/officeDocument/2006/relationships" ref="AE130" r:id="rId129"/>
    <hyperlink xmlns:r="http://schemas.openxmlformats.org/officeDocument/2006/relationships" ref="AE131" r:id="rId130"/>
    <hyperlink xmlns:r="http://schemas.openxmlformats.org/officeDocument/2006/relationships" ref="AE132" r:id="rId131"/>
    <hyperlink xmlns:r="http://schemas.openxmlformats.org/officeDocument/2006/relationships" ref="AE133" r:id="rId132"/>
    <hyperlink xmlns:r="http://schemas.openxmlformats.org/officeDocument/2006/relationships" ref="AE134" r:id="rId133"/>
    <hyperlink xmlns:r="http://schemas.openxmlformats.org/officeDocument/2006/relationships" ref="AE135" r:id="rId134"/>
    <hyperlink xmlns:r="http://schemas.openxmlformats.org/officeDocument/2006/relationships" ref="AE136" r:id="rId135"/>
    <hyperlink xmlns:r="http://schemas.openxmlformats.org/officeDocument/2006/relationships" ref="AE137" r:id="rId136"/>
    <hyperlink xmlns:r="http://schemas.openxmlformats.org/officeDocument/2006/relationships" ref="AE138" r:id="rId137"/>
    <hyperlink xmlns:r="http://schemas.openxmlformats.org/officeDocument/2006/relationships" ref="AE139" r:id="rId138"/>
    <hyperlink xmlns:r="http://schemas.openxmlformats.org/officeDocument/2006/relationships" ref="AE140" r:id="rId139"/>
    <hyperlink xmlns:r="http://schemas.openxmlformats.org/officeDocument/2006/relationships" ref="AE141" r:id="rId140"/>
    <hyperlink xmlns:r="http://schemas.openxmlformats.org/officeDocument/2006/relationships" ref="AE142" r:id="rId141"/>
    <hyperlink xmlns:r="http://schemas.openxmlformats.org/officeDocument/2006/relationships" ref="AE143" r:id="rId142"/>
    <hyperlink xmlns:r="http://schemas.openxmlformats.org/officeDocument/2006/relationships" ref="AE144" r:id="rId143"/>
    <hyperlink xmlns:r="http://schemas.openxmlformats.org/officeDocument/2006/relationships" ref="AE145" r:id="rId144"/>
    <hyperlink xmlns:r="http://schemas.openxmlformats.org/officeDocument/2006/relationships" ref="AE146" r:id="rId145"/>
    <hyperlink xmlns:r="http://schemas.openxmlformats.org/officeDocument/2006/relationships" ref="AE147" r:id="rId146"/>
    <hyperlink xmlns:r="http://schemas.openxmlformats.org/officeDocument/2006/relationships" ref="AE148" r:id="rId147"/>
    <hyperlink xmlns:r="http://schemas.openxmlformats.org/officeDocument/2006/relationships" ref="AE149" r:id="rId148"/>
    <hyperlink xmlns:r="http://schemas.openxmlformats.org/officeDocument/2006/relationships" ref="AE150" r:id="rId149"/>
    <hyperlink xmlns:r="http://schemas.openxmlformats.org/officeDocument/2006/relationships" ref="AE151" r:id="rId150"/>
    <hyperlink xmlns:r="http://schemas.openxmlformats.org/officeDocument/2006/relationships" ref="AE152" r:id="rId151"/>
    <hyperlink xmlns:r="http://schemas.openxmlformats.org/officeDocument/2006/relationships" ref="AE153" r:id="rId152"/>
    <hyperlink xmlns:r="http://schemas.openxmlformats.org/officeDocument/2006/relationships" ref="AE154" r:id="rId153"/>
    <hyperlink xmlns:r="http://schemas.openxmlformats.org/officeDocument/2006/relationships" ref="AE155" r:id="rId154"/>
    <hyperlink xmlns:r="http://schemas.openxmlformats.org/officeDocument/2006/relationships" ref="AE156" r:id="rId155"/>
    <hyperlink xmlns:r="http://schemas.openxmlformats.org/officeDocument/2006/relationships" ref="AE157" r:id="rId156"/>
    <hyperlink xmlns:r="http://schemas.openxmlformats.org/officeDocument/2006/relationships" ref="AE158" r:id="rId157"/>
    <hyperlink xmlns:r="http://schemas.openxmlformats.org/officeDocument/2006/relationships" ref="AE159" r:id="rId158"/>
    <hyperlink xmlns:r="http://schemas.openxmlformats.org/officeDocument/2006/relationships" ref="AE160" r:id="rId159"/>
    <hyperlink xmlns:r="http://schemas.openxmlformats.org/officeDocument/2006/relationships" ref="AE161" r:id="rId160"/>
    <hyperlink xmlns:r="http://schemas.openxmlformats.org/officeDocument/2006/relationships" ref="AE162" r:id="rId161"/>
    <hyperlink xmlns:r="http://schemas.openxmlformats.org/officeDocument/2006/relationships" ref="AE163" r:id="rId162"/>
    <hyperlink xmlns:r="http://schemas.openxmlformats.org/officeDocument/2006/relationships" ref="AE164" r:id="rId163"/>
    <hyperlink xmlns:r="http://schemas.openxmlformats.org/officeDocument/2006/relationships" ref="AE165" r:id="rId164"/>
    <hyperlink xmlns:r="http://schemas.openxmlformats.org/officeDocument/2006/relationships" ref="AE166" r:id="rId165"/>
    <hyperlink xmlns:r="http://schemas.openxmlformats.org/officeDocument/2006/relationships" ref="AE167" r:id="rId166"/>
    <hyperlink xmlns:r="http://schemas.openxmlformats.org/officeDocument/2006/relationships" ref="AE168" r:id="rId167"/>
    <hyperlink xmlns:r="http://schemas.openxmlformats.org/officeDocument/2006/relationships" ref="AE169" r:id="rId168"/>
    <hyperlink xmlns:r="http://schemas.openxmlformats.org/officeDocument/2006/relationships" ref="AE170" r:id="rId169"/>
    <hyperlink xmlns:r="http://schemas.openxmlformats.org/officeDocument/2006/relationships" ref="AE171" r:id="rId170"/>
    <hyperlink xmlns:r="http://schemas.openxmlformats.org/officeDocument/2006/relationships" ref="AE172" r:id="rId171"/>
    <hyperlink xmlns:r="http://schemas.openxmlformats.org/officeDocument/2006/relationships" ref="AE173" r:id="rId172"/>
    <hyperlink xmlns:r="http://schemas.openxmlformats.org/officeDocument/2006/relationships" ref="AE174" r:id="rId173"/>
    <hyperlink xmlns:r="http://schemas.openxmlformats.org/officeDocument/2006/relationships" ref="AE175" r:id="rId174"/>
    <hyperlink xmlns:r="http://schemas.openxmlformats.org/officeDocument/2006/relationships" ref="AE176" r:id="rId175"/>
    <hyperlink xmlns:r="http://schemas.openxmlformats.org/officeDocument/2006/relationships" ref="AE177" r:id="rId176"/>
    <hyperlink xmlns:r="http://schemas.openxmlformats.org/officeDocument/2006/relationships" ref="AE178" r:id="rId177"/>
    <hyperlink xmlns:r="http://schemas.openxmlformats.org/officeDocument/2006/relationships" ref="AE179" r:id="rId178"/>
    <hyperlink xmlns:r="http://schemas.openxmlformats.org/officeDocument/2006/relationships" ref="AE180" r:id="rId179"/>
    <hyperlink xmlns:r="http://schemas.openxmlformats.org/officeDocument/2006/relationships" ref="AE181" r:id="rId180"/>
    <hyperlink xmlns:r="http://schemas.openxmlformats.org/officeDocument/2006/relationships" ref="AE182" r:id="rId181"/>
    <hyperlink xmlns:r="http://schemas.openxmlformats.org/officeDocument/2006/relationships" ref="AE183" r:id="rId182"/>
    <hyperlink xmlns:r="http://schemas.openxmlformats.org/officeDocument/2006/relationships" ref="AE184" r:id="rId183"/>
    <hyperlink xmlns:r="http://schemas.openxmlformats.org/officeDocument/2006/relationships" ref="AE185" r:id="rId184"/>
    <hyperlink xmlns:r="http://schemas.openxmlformats.org/officeDocument/2006/relationships" ref="AE186" r:id="rId185"/>
    <hyperlink xmlns:r="http://schemas.openxmlformats.org/officeDocument/2006/relationships" ref="AE187" r:id="rId186"/>
    <hyperlink xmlns:r="http://schemas.openxmlformats.org/officeDocument/2006/relationships" ref="AE188" r:id="rId187"/>
    <hyperlink xmlns:r="http://schemas.openxmlformats.org/officeDocument/2006/relationships" ref="AE189" r:id="rId188"/>
    <hyperlink xmlns:r="http://schemas.openxmlformats.org/officeDocument/2006/relationships" ref="AE190" r:id="rId189"/>
    <hyperlink xmlns:r="http://schemas.openxmlformats.org/officeDocument/2006/relationships" ref="AE191" r:id="rId190"/>
    <hyperlink xmlns:r="http://schemas.openxmlformats.org/officeDocument/2006/relationships" ref="AE192" r:id="rId191"/>
    <hyperlink xmlns:r="http://schemas.openxmlformats.org/officeDocument/2006/relationships" ref="AE193" r:id="rId192"/>
    <hyperlink xmlns:r="http://schemas.openxmlformats.org/officeDocument/2006/relationships" ref="AE194" r:id="rId193"/>
    <hyperlink xmlns:r="http://schemas.openxmlformats.org/officeDocument/2006/relationships" ref="AE195" r:id="rId194"/>
    <hyperlink xmlns:r="http://schemas.openxmlformats.org/officeDocument/2006/relationships" ref="AE196" r:id="rId195"/>
    <hyperlink xmlns:r="http://schemas.openxmlformats.org/officeDocument/2006/relationships" ref="AE197" r:id="rId196"/>
    <hyperlink xmlns:r="http://schemas.openxmlformats.org/officeDocument/2006/relationships" ref="AE198" r:id="rId197"/>
    <hyperlink xmlns:r="http://schemas.openxmlformats.org/officeDocument/2006/relationships" ref="AE199" r:id="rId198"/>
    <hyperlink xmlns:r="http://schemas.openxmlformats.org/officeDocument/2006/relationships" ref="AE200" r:id="rId199"/>
    <hyperlink xmlns:r="http://schemas.openxmlformats.org/officeDocument/2006/relationships" ref="AE201" r:id="rId200"/>
    <hyperlink xmlns:r="http://schemas.openxmlformats.org/officeDocument/2006/relationships" ref="AE202" r:id="rId201"/>
    <hyperlink xmlns:r="http://schemas.openxmlformats.org/officeDocument/2006/relationships" ref="AE203" r:id="rId202"/>
    <hyperlink xmlns:r="http://schemas.openxmlformats.org/officeDocument/2006/relationships" ref="AE204" r:id="rId203"/>
    <hyperlink xmlns:r="http://schemas.openxmlformats.org/officeDocument/2006/relationships" ref="AE205" r:id="rId204"/>
    <hyperlink xmlns:r="http://schemas.openxmlformats.org/officeDocument/2006/relationships" ref="AE206" r:id="rId205"/>
    <hyperlink xmlns:r="http://schemas.openxmlformats.org/officeDocument/2006/relationships" ref="AE207" r:id="rId206"/>
    <hyperlink xmlns:r="http://schemas.openxmlformats.org/officeDocument/2006/relationships" ref="AE208" r:id="rId207"/>
    <hyperlink xmlns:r="http://schemas.openxmlformats.org/officeDocument/2006/relationships" ref="AE209" r:id="rId208"/>
    <hyperlink xmlns:r="http://schemas.openxmlformats.org/officeDocument/2006/relationships" ref="AE210" r:id="rId209"/>
    <hyperlink xmlns:r="http://schemas.openxmlformats.org/officeDocument/2006/relationships" ref="AE211" r:id="rId210"/>
    <hyperlink xmlns:r="http://schemas.openxmlformats.org/officeDocument/2006/relationships" ref="AE212" r:id="rId211"/>
    <hyperlink xmlns:r="http://schemas.openxmlformats.org/officeDocument/2006/relationships" ref="AE213" r:id="rId212"/>
    <hyperlink xmlns:r="http://schemas.openxmlformats.org/officeDocument/2006/relationships" ref="AE214" r:id="rId213"/>
    <hyperlink xmlns:r="http://schemas.openxmlformats.org/officeDocument/2006/relationships" ref="AE215" r:id="rId214"/>
    <hyperlink xmlns:r="http://schemas.openxmlformats.org/officeDocument/2006/relationships" ref="AE216" r:id="rId215"/>
    <hyperlink xmlns:r="http://schemas.openxmlformats.org/officeDocument/2006/relationships" ref="AE217" r:id="rId216"/>
    <hyperlink xmlns:r="http://schemas.openxmlformats.org/officeDocument/2006/relationships" ref="AE218" r:id="rId217"/>
    <hyperlink xmlns:r="http://schemas.openxmlformats.org/officeDocument/2006/relationships" ref="AE219" r:id="rId218"/>
    <hyperlink xmlns:r="http://schemas.openxmlformats.org/officeDocument/2006/relationships" ref="AE220" r:id="rId219"/>
    <hyperlink xmlns:r="http://schemas.openxmlformats.org/officeDocument/2006/relationships" ref="AE221" r:id="rId220"/>
    <hyperlink xmlns:r="http://schemas.openxmlformats.org/officeDocument/2006/relationships" ref="AE222" r:id="rId221"/>
    <hyperlink xmlns:r="http://schemas.openxmlformats.org/officeDocument/2006/relationships" ref="AE223" r:id="rId222"/>
    <hyperlink xmlns:r="http://schemas.openxmlformats.org/officeDocument/2006/relationships" ref="AE224" r:id="rId223"/>
    <hyperlink xmlns:r="http://schemas.openxmlformats.org/officeDocument/2006/relationships" ref="AE225" r:id="rId224"/>
    <hyperlink xmlns:r="http://schemas.openxmlformats.org/officeDocument/2006/relationships" ref="AE226" r:id="rId225"/>
    <hyperlink xmlns:r="http://schemas.openxmlformats.org/officeDocument/2006/relationships" ref="AE227" r:id="rId226"/>
    <hyperlink xmlns:r="http://schemas.openxmlformats.org/officeDocument/2006/relationships" ref="AE228" r:id="rId227"/>
    <hyperlink xmlns:r="http://schemas.openxmlformats.org/officeDocument/2006/relationships" ref="AE229" r:id="rId228"/>
    <hyperlink xmlns:r="http://schemas.openxmlformats.org/officeDocument/2006/relationships" ref="AE230" r:id="rId229"/>
    <hyperlink xmlns:r="http://schemas.openxmlformats.org/officeDocument/2006/relationships" ref="AE231" r:id="rId230"/>
    <hyperlink xmlns:r="http://schemas.openxmlformats.org/officeDocument/2006/relationships" ref="AE232" r:id="rId231"/>
    <hyperlink xmlns:r="http://schemas.openxmlformats.org/officeDocument/2006/relationships" ref="AE233" r:id="rId232"/>
    <hyperlink xmlns:r="http://schemas.openxmlformats.org/officeDocument/2006/relationships" ref="AE234" r:id="rId233"/>
    <hyperlink xmlns:r="http://schemas.openxmlformats.org/officeDocument/2006/relationships" ref="AE235" r:id="rId234"/>
    <hyperlink xmlns:r="http://schemas.openxmlformats.org/officeDocument/2006/relationships" ref="AE236" r:id="rId235"/>
    <hyperlink xmlns:r="http://schemas.openxmlformats.org/officeDocument/2006/relationships" ref="AE237" r:id="rId236"/>
    <hyperlink xmlns:r="http://schemas.openxmlformats.org/officeDocument/2006/relationships" ref="AE238" r:id="rId237"/>
    <hyperlink xmlns:r="http://schemas.openxmlformats.org/officeDocument/2006/relationships" ref="AE239" r:id="rId238"/>
    <hyperlink xmlns:r="http://schemas.openxmlformats.org/officeDocument/2006/relationships" ref="AE240" r:id="rId239"/>
    <hyperlink xmlns:r="http://schemas.openxmlformats.org/officeDocument/2006/relationships" ref="AE241" r:id="rId240"/>
    <hyperlink xmlns:r="http://schemas.openxmlformats.org/officeDocument/2006/relationships" ref="AE242" r:id="rId241"/>
    <hyperlink xmlns:r="http://schemas.openxmlformats.org/officeDocument/2006/relationships" ref="AE243" r:id="rId242"/>
    <hyperlink xmlns:r="http://schemas.openxmlformats.org/officeDocument/2006/relationships" ref="AE244" r:id="rId243"/>
    <hyperlink xmlns:r="http://schemas.openxmlformats.org/officeDocument/2006/relationships" ref="AE245" r:id="rId244"/>
    <hyperlink xmlns:r="http://schemas.openxmlformats.org/officeDocument/2006/relationships" ref="AE246" r:id="rId245"/>
    <hyperlink xmlns:r="http://schemas.openxmlformats.org/officeDocument/2006/relationships" ref="AE247" r:id="rId246"/>
    <hyperlink xmlns:r="http://schemas.openxmlformats.org/officeDocument/2006/relationships" ref="AE248" r:id="rId247"/>
    <hyperlink xmlns:r="http://schemas.openxmlformats.org/officeDocument/2006/relationships" ref="AE249" r:id="rId248"/>
    <hyperlink xmlns:r="http://schemas.openxmlformats.org/officeDocument/2006/relationships" ref="AE250" r:id="rId249"/>
    <hyperlink xmlns:r="http://schemas.openxmlformats.org/officeDocument/2006/relationships" ref="AE251" r:id="rId250"/>
    <hyperlink xmlns:r="http://schemas.openxmlformats.org/officeDocument/2006/relationships" ref="AE252" r:id="rId251"/>
    <hyperlink xmlns:r="http://schemas.openxmlformats.org/officeDocument/2006/relationships" ref="AE253" r:id="rId252"/>
    <hyperlink xmlns:r="http://schemas.openxmlformats.org/officeDocument/2006/relationships" ref="AE254" r:id="rId253"/>
    <hyperlink xmlns:r="http://schemas.openxmlformats.org/officeDocument/2006/relationships" ref="AE255" r:id="rId254"/>
    <hyperlink xmlns:r="http://schemas.openxmlformats.org/officeDocument/2006/relationships" ref="AE256" r:id="rId255"/>
    <hyperlink xmlns:r="http://schemas.openxmlformats.org/officeDocument/2006/relationships" ref="AE257" r:id="rId256"/>
    <hyperlink xmlns:r="http://schemas.openxmlformats.org/officeDocument/2006/relationships" ref="AE258" r:id="rId257"/>
    <hyperlink xmlns:r="http://schemas.openxmlformats.org/officeDocument/2006/relationships" ref="AE259" r:id="rId258"/>
    <hyperlink xmlns:r="http://schemas.openxmlformats.org/officeDocument/2006/relationships" ref="AE260" r:id="rId259"/>
    <hyperlink xmlns:r="http://schemas.openxmlformats.org/officeDocument/2006/relationships" ref="AE261" r:id="rId260"/>
    <hyperlink xmlns:r="http://schemas.openxmlformats.org/officeDocument/2006/relationships" ref="AE262" r:id="rId261"/>
    <hyperlink xmlns:r="http://schemas.openxmlformats.org/officeDocument/2006/relationships" ref="AE263" r:id="rId262"/>
    <hyperlink xmlns:r="http://schemas.openxmlformats.org/officeDocument/2006/relationships" ref="AE264" r:id="rId263"/>
    <hyperlink xmlns:r="http://schemas.openxmlformats.org/officeDocument/2006/relationships" ref="AE265" r:id="rId264"/>
    <hyperlink xmlns:r="http://schemas.openxmlformats.org/officeDocument/2006/relationships" ref="AE266" r:id="rId265"/>
    <hyperlink xmlns:r="http://schemas.openxmlformats.org/officeDocument/2006/relationships" ref="AE267" r:id="rId266"/>
    <hyperlink xmlns:r="http://schemas.openxmlformats.org/officeDocument/2006/relationships" ref="AE268" r:id="rId267"/>
    <hyperlink xmlns:r="http://schemas.openxmlformats.org/officeDocument/2006/relationships" ref="AE269" r:id="rId268"/>
    <hyperlink xmlns:r="http://schemas.openxmlformats.org/officeDocument/2006/relationships" ref="AE270" r:id="rId269"/>
    <hyperlink xmlns:r="http://schemas.openxmlformats.org/officeDocument/2006/relationships" ref="AE271" r:id="rId270"/>
    <hyperlink xmlns:r="http://schemas.openxmlformats.org/officeDocument/2006/relationships" ref="AE272" r:id="rId271"/>
    <hyperlink xmlns:r="http://schemas.openxmlformats.org/officeDocument/2006/relationships" ref="AE273" r:id="rId272"/>
    <hyperlink xmlns:r="http://schemas.openxmlformats.org/officeDocument/2006/relationships" ref="AE274" r:id="rId273"/>
    <hyperlink xmlns:r="http://schemas.openxmlformats.org/officeDocument/2006/relationships" ref="AE275" r:id="rId274"/>
    <hyperlink xmlns:r="http://schemas.openxmlformats.org/officeDocument/2006/relationships" ref="AE276" r:id="rId275"/>
    <hyperlink xmlns:r="http://schemas.openxmlformats.org/officeDocument/2006/relationships" ref="AE277" r:id="rId276"/>
    <hyperlink xmlns:r="http://schemas.openxmlformats.org/officeDocument/2006/relationships" ref="AE278" r:id="rId277"/>
    <hyperlink xmlns:r="http://schemas.openxmlformats.org/officeDocument/2006/relationships" ref="AE279" r:id="rId278"/>
    <hyperlink xmlns:r="http://schemas.openxmlformats.org/officeDocument/2006/relationships" ref="AE280" r:id="rId279"/>
    <hyperlink xmlns:r="http://schemas.openxmlformats.org/officeDocument/2006/relationships" ref="AE281" r:id="rId280"/>
    <hyperlink xmlns:r="http://schemas.openxmlformats.org/officeDocument/2006/relationships" ref="AE282" r:id="rId281"/>
    <hyperlink xmlns:r="http://schemas.openxmlformats.org/officeDocument/2006/relationships" ref="AE283" r:id="rId282"/>
    <hyperlink xmlns:r="http://schemas.openxmlformats.org/officeDocument/2006/relationships" ref="AE284" r:id="rId283"/>
    <hyperlink xmlns:r="http://schemas.openxmlformats.org/officeDocument/2006/relationships" ref="AE285" r:id="rId284"/>
    <hyperlink xmlns:r="http://schemas.openxmlformats.org/officeDocument/2006/relationships" ref="AE286" r:id="rId285"/>
    <hyperlink xmlns:r="http://schemas.openxmlformats.org/officeDocument/2006/relationships" ref="AE287" r:id="rId286"/>
    <hyperlink xmlns:r="http://schemas.openxmlformats.org/officeDocument/2006/relationships" ref="AE288" r:id="rId287"/>
    <hyperlink xmlns:r="http://schemas.openxmlformats.org/officeDocument/2006/relationships" ref="AE289" r:id="rId288"/>
    <hyperlink xmlns:r="http://schemas.openxmlformats.org/officeDocument/2006/relationships" ref="AE290" r:id="rId289"/>
    <hyperlink xmlns:r="http://schemas.openxmlformats.org/officeDocument/2006/relationships" ref="AE291" r:id="rId290"/>
    <hyperlink xmlns:r="http://schemas.openxmlformats.org/officeDocument/2006/relationships" ref="AE292" r:id="rId291"/>
    <hyperlink xmlns:r="http://schemas.openxmlformats.org/officeDocument/2006/relationships" ref="AE293" r:id="rId292"/>
    <hyperlink xmlns:r="http://schemas.openxmlformats.org/officeDocument/2006/relationships" ref="AE294" r:id="rId293"/>
    <hyperlink xmlns:r="http://schemas.openxmlformats.org/officeDocument/2006/relationships" ref="AE295" r:id="rId294"/>
    <hyperlink xmlns:r="http://schemas.openxmlformats.org/officeDocument/2006/relationships" ref="AE296" r:id="rId295"/>
    <hyperlink xmlns:r="http://schemas.openxmlformats.org/officeDocument/2006/relationships" ref="AE297" r:id="rId296"/>
    <hyperlink xmlns:r="http://schemas.openxmlformats.org/officeDocument/2006/relationships" ref="AE298" r:id="rId297"/>
    <hyperlink xmlns:r="http://schemas.openxmlformats.org/officeDocument/2006/relationships" ref="AE299" r:id="rId298"/>
    <hyperlink xmlns:r="http://schemas.openxmlformats.org/officeDocument/2006/relationships" ref="AE300" r:id="rId299"/>
    <hyperlink xmlns:r="http://schemas.openxmlformats.org/officeDocument/2006/relationships" ref="AE301" r:id="rId300"/>
    <hyperlink xmlns:r="http://schemas.openxmlformats.org/officeDocument/2006/relationships" ref="AE302" r:id="rId301"/>
    <hyperlink xmlns:r="http://schemas.openxmlformats.org/officeDocument/2006/relationships" ref="AE303" r:id="rId302"/>
    <hyperlink xmlns:r="http://schemas.openxmlformats.org/officeDocument/2006/relationships" ref="AE304" r:id="rId303"/>
    <hyperlink xmlns:r="http://schemas.openxmlformats.org/officeDocument/2006/relationships" ref="AE305" r:id="rId304"/>
    <hyperlink xmlns:r="http://schemas.openxmlformats.org/officeDocument/2006/relationships" ref="AE306" r:id="rId305"/>
    <hyperlink xmlns:r="http://schemas.openxmlformats.org/officeDocument/2006/relationships" ref="AE307" r:id="rId306"/>
    <hyperlink xmlns:r="http://schemas.openxmlformats.org/officeDocument/2006/relationships" ref="AE308" r:id="rId307"/>
    <hyperlink xmlns:r="http://schemas.openxmlformats.org/officeDocument/2006/relationships" ref="AE309" r:id="rId308"/>
    <hyperlink xmlns:r="http://schemas.openxmlformats.org/officeDocument/2006/relationships" ref="AE310" r:id="rId309"/>
    <hyperlink xmlns:r="http://schemas.openxmlformats.org/officeDocument/2006/relationships" ref="AE311" r:id="rId310"/>
    <hyperlink xmlns:r="http://schemas.openxmlformats.org/officeDocument/2006/relationships" ref="AE312" r:id="rId311"/>
    <hyperlink xmlns:r="http://schemas.openxmlformats.org/officeDocument/2006/relationships" ref="AE313" r:id="rId312"/>
    <hyperlink xmlns:r="http://schemas.openxmlformats.org/officeDocument/2006/relationships" ref="AE314" r:id="rId313"/>
    <hyperlink xmlns:r="http://schemas.openxmlformats.org/officeDocument/2006/relationships" ref="AE315" r:id="rId314"/>
    <hyperlink xmlns:r="http://schemas.openxmlformats.org/officeDocument/2006/relationships" ref="AE316" r:id="rId315"/>
    <hyperlink xmlns:r="http://schemas.openxmlformats.org/officeDocument/2006/relationships" ref="AE317" r:id="rId316"/>
    <hyperlink xmlns:r="http://schemas.openxmlformats.org/officeDocument/2006/relationships" ref="AE318" r:id="rId317"/>
    <hyperlink xmlns:r="http://schemas.openxmlformats.org/officeDocument/2006/relationships" ref="AE319" r:id="rId318"/>
    <hyperlink xmlns:r="http://schemas.openxmlformats.org/officeDocument/2006/relationships" ref="AE320" r:id="rId319"/>
    <hyperlink xmlns:r="http://schemas.openxmlformats.org/officeDocument/2006/relationships" ref="AE321" r:id="rId320"/>
    <hyperlink xmlns:r="http://schemas.openxmlformats.org/officeDocument/2006/relationships" ref="AE322" r:id="rId321"/>
    <hyperlink xmlns:r="http://schemas.openxmlformats.org/officeDocument/2006/relationships" ref="AE323" r:id="rId322"/>
    <hyperlink xmlns:r="http://schemas.openxmlformats.org/officeDocument/2006/relationships" ref="AE324" r:id="rId323"/>
    <hyperlink xmlns:r="http://schemas.openxmlformats.org/officeDocument/2006/relationships" ref="AE325" r:id="rId324"/>
    <hyperlink xmlns:r="http://schemas.openxmlformats.org/officeDocument/2006/relationships" ref="AE326" r:id="rId325"/>
    <hyperlink xmlns:r="http://schemas.openxmlformats.org/officeDocument/2006/relationships" ref="AE327" r:id="rId326"/>
    <hyperlink xmlns:r="http://schemas.openxmlformats.org/officeDocument/2006/relationships" ref="AE328" r:id="rId327"/>
    <hyperlink xmlns:r="http://schemas.openxmlformats.org/officeDocument/2006/relationships" ref="AE329" r:id="rId328"/>
    <hyperlink xmlns:r="http://schemas.openxmlformats.org/officeDocument/2006/relationships" ref="AE330" r:id="rId329"/>
    <hyperlink xmlns:r="http://schemas.openxmlformats.org/officeDocument/2006/relationships" ref="AE331" r:id="rId330"/>
    <hyperlink xmlns:r="http://schemas.openxmlformats.org/officeDocument/2006/relationships" ref="AE332" r:id="rId331"/>
    <hyperlink xmlns:r="http://schemas.openxmlformats.org/officeDocument/2006/relationships" ref="AE333" r:id="rId332"/>
    <hyperlink xmlns:r="http://schemas.openxmlformats.org/officeDocument/2006/relationships" ref="AE334" r:id="rId333"/>
    <hyperlink xmlns:r="http://schemas.openxmlformats.org/officeDocument/2006/relationships" ref="AE335" r:id="rId334"/>
    <hyperlink xmlns:r="http://schemas.openxmlformats.org/officeDocument/2006/relationships" ref="AE336" r:id="rId335"/>
    <hyperlink xmlns:r="http://schemas.openxmlformats.org/officeDocument/2006/relationships" ref="AE337" r:id="rId336"/>
    <hyperlink xmlns:r="http://schemas.openxmlformats.org/officeDocument/2006/relationships" ref="AE338" r:id="rId337"/>
    <hyperlink xmlns:r="http://schemas.openxmlformats.org/officeDocument/2006/relationships" ref="AE339" r:id="rId338"/>
    <hyperlink xmlns:r="http://schemas.openxmlformats.org/officeDocument/2006/relationships" ref="AE340" r:id="rId339"/>
    <hyperlink xmlns:r="http://schemas.openxmlformats.org/officeDocument/2006/relationships" ref="AE341" r:id="rId340"/>
    <hyperlink xmlns:r="http://schemas.openxmlformats.org/officeDocument/2006/relationships" ref="AE342" r:id="rId341"/>
    <hyperlink xmlns:r="http://schemas.openxmlformats.org/officeDocument/2006/relationships" ref="AE343" r:id="rId342"/>
    <hyperlink xmlns:r="http://schemas.openxmlformats.org/officeDocument/2006/relationships" ref="AE344" r:id="rId343"/>
    <hyperlink xmlns:r="http://schemas.openxmlformats.org/officeDocument/2006/relationships" ref="AE345" r:id="rId344"/>
    <hyperlink xmlns:r="http://schemas.openxmlformats.org/officeDocument/2006/relationships" ref="AE346" r:id="rId345"/>
    <hyperlink xmlns:r="http://schemas.openxmlformats.org/officeDocument/2006/relationships" ref="AE347" r:id="rId346"/>
    <hyperlink xmlns:r="http://schemas.openxmlformats.org/officeDocument/2006/relationships" ref="AE348" r:id="rId347"/>
    <hyperlink xmlns:r="http://schemas.openxmlformats.org/officeDocument/2006/relationships" ref="AE349" r:id="rId348"/>
    <hyperlink xmlns:r="http://schemas.openxmlformats.org/officeDocument/2006/relationships" ref="AE350" r:id="rId349"/>
    <hyperlink xmlns:r="http://schemas.openxmlformats.org/officeDocument/2006/relationships" ref="AE351" r:id="rId350"/>
    <hyperlink xmlns:r="http://schemas.openxmlformats.org/officeDocument/2006/relationships" ref="AE352" r:id="rId351"/>
    <hyperlink xmlns:r="http://schemas.openxmlformats.org/officeDocument/2006/relationships" ref="AE353" r:id="rId352"/>
    <hyperlink xmlns:r="http://schemas.openxmlformats.org/officeDocument/2006/relationships" ref="AE354" r:id="rId353"/>
    <hyperlink xmlns:r="http://schemas.openxmlformats.org/officeDocument/2006/relationships" ref="AE355" r:id="rId354"/>
    <hyperlink xmlns:r="http://schemas.openxmlformats.org/officeDocument/2006/relationships" ref="AE356" r:id="rId355"/>
    <hyperlink xmlns:r="http://schemas.openxmlformats.org/officeDocument/2006/relationships" ref="AE357" r:id="rId356"/>
    <hyperlink xmlns:r="http://schemas.openxmlformats.org/officeDocument/2006/relationships" ref="AE358" r:id="rId357"/>
    <hyperlink xmlns:r="http://schemas.openxmlformats.org/officeDocument/2006/relationships" ref="AE359" r:id="rId358"/>
    <hyperlink xmlns:r="http://schemas.openxmlformats.org/officeDocument/2006/relationships" ref="AE360" r:id="rId359"/>
    <hyperlink xmlns:r="http://schemas.openxmlformats.org/officeDocument/2006/relationships" ref="AE361" r:id="rId360"/>
    <hyperlink xmlns:r="http://schemas.openxmlformats.org/officeDocument/2006/relationships" ref="AE362" r:id="rId361"/>
    <hyperlink xmlns:r="http://schemas.openxmlformats.org/officeDocument/2006/relationships" ref="AE363" r:id="rId362"/>
    <hyperlink xmlns:r="http://schemas.openxmlformats.org/officeDocument/2006/relationships" ref="AE364" r:id="rId363"/>
    <hyperlink xmlns:r="http://schemas.openxmlformats.org/officeDocument/2006/relationships" ref="AE365" r:id="rId364"/>
    <hyperlink xmlns:r="http://schemas.openxmlformats.org/officeDocument/2006/relationships" ref="AE366" r:id="rId365"/>
    <hyperlink xmlns:r="http://schemas.openxmlformats.org/officeDocument/2006/relationships" ref="AE367" r:id="rId366"/>
    <hyperlink xmlns:r="http://schemas.openxmlformats.org/officeDocument/2006/relationships" ref="AE368" r:id="rId367"/>
    <hyperlink xmlns:r="http://schemas.openxmlformats.org/officeDocument/2006/relationships" ref="AE369" r:id="rId368"/>
    <hyperlink xmlns:r="http://schemas.openxmlformats.org/officeDocument/2006/relationships" ref="AE370" r:id="rId369"/>
    <hyperlink xmlns:r="http://schemas.openxmlformats.org/officeDocument/2006/relationships" ref="AE371" r:id="rId370"/>
    <hyperlink xmlns:r="http://schemas.openxmlformats.org/officeDocument/2006/relationships" ref="AE372" r:id="rId371"/>
    <hyperlink xmlns:r="http://schemas.openxmlformats.org/officeDocument/2006/relationships" ref="AE373" r:id="rId372"/>
    <hyperlink xmlns:r="http://schemas.openxmlformats.org/officeDocument/2006/relationships" ref="AE374" r:id="rId373"/>
    <hyperlink xmlns:r="http://schemas.openxmlformats.org/officeDocument/2006/relationships" ref="AE375" r:id="rId374"/>
    <hyperlink xmlns:r="http://schemas.openxmlformats.org/officeDocument/2006/relationships" ref="AE376" r:id="rId375"/>
    <hyperlink xmlns:r="http://schemas.openxmlformats.org/officeDocument/2006/relationships" ref="AE377" r:id="rId376"/>
    <hyperlink xmlns:r="http://schemas.openxmlformats.org/officeDocument/2006/relationships" ref="AE378" r:id="rId377"/>
    <hyperlink xmlns:r="http://schemas.openxmlformats.org/officeDocument/2006/relationships" ref="AE379" r:id="rId378"/>
    <hyperlink xmlns:r="http://schemas.openxmlformats.org/officeDocument/2006/relationships" ref="AE380" r:id="rId379"/>
    <hyperlink xmlns:r="http://schemas.openxmlformats.org/officeDocument/2006/relationships" ref="AE381" r:id="rId380"/>
    <hyperlink xmlns:r="http://schemas.openxmlformats.org/officeDocument/2006/relationships" ref="AE382" r:id="rId381"/>
    <hyperlink xmlns:r="http://schemas.openxmlformats.org/officeDocument/2006/relationships" ref="AE383" r:id="rId382"/>
    <hyperlink xmlns:r="http://schemas.openxmlformats.org/officeDocument/2006/relationships" ref="AE384" r:id="rId383"/>
    <hyperlink xmlns:r="http://schemas.openxmlformats.org/officeDocument/2006/relationships" ref="AE385" r:id="rId384"/>
    <hyperlink xmlns:r="http://schemas.openxmlformats.org/officeDocument/2006/relationships" ref="AE386" r:id="rId385"/>
    <hyperlink xmlns:r="http://schemas.openxmlformats.org/officeDocument/2006/relationships" ref="AE387" r:id="rId386"/>
    <hyperlink xmlns:r="http://schemas.openxmlformats.org/officeDocument/2006/relationships" ref="AE388" r:id="rId387"/>
    <hyperlink xmlns:r="http://schemas.openxmlformats.org/officeDocument/2006/relationships" ref="AE389" r:id="rId388"/>
    <hyperlink xmlns:r="http://schemas.openxmlformats.org/officeDocument/2006/relationships" ref="AE390" r:id="rId389"/>
    <hyperlink xmlns:r="http://schemas.openxmlformats.org/officeDocument/2006/relationships" ref="AE391" r:id="rId390"/>
    <hyperlink xmlns:r="http://schemas.openxmlformats.org/officeDocument/2006/relationships" ref="AE392" r:id="rId391"/>
    <hyperlink xmlns:r="http://schemas.openxmlformats.org/officeDocument/2006/relationships" ref="AE393" r:id="rId392"/>
    <hyperlink xmlns:r="http://schemas.openxmlformats.org/officeDocument/2006/relationships" ref="AE394" r:id="rId393"/>
    <hyperlink xmlns:r="http://schemas.openxmlformats.org/officeDocument/2006/relationships" ref="AE395" r:id="rId394"/>
    <hyperlink xmlns:r="http://schemas.openxmlformats.org/officeDocument/2006/relationships" ref="AE396" r:id="rId395"/>
    <hyperlink xmlns:r="http://schemas.openxmlformats.org/officeDocument/2006/relationships" ref="AE397" r:id="rId396"/>
    <hyperlink xmlns:r="http://schemas.openxmlformats.org/officeDocument/2006/relationships" ref="AE398" r:id="rId397"/>
    <hyperlink xmlns:r="http://schemas.openxmlformats.org/officeDocument/2006/relationships" ref="AE399" r:id="rId398"/>
    <hyperlink xmlns:r="http://schemas.openxmlformats.org/officeDocument/2006/relationships" ref="AE400" r:id="rId399"/>
    <hyperlink xmlns:r="http://schemas.openxmlformats.org/officeDocument/2006/relationships" ref="AE401" r:id="rId400"/>
    <hyperlink xmlns:r="http://schemas.openxmlformats.org/officeDocument/2006/relationships" ref="AE402" r:id="rId401"/>
    <hyperlink xmlns:r="http://schemas.openxmlformats.org/officeDocument/2006/relationships" ref="AE403" r:id="rId402"/>
    <hyperlink xmlns:r="http://schemas.openxmlformats.org/officeDocument/2006/relationships" ref="AE404" r:id="rId403"/>
    <hyperlink xmlns:r="http://schemas.openxmlformats.org/officeDocument/2006/relationships" ref="AE405" r:id="rId404"/>
    <hyperlink xmlns:r="http://schemas.openxmlformats.org/officeDocument/2006/relationships" ref="AE406" r:id="rId405"/>
    <hyperlink xmlns:r="http://schemas.openxmlformats.org/officeDocument/2006/relationships" ref="AE407" r:id="rId406"/>
    <hyperlink xmlns:r="http://schemas.openxmlformats.org/officeDocument/2006/relationships" ref="AE408" r:id="rId407"/>
    <hyperlink xmlns:r="http://schemas.openxmlformats.org/officeDocument/2006/relationships" ref="AE409" r:id="rId408"/>
    <hyperlink xmlns:r="http://schemas.openxmlformats.org/officeDocument/2006/relationships" ref="AE410" r:id="rId409"/>
    <hyperlink xmlns:r="http://schemas.openxmlformats.org/officeDocument/2006/relationships" ref="AE411" r:id="rId410"/>
    <hyperlink xmlns:r="http://schemas.openxmlformats.org/officeDocument/2006/relationships" ref="AE412" r:id="rId411"/>
    <hyperlink xmlns:r="http://schemas.openxmlformats.org/officeDocument/2006/relationships" ref="AE413" r:id="rId412"/>
    <hyperlink xmlns:r="http://schemas.openxmlformats.org/officeDocument/2006/relationships" ref="AE414" r:id="rId413"/>
    <hyperlink xmlns:r="http://schemas.openxmlformats.org/officeDocument/2006/relationships" ref="AE415" r:id="rId414"/>
    <hyperlink xmlns:r="http://schemas.openxmlformats.org/officeDocument/2006/relationships" ref="AE416" r:id="rId415"/>
    <hyperlink xmlns:r="http://schemas.openxmlformats.org/officeDocument/2006/relationships" ref="AE417" r:id="rId416"/>
    <hyperlink xmlns:r="http://schemas.openxmlformats.org/officeDocument/2006/relationships" ref="AE418" r:id="rId417"/>
    <hyperlink xmlns:r="http://schemas.openxmlformats.org/officeDocument/2006/relationships" ref="AE419" r:id="rId418"/>
    <hyperlink xmlns:r="http://schemas.openxmlformats.org/officeDocument/2006/relationships" ref="AE420" r:id="rId419"/>
    <hyperlink xmlns:r="http://schemas.openxmlformats.org/officeDocument/2006/relationships" ref="AE421" r:id="rId420"/>
    <hyperlink xmlns:r="http://schemas.openxmlformats.org/officeDocument/2006/relationships" ref="AE422" r:id="rId421"/>
    <hyperlink xmlns:r="http://schemas.openxmlformats.org/officeDocument/2006/relationships" ref="AE423" r:id="rId422"/>
    <hyperlink xmlns:r="http://schemas.openxmlformats.org/officeDocument/2006/relationships" ref="AE424" r:id="rId423"/>
    <hyperlink xmlns:r="http://schemas.openxmlformats.org/officeDocument/2006/relationships" ref="AE425" r:id="rId424"/>
    <hyperlink xmlns:r="http://schemas.openxmlformats.org/officeDocument/2006/relationships" ref="AE426" r:id="rId425"/>
    <hyperlink xmlns:r="http://schemas.openxmlformats.org/officeDocument/2006/relationships" ref="AE427" r:id="rId426"/>
    <hyperlink xmlns:r="http://schemas.openxmlformats.org/officeDocument/2006/relationships" ref="AE428" r:id="rId427"/>
    <hyperlink xmlns:r="http://schemas.openxmlformats.org/officeDocument/2006/relationships" ref="AE429" r:id="rId428"/>
    <hyperlink xmlns:r="http://schemas.openxmlformats.org/officeDocument/2006/relationships" ref="AE430" r:id="rId429"/>
    <hyperlink xmlns:r="http://schemas.openxmlformats.org/officeDocument/2006/relationships" ref="AE431" r:id="rId430"/>
    <hyperlink xmlns:r="http://schemas.openxmlformats.org/officeDocument/2006/relationships" ref="AE432" r:id="rId431"/>
    <hyperlink xmlns:r="http://schemas.openxmlformats.org/officeDocument/2006/relationships" ref="AE433" r:id="rId432"/>
    <hyperlink xmlns:r="http://schemas.openxmlformats.org/officeDocument/2006/relationships" ref="AE434" r:id="rId433"/>
    <hyperlink xmlns:r="http://schemas.openxmlformats.org/officeDocument/2006/relationships" ref="AE435" r:id="rId434"/>
    <hyperlink xmlns:r="http://schemas.openxmlformats.org/officeDocument/2006/relationships" ref="AE436" r:id="rId435"/>
    <hyperlink xmlns:r="http://schemas.openxmlformats.org/officeDocument/2006/relationships" ref="AE437" r:id="rId436"/>
    <hyperlink xmlns:r="http://schemas.openxmlformats.org/officeDocument/2006/relationships" ref="AE438" r:id="rId437"/>
    <hyperlink xmlns:r="http://schemas.openxmlformats.org/officeDocument/2006/relationships" ref="AE439" r:id="rId438"/>
    <hyperlink xmlns:r="http://schemas.openxmlformats.org/officeDocument/2006/relationships" ref="AE440" r:id="rId439"/>
    <hyperlink xmlns:r="http://schemas.openxmlformats.org/officeDocument/2006/relationships" ref="AE441" r:id="rId440"/>
    <hyperlink xmlns:r="http://schemas.openxmlformats.org/officeDocument/2006/relationships" ref="AE442" r:id="rId441"/>
    <hyperlink xmlns:r="http://schemas.openxmlformats.org/officeDocument/2006/relationships" ref="AE443" r:id="rId442"/>
    <hyperlink xmlns:r="http://schemas.openxmlformats.org/officeDocument/2006/relationships" ref="AE444" r:id="rId443"/>
    <hyperlink xmlns:r="http://schemas.openxmlformats.org/officeDocument/2006/relationships" ref="AE445" r:id="rId444"/>
    <hyperlink xmlns:r="http://schemas.openxmlformats.org/officeDocument/2006/relationships" ref="AE446" r:id="rId445"/>
    <hyperlink xmlns:r="http://schemas.openxmlformats.org/officeDocument/2006/relationships" ref="AE447" r:id="rId446"/>
    <hyperlink xmlns:r="http://schemas.openxmlformats.org/officeDocument/2006/relationships" ref="AE448" r:id="rId447"/>
    <hyperlink xmlns:r="http://schemas.openxmlformats.org/officeDocument/2006/relationships" ref="AE449" r:id="rId448"/>
    <hyperlink xmlns:r="http://schemas.openxmlformats.org/officeDocument/2006/relationships" ref="AE450" r:id="rId449"/>
    <hyperlink xmlns:r="http://schemas.openxmlformats.org/officeDocument/2006/relationships" ref="AE451" r:id="rId45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4" customWidth="1" min="1" max="1"/>
    <col width="90" customWidth="1" min="5" max="5"/>
  </cols>
  <sheetData>
    <row r="1">
      <c r="A1" s="34" t="inlineStr">
        <is>
          <t>PRICING ASSUMPTIONS — yellow cells are editable; every quote on the CALL SHEET recalculates</t>
        </is>
      </c>
    </row>
    <row r="3">
      <c r="A3" t="inlineStr">
        <is>
          <t>Target investor IRR (annual)</t>
        </is>
      </c>
      <c r="B3" s="35" t="n">
        <v>0.25</v>
      </c>
    </row>
    <row r="4">
      <c r="A4" t="inlineStr">
        <is>
          <t>Our buy price as share of fund price</t>
        </is>
      </c>
      <c r="B4" s="35" t="n">
        <v>0.6</v>
      </c>
    </row>
    <row r="6">
      <c r="A6" s="3" t="inlineStr">
        <is>
          <t>Debtor band</t>
        </is>
      </c>
      <c r="B6" s="3" t="inlineStr">
        <is>
          <t>Class III recovery %</t>
        </is>
      </c>
      <c r="C6" s="3" t="inlineStr">
        <is>
          <t>Grace (y)</t>
        </is>
      </c>
      <c r="D6" s="3" t="inlineStr">
        <is>
          <t>Term (y)</t>
        </is>
      </c>
      <c r="E6" s="3" t="inlineStr">
        <is>
          <t>What the band means</t>
        </is>
      </c>
    </row>
    <row r="7">
      <c r="A7" t="inlineStr">
        <is>
          <t>A</t>
        </is>
      </c>
      <c r="B7" s="35" t="n">
        <v>0.4</v>
      </c>
      <c r="C7" s="36" t="n">
        <v>2</v>
      </c>
      <c r="D7" s="36" t="n">
        <v>8</v>
      </c>
      <c r="E7" t="inlineStr">
        <is>
          <t>Plan approved / homologation document found, case live, debtor active at RFB</t>
        </is>
      </c>
    </row>
    <row r="8">
      <c r="A8" t="inlineStr">
        <is>
          <t>B</t>
        </is>
      </c>
      <c r="B8" s="35" t="n">
        <v>0.3</v>
      </c>
      <c r="C8" s="36" t="n">
        <v>2</v>
      </c>
      <c r="D8" s="36" t="n">
        <v>8</v>
      </c>
      <c r="E8" t="inlineStr">
        <is>
          <t>Live case, no plan document found yet</t>
        </is>
      </c>
    </row>
    <row r="9">
      <c r="A9" t="inlineStr">
        <is>
          <t>C</t>
        </is>
      </c>
      <c r="B9" s="35" t="n">
        <v>0.15</v>
      </c>
      <c r="C9" s="36" t="n">
        <v>3</v>
      </c>
      <c r="D9" s="36" t="n">
        <v>10</v>
      </c>
      <c r="E9" t="inlineStr">
        <is>
          <t>Stale: &gt;4 years since filing with no plan, or no movement in 12 months, or case closed</t>
        </is>
      </c>
    </row>
    <row r="10">
      <c r="A10" t="inlineStr">
        <is>
          <t>D</t>
        </is>
      </c>
      <c r="B10" s="35" t="n">
        <v>0.03</v>
      </c>
      <c r="C10" s="36" t="n">
        <v>4</v>
      </c>
      <c r="D10" s="36" t="n">
        <v>4</v>
      </c>
      <c r="E10" t="inlineStr">
        <is>
          <t>Avoid: falência decreed, or debtor no longer ATIVA</t>
        </is>
      </c>
    </row>
    <row r="11">
      <c r="A11" t="inlineStr">
        <is>
          <t>?</t>
        </is>
      </c>
      <c r="B11" s="35" t="n">
        <v>0.25</v>
      </c>
      <c r="C11" s="36" t="n">
        <v>3</v>
      </c>
      <c r="D11" s="36" t="n">
        <v>8</v>
      </c>
      <c r="E11" t="inlineStr">
        <is>
          <t>Debtor could not be resolved; conservative default</t>
        </is>
      </c>
    </row>
    <row r="13">
      <c r="A13" t="inlineStr">
        <is>
          <t>Fund price = face × recovery% ÷ (1+IRR)^(years to payment). Years = grace + term/2 − years since filing, floor 0.5.</t>
        </is>
      </c>
    </row>
    <row r="14">
      <c r="A14" t="inlineStr">
        <is>
          <t>Our quote = fund price × share. Our ágio = fund price − quote. All of this is a MODEL; the face value is court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2026-09-04T14:07:41Z</dcterms:created>
  <dcterms:modified xsi:type="dcterms:W3CDTF">2026-09-04T14:07:45Z</dcterms:modified>
</cp:coreProperties>
</file>